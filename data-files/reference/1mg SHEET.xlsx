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E:\moulins\"/>
    </mc:Choice>
  </mc:AlternateContent>
  <xr:revisionPtr revIDLastSave="0" documentId="8_{F0F77560-5C04-4AB4-9100-2782341774B7}" xr6:coauthVersionLast="47" xr6:coauthVersionMax="47" xr10:uidLastSave="{00000000-0000-0000-0000-000000000000}"/>
  <bookViews>
    <workbookView xWindow="-96" yWindow="-96" windowWidth="23232" windowHeight="12432" xr2:uid="{00000000-000D-0000-FFFF-FFFF00000000}"/>
  </bookViews>
  <sheets>
    <sheet name="OTC Listing" sheetId="1" r:id="rId1"/>
  </sheets>
  <definedNames>
    <definedName name="_xlnm._FilterDatabase" localSheetId="0" hidden="1">'OTC Listing'!$A$2:$BC$391</definedName>
  </definedNames>
  <calcPr calcId="191029"/>
</workbook>
</file>

<file path=xl/calcChain.xml><?xml version="1.0" encoding="utf-8"?>
<calcChain xmlns="http://schemas.openxmlformats.org/spreadsheetml/2006/main">
  <c r="O242" i="1" l="1"/>
  <c r="O274" i="1"/>
  <c r="O306" i="1"/>
  <c r="O338" i="1"/>
  <c r="M5" i="1"/>
  <c r="N5" i="1" s="1"/>
  <c r="O5" i="1" s="1"/>
  <c r="M6" i="1"/>
  <c r="N6" i="1" s="1"/>
  <c r="O6" i="1" s="1"/>
  <c r="M7" i="1"/>
  <c r="N7" i="1" s="1"/>
  <c r="O7" i="1" s="1"/>
  <c r="M8" i="1"/>
  <c r="N8" i="1" s="1"/>
  <c r="O8" i="1" s="1"/>
  <c r="M9" i="1"/>
  <c r="N9" i="1" s="1"/>
  <c r="O9" i="1" s="1"/>
  <c r="M10" i="1"/>
  <c r="N10" i="1" s="1"/>
  <c r="O10" i="1" s="1"/>
  <c r="M11" i="1"/>
  <c r="N11" i="1" s="1"/>
  <c r="O11" i="1" s="1"/>
  <c r="M12" i="1"/>
  <c r="N12" i="1" s="1"/>
  <c r="O12" i="1" s="1"/>
  <c r="M13" i="1"/>
  <c r="N13" i="1" s="1"/>
  <c r="O13" i="1" s="1"/>
  <c r="M14" i="1"/>
  <c r="N14" i="1" s="1"/>
  <c r="O14" i="1" s="1"/>
  <c r="M15" i="1"/>
  <c r="N15" i="1" s="1"/>
  <c r="O15" i="1" s="1"/>
  <c r="M16" i="1"/>
  <c r="N16" i="1" s="1"/>
  <c r="O16" i="1" s="1"/>
  <c r="M17" i="1"/>
  <c r="N17" i="1" s="1"/>
  <c r="O17" i="1" s="1"/>
  <c r="M18" i="1"/>
  <c r="N18" i="1" s="1"/>
  <c r="O18" i="1" s="1"/>
  <c r="M19" i="1"/>
  <c r="N19" i="1" s="1"/>
  <c r="O19" i="1" s="1"/>
  <c r="M20" i="1"/>
  <c r="N20" i="1" s="1"/>
  <c r="O20" i="1" s="1"/>
  <c r="M21" i="1"/>
  <c r="N21" i="1" s="1"/>
  <c r="O21" i="1" s="1"/>
  <c r="M22" i="1"/>
  <c r="N22" i="1" s="1"/>
  <c r="O22" i="1" s="1"/>
  <c r="M23" i="1"/>
  <c r="N23" i="1" s="1"/>
  <c r="O23" i="1" s="1"/>
  <c r="M24" i="1"/>
  <c r="N24" i="1" s="1"/>
  <c r="O24" i="1" s="1"/>
  <c r="M25" i="1"/>
  <c r="N25" i="1" s="1"/>
  <c r="O25" i="1" s="1"/>
  <c r="M26" i="1"/>
  <c r="N26" i="1" s="1"/>
  <c r="O26" i="1" s="1"/>
  <c r="M27" i="1"/>
  <c r="N27" i="1" s="1"/>
  <c r="O27" i="1" s="1"/>
  <c r="M28" i="1"/>
  <c r="N28" i="1" s="1"/>
  <c r="O28" i="1" s="1"/>
  <c r="M29" i="1"/>
  <c r="N29" i="1" s="1"/>
  <c r="O29" i="1" s="1"/>
  <c r="M30" i="1"/>
  <c r="N30" i="1" s="1"/>
  <c r="O30" i="1" s="1"/>
  <c r="M31" i="1"/>
  <c r="N31" i="1" s="1"/>
  <c r="O31" i="1" s="1"/>
  <c r="M32" i="1"/>
  <c r="N32" i="1" s="1"/>
  <c r="O32" i="1" s="1"/>
  <c r="M33" i="1"/>
  <c r="N33" i="1" s="1"/>
  <c r="O33" i="1" s="1"/>
  <c r="M34" i="1"/>
  <c r="N34" i="1" s="1"/>
  <c r="O34" i="1" s="1"/>
  <c r="M35" i="1"/>
  <c r="N35" i="1" s="1"/>
  <c r="O35" i="1" s="1"/>
  <c r="M36" i="1"/>
  <c r="N36" i="1" s="1"/>
  <c r="O36" i="1" s="1"/>
  <c r="M37" i="1"/>
  <c r="N37" i="1" s="1"/>
  <c r="O37" i="1" s="1"/>
  <c r="M38" i="1"/>
  <c r="N38" i="1" s="1"/>
  <c r="O38" i="1" s="1"/>
  <c r="M39" i="1"/>
  <c r="N39" i="1" s="1"/>
  <c r="O39" i="1" s="1"/>
  <c r="M40" i="1"/>
  <c r="N40" i="1" s="1"/>
  <c r="O40" i="1" s="1"/>
  <c r="M41" i="1"/>
  <c r="N41" i="1" s="1"/>
  <c r="O41" i="1" s="1"/>
  <c r="M42" i="1"/>
  <c r="N42" i="1" s="1"/>
  <c r="O42" i="1" s="1"/>
  <c r="M43" i="1"/>
  <c r="N43" i="1" s="1"/>
  <c r="O43" i="1" s="1"/>
  <c r="M44" i="1"/>
  <c r="N44" i="1" s="1"/>
  <c r="O44" i="1" s="1"/>
  <c r="M45" i="1"/>
  <c r="N45" i="1" s="1"/>
  <c r="O45" i="1" s="1"/>
  <c r="M46" i="1"/>
  <c r="N46" i="1" s="1"/>
  <c r="O46" i="1" s="1"/>
  <c r="M47" i="1"/>
  <c r="N47" i="1" s="1"/>
  <c r="O47" i="1" s="1"/>
  <c r="M48" i="1"/>
  <c r="N48" i="1" s="1"/>
  <c r="O48" i="1" s="1"/>
  <c r="M49" i="1"/>
  <c r="N49" i="1" s="1"/>
  <c r="O49" i="1" s="1"/>
  <c r="M50" i="1"/>
  <c r="N50" i="1" s="1"/>
  <c r="O50" i="1" s="1"/>
  <c r="M51" i="1"/>
  <c r="N51" i="1" s="1"/>
  <c r="O51" i="1" s="1"/>
  <c r="M52" i="1"/>
  <c r="N52" i="1" s="1"/>
  <c r="O52" i="1" s="1"/>
  <c r="M53" i="1"/>
  <c r="N53" i="1" s="1"/>
  <c r="O53" i="1" s="1"/>
  <c r="M54" i="1"/>
  <c r="N54" i="1" s="1"/>
  <c r="O54" i="1" s="1"/>
  <c r="M55" i="1"/>
  <c r="N55" i="1" s="1"/>
  <c r="O55" i="1" s="1"/>
  <c r="M56" i="1"/>
  <c r="N56" i="1" s="1"/>
  <c r="O56" i="1" s="1"/>
  <c r="M57" i="1"/>
  <c r="N57" i="1" s="1"/>
  <c r="O57" i="1" s="1"/>
  <c r="M58" i="1"/>
  <c r="N58" i="1" s="1"/>
  <c r="O58" i="1" s="1"/>
  <c r="M59" i="1"/>
  <c r="N59" i="1" s="1"/>
  <c r="O59" i="1" s="1"/>
  <c r="M60" i="1"/>
  <c r="N60" i="1" s="1"/>
  <c r="O60" i="1" s="1"/>
  <c r="M61" i="1"/>
  <c r="N61" i="1" s="1"/>
  <c r="O61" i="1" s="1"/>
  <c r="M62" i="1"/>
  <c r="N62" i="1" s="1"/>
  <c r="O62" i="1" s="1"/>
  <c r="M63" i="1"/>
  <c r="N63" i="1" s="1"/>
  <c r="O63" i="1" s="1"/>
  <c r="M64" i="1"/>
  <c r="N64" i="1" s="1"/>
  <c r="O64" i="1" s="1"/>
  <c r="M65" i="1"/>
  <c r="N65" i="1" s="1"/>
  <c r="O65" i="1" s="1"/>
  <c r="M66" i="1"/>
  <c r="N66" i="1" s="1"/>
  <c r="O66" i="1" s="1"/>
  <c r="M67" i="1"/>
  <c r="N67" i="1" s="1"/>
  <c r="O67" i="1" s="1"/>
  <c r="M68" i="1"/>
  <c r="N68" i="1" s="1"/>
  <c r="O68" i="1" s="1"/>
  <c r="M69" i="1"/>
  <c r="N69" i="1" s="1"/>
  <c r="O69" i="1" s="1"/>
  <c r="M70" i="1"/>
  <c r="N70" i="1" s="1"/>
  <c r="O70" i="1" s="1"/>
  <c r="M71" i="1"/>
  <c r="N71" i="1" s="1"/>
  <c r="O71" i="1" s="1"/>
  <c r="M72" i="1"/>
  <c r="N72" i="1" s="1"/>
  <c r="O72" i="1" s="1"/>
  <c r="M73" i="1"/>
  <c r="N73" i="1" s="1"/>
  <c r="O73" i="1" s="1"/>
  <c r="M74" i="1"/>
  <c r="N74" i="1" s="1"/>
  <c r="O74" i="1" s="1"/>
  <c r="M75" i="1"/>
  <c r="N75" i="1" s="1"/>
  <c r="O75" i="1" s="1"/>
  <c r="M76" i="1"/>
  <c r="N76" i="1" s="1"/>
  <c r="O76" i="1" s="1"/>
  <c r="M77" i="1"/>
  <c r="N77" i="1" s="1"/>
  <c r="O77" i="1" s="1"/>
  <c r="M78" i="1"/>
  <c r="N78" i="1" s="1"/>
  <c r="O78" i="1" s="1"/>
  <c r="M79" i="1"/>
  <c r="N79" i="1" s="1"/>
  <c r="O79" i="1" s="1"/>
  <c r="M80" i="1"/>
  <c r="N80" i="1" s="1"/>
  <c r="O80" i="1" s="1"/>
  <c r="M81" i="1"/>
  <c r="N81" i="1" s="1"/>
  <c r="O81" i="1" s="1"/>
  <c r="M82" i="1"/>
  <c r="N82" i="1" s="1"/>
  <c r="O82" i="1" s="1"/>
  <c r="M83" i="1"/>
  <c r="N83" i="1" s="1"/>
  <c r="O83" i="1" s="1"/>
  <c r="M84" i="1"/>
  <c r="N84" i="1" s="1"/>
  <c r="O84" i="1" s="1"/>
  <c r="M85" i="1"/>
  <c r="N85" i="1" s="1"/>
  <c r="O85" i="1" s="1"/>
  <c r="M86" i="1"/>
  <c r="N86" i="1" s="1"/>
  <c r="O86" i="1" s="1"/>
  <c r="M87" i="1"/>
  <c r="N87" i="1" s="1"/>
  <c r="O87" i="1" s="1"/>
  <c r="M88" i="1"/>
  <c r="N88" i="1" s="1"/>
  <c r="O88" i="1" s="1"/>
  <c r="M89" i="1"/>
  <c r="N89" i="1" s="1"/>
  <c r="O89" i="1" s="1"/>
  <c r="M90" i="1"/>
  <c r="N90" i="1" s="1"/>
  <c r="O90" i="1" s="1"/>
  <c r="M91" i="1"/>
  <c r="N91" i="1" s="1"/>
  <c r="O91" i="1" s="1"/>
  <c r="M92" i="1"/>
  <c r="N92" i="1" s="1"/>
  <c r="O92" i="1" s="1"/>
  <c r="M93" i="1"/>
  <c r="N93" i="1" s="1"/>
  <c r="O93" i="1" s="1"/>
  <c r="M94" i="1"/>
  <c r="N94" i="1" s="1"/>
  <c r="O94" i="1" s="1"/>
  <c r="M95" i="1"/>
  <c r="N95" i="1" s="1"/>
  <c r="O95" i="1" s="1"/>
  <c r="M96" i="1"/>
  <c r="N96" i="1" s="1"/>
  <c r="O96" i="1" s="1"/>
  <c r="M97" i="1"/>
  <c r="N97" i="1" s="1"/>
  <c r="O97" i="1" s="1"/>
  <c r="M98" i="1"/>
  <c r="N98" i="1" s="1"/>
  <c r="O98" i="1" s="1"/>
  <c r="M99" i="1"/>
  <c r="N99" i="1" s="1"/>
  <c r="O99" i="1" s="1"/>
  <c r="M100" i="1"/>
  <c r="N100" i="1" s="1"/>
  <c r="O100" i="1" s="1"/>
  <c r="M101" i="1"/>
  <c r="N101" i="1" s="1"/>
  <c r="O101" i="1" s="1"/>
  <c r="M102" i="1"/>
  <c r="N102" i="1" s="1"/>
  <c r="O102" i="1" s="1"/>
  <c r="M103" i="1"/>
  <c r="N103" i="1" s="1"/>
  <c r="O103" i="1" s="1"/>
  <c r="M104" i="1"/>
  <c r="N104" i="1" s="1"/>
  <c r="O104" i="1" s="1"/>
  <c r="M105" i="1"/>
  <c r="N105" i="1" s="1"/>
  <c r="O105" i="1" s="1"/>
  <c r="M106" i="1"/>
  <c r="N106" i="1" s="1"/>
  <c r="O106" i="1" s="1"/>
  <c r="M107" i="1"/>
  <c r="N107" i="1" s="1"/>
  <c r="O107" i="1" s="1"/>
  <c r="M108" i="1"/>
  <c r="N108" i="1" s="1"/>
  <c r="O108" i="1" s="1"/>
  <c r="M109" i="1"/>
  <c r="N109" i="1" s="1"/>
  <c r="O109" i="1" s="1"/>
  <c r="M110" i="1"/>
  <c r="N110" i="1" s="1"/>
  <c r="O110" i="1" s="1"/>
  <c r="M111" i="1"/>
  <c r="N111" i="1" s="1"/>
  <c r="O111" i="1" s="1"/>
  <c r="M112" i="1"/>
  <c r="N112" i="1" s="1"/>
  <c r="O112" i="1" s="1"/>
  <c r="M113" i="1"/>
  <c r="N113" i="1" s="1"/>
  <c r="O113" i="1" s="1"/>
  <c r="M114" i="1"/>
  <c r="N114" i="1" s="1"/>
  <c r="O114" i="1" s="1"/>
  <c r="M115" i="1"/>
  <c r="N115" i="1" s="1"/>
  <c r="O115" i="1" s="1"/>
  <c r="M116" i="1"/>
  <c r="N116" i="1" s="1"/>
  <c r="O116" i="1" s="1"/>
  <c r="M117" i="1"/>
  <c r="N117" i="1" s="1"/>
  <c r="O117" i="1" s="1"/>
  <c r="M118" i="1"/>
  <c r="N118" i="1" s="1"/>
  <c r="O118" i="1" s="1"/>
  <c r="M119" i="1"/>
  <c r="N119" i="1" s="1"/>
  <c r="O119" i="1" s="1"/>
  <c r="M120" i="1"/>
  <c r="N120" i="1" s="1"/>
  <c r="O120" i="1" s="1"/>
  <c r="M121" i="1"/>
  <c r="N121" i="1" s="1"/>
  <c r="O121" i="1" s="1"/>
  <c r="M122" i="1"/>
  <c r="N122" i="1" s="1"/>
  <c r="O122" i="1" s="1"/>
  <c r="M123" i="1"/>
  <c r="N123" i="1" s="1"/>
  <c r="O123" i="1" s="1"/>
  <c r="M124" i="1"/>
  <c r="N124" i="1" s="1"/>
  <c r="O124" i="1" s="1"/>
  <c r="M125" i="1"/>
  <c r="N125" i="1" s="1"/>
  <c r="O125" i="1" s="1"/>
  <c r="M126" i="1"/>
  <c r="N126" i="1" s="1"/>
  <c r="O126" i="1" s="1"/>
  <c r="M127" i="1"/>
  <c r="N127" i="1" s="1"/>
  <c r="O127" i="1" s="1"/>
  <c r="M128" i="1"/>
  <c r="N128" i="1" s="1"/>
  <c r="O128" i="1" s="1"/>
  <c r="M129" i="1"/>
  <c r="N129" i="1" s="1"/>
  <c r="O129" i="1" s="1"/>
  <c r="M130" i="1"/>
  <c r="N130" i="1" s="1"/>
  <c r="O130" i="1" s="1"/>
  <c r="M131" i="1"/>
  <c r="N131" i="1" s="1"/>
  <c r="O131" i="1" s="1"/>
  <c r="M132" i="1"/>
  <c r="N132" i="1" s="1"/>
  <c r="O132" i="1" s="1"/>
  <c r="M133" i="1"/>
  <c r="N133" i="1" s="1"/>
  <c r="O133" i="1" s="1"/>
  <c r="M134" i="1"/>
  <c r="N134" i="1" s="1"/>
  <c r="O134" i="1" s="1"/>
  <c r="M135" i="1"/>
  <c r="N135" i="1" s="1"/>
  <c r="O135" i="1" s="1"/>
  <c r="M136" i="1"/>
  <c r="N136" i="1" s="1"/>
  <c r="O136" i="1" s="1"/>
  <c r="M137" i="1"/>
  <c r="N137" i="1" s="1"/>
  <c r="O137" i="1" s="1"/>
  <c r="M138" i="1"/>
  <c r="N138" i="1" s="1"/>
  <c r="O138" i="1" s="1"/>
  <c r="M139" i="1"/>
  <c r="N139" i="1" s="1"/>
  <c r="O139" i="1" s="1"/>
  <c r="M140" i="1"/>
  <c r="N140" i="1" s="1"/>
  <c r="O140" i="1" s="1"/>
  <c r="M141" i="1"/>
  <c r="N141" i="1" s="1"/>
  <c r="O141" i="1" s="1"/>
  <c r="M142" i="1"/>
  <c r="N142" i="1" s="1"/>
  <c r="O142" i="1" s="1"/>
  <c r="M143" i="1"/>
  <c r="N143" i="1" s="1"/>
  <c r="O143" i="1" s="1"/>
  <c r="M144" i="1"/>
  <c r="N144" i="1" s="1"/>
  <c r="O144" i="1" s="1"/>
  <c r="M145" i="1"/>
  <c r="N145" i="1" s="1"/>
  <c r="O145" i="1" s="1"/>
  <c r="M146" i="1"/>
  <c r="N146" i="1" s="1"/>
  <c r="O146" i="1" s="1"/>
  <c r="M147" i="1"/>
  <c r="N147" i="1" s="1"/>
  <c r="O147" i="1" s="1"/>
  <c r="M148" i="1"/>
  <c r="N148" i="1" s="1"/>
  <c r="O148" i="1" s="1"/>
  <c r="M149" i="1"/>
  <c r="N149" i="1" s="1"/>
  <c r="O149" i="1" s="1"/>
  <c r="M150" i="1"/>
  <c r="N150" i="1" s="1"/>
  <c r="O150" i="1" s="1"/>
  <c r="M151" i="1"/>
  <c r="N151" i="1" s="1"/>
  <c r="O151" i="1" s="1"/>
  <c r="M152" i="1"/>
  <c r="N152" i="1" s="1"/>
  <c r="O152" i="1" s="1"/>
  <c r="M153" i="1"/>
  <c r="N153" i="1" s="1"/>
  <c r="O153" i="1" s="1"/>
  <c r="M154" i="1"/>
  <c r="N154" i="1" s="1"/>
  <c r="O154" i="1" s="1"/>
  <c r="M155" i="1"/>
  <c r="N155" i="1" s="1"/>
  <c r="O155" i="1" s="1"/>
  <c r="M156" i="1"/>
  <c r="N156" i="1" s="1"/>
  <c r="O156" i="1" s="1"/>
  <c r="M157" i="1"/>
  <c r="N157" i="1" s="1"/>
  <c r="O157" i="1" s="1"/>
  <c r="M158" i="1"/>
  <c r="N158" i="1" s="1"/>
  <c r="O158" i="1" s="1"/>
  <c r="M159" i="1"/>
  <c r="N159" i="1" s="1"/>
  <c r="O159" i="1" s="1"/>
  <c r="M160" i="1"/>
  <c r="N160" i="1" s="1"/>
  <c r="O160" i="1" s="1"/>
  <c r="M161" i="1"/>
  <c r="N161" i="1" s="1"/>
  <c r="O161" i="1" s="1"/>
  <c r="M162" i="1"/>
  <c r="N162" i="1" s="1"/>
  <c r="O162" i="1" s="1"/>
  <c r="M163" i="1"/>
  <c r="N163" i="1" s="1"/>
  <c r="O163" i="1" s="1"/>
  <c r="M164" i="1"/>
  <c r="N164" i="1" s="1"/>
  <c r="O164" i="1" s="1"/>
  <c r="M165" i="1"/>
  <c r="N165" i="1" s="1"/>
  <c r="O165" i="1" s="1"/>
  <c r="M166" i="1"/>
  <c r="N166" i="1" s="1"/>
  <c r="O166" i="1" s="1"/>
  <c r="M167" i="1"/>
  <c r="N167" i="1" s="1"/>
  <c r="O167" i="1" s="1"/>
  <c r="M168" i="1"/>
  <c r="N168" i="1" s="1"/>
  <c r="O168" i="1" s="1"/>
  <c r="M169" i="1"/>
  <c r="N169" i="1" s="1"/>
  <c r="O169" i="1" s="1"/>
  <c r="M170" i="1"/>
  <c r="N170" i="1" s="1"/>
  <c r="O170" i="1" s="1"/>
  <c r="M171" i="1"/>
  <c r="N171" i="1" s="1"/>
  <c r="O171" i="1" s="1"/>
  <c r="M172" i="1"/>
  <c r="N172" i="1" s="1"/>
  <c r="O172" i="1" s="1"/>
  <c r="M173" i="1"/>
  <c r="N173" i="1" s="1"/>
  <c r="O173" i="1" s="1"/>
  <c r="M174" i="1"/>
  <c r="N174" i="1" s="1"/>
  <c r="O174" i="1" s="1"/>
  <c r="M175" i="1"/>
  <c r="N175" i="1" s="1"/>
  <c r="O175" i="1" s="1"/>
  <c r="M176" i="1"/>
  <c r="N176" i="1" s="1"/>
  <c r="O176" i="1" s="1"/>
  <c r="M177" i="1"/>
  <c r="N177" i="1" s="1"/>
  <c r="O177" i="1" s="1"/>
  <c r="M178" i="1"/>
  <c r="N178" i="1" s="1"/>
  <c r="O178" i="1" s="1"/>
  <c r="M179" i="1"/>
  <c r="N179" i="1" s="1"/>
  <c r="O179" i="1" s="1"/>
  <c r="M180" i="1"/>
  <c r="N180" i="1" s="1"/>
  <c r="O180" i="1" s="1"/>
  <c r="M181" i="1"/>
  <c r="N181" i="1" s="1"/>
  <c r="O181" i="1" s="1"/>
  <c r="M182" i="1"/>
  <c r="N182" i="1" s="1"/>
  <c r="O182" i="1" s="1"/>
  <c r="M183" i="1"/>
  <c r="N183" i="1" s="1"/>
  <c r="O183" i="1" s="1"/>
  <c r="M184" i="1"/>
  <c r="N184" i="1" s="1"/>
  <c r="O184" i="1" s="1"/>
  <c r="M185" i="1"/>
  <c r="N185" i="1" s="1"/>
  <c r="O185" i="1" s="1"/>
  <c r="M186" i="1"/>
  <c r="N186" i="1" s="1"/>
  <c r="O186" i="1" s="1"/>
  <c r="M187" i="1"/>
  <c r="N187" i="1" s="1"/>
  <c r="O187" i="1" s="1"/>
  <c r="M188" i="1"/>
  <c r="N188" i="1" s="1"/>
  <c r="O188" i="1" s="1"/>
  <c r="M189" i="1"/>
  <c r="N189" i="1" s="1"/>
  <c r="O189" i="1" s="1"/>
  <c r="M190" i="1"/>
  <c r="N190" i="1" s="1"/>
  <c r="O190" i="1" s="1"/>
  <c r="M191" i="1"/>
  <c r="N191" i="1" s="1"/>
  <c r="O191" i="1" s="1"/>
  <c r="M192" i="1"/>
  <c r="N192" i="1" s="1"/>
  <c r="O192" i="1" s="1"/>
  <c r="M193" i="1"/>
  <c r="N193" i="1" s="1"/>
  <c r="O193" i="1" s="1"/>
  <c r="M194" i="1"/>
  <c r="N194" i="1" s="1"/>
  <c r="O194" i="1" s="1"/>
  <c r="M195" i="1"/>
  <c r="N195" i="1" s="1"/>
  <c r="O195" i="1" s="1"/>
  <c r="M196" i="1"/>
  <c r="N196" i="1" s="1"/>
  <c r="O196" i="1" s="1"/>
  <c r="M197" i="1"/>
  <c r="N197" i="1" s="1"/>
  <c r="O197" i="1" s="1"/>
  <c r="M198" i="1"/>
  <c r="N198" i="1" s="1"/>
  <c r="O198" i="1" s="1"/>
  <c r="M199" i="1"/>
  <c r="N199" i="1" s="1"/>
  <c r="O199" i="1" s="1"/>
  <c r="M200" i="1"/>
  <c r="N200" i="1" s="1"/>
  <c r="O200" i="1" s="1"/>
  <c r="M201" i="1"/>
  <c r="N201" i="1" s="1"/>
  <c r="O201" i="1" s="1"/>
  <c r="M202" i="1"/>
  <c r="N202" i="1" s="1"/>
  <c r="O202" i="1" s="1"/>
  <c r="M203" i="1"/>
  <c r="N203" i="1" s="1"/>
  <c r="O203" i="1" s="1"/>
  <c r="M204" i="1"/>
  <c r="N204" i="1" s="1"/>
  <c r="O204" i="1" s="1"/>
  <c r="M205" i="1"/>
  <c r="N205" i="1" s="1"/>
  <c r="O205" i="1" s="1"/>
  <c r="M206" i="1"/>
  <c r="N206" i="1" s="1"/>
  <c r="O206" i="1" s="1"/>
  <c r="M207" i="1"/>
  <c r="N207" i="1" s="1"/>
  <c r="O207" i="1" s="1"/>
  <c r="M208" i="1"/>
  <c r="N208" i="1" s="1"/>
  <c r="O208" i="1" s="1"/>
  <c r="M209" i="1"/>
  <c r="N209" i="1" s="1"/>
  <c r="O209" i="1" s="1"/>
  <c r="M210" i="1"/>
  <c r="N210" i="1" s="1"/>
  <c r="O210" i="1" s="1"/>
  <c r="M211" i="1"/>
  <c r="N211" i="1" s="1"/>
  <c r="O211" i="1" s="1"/>
  <c r="M212" i="1"/>
  <c r="N212" i="1" s="1"/>
  <c r="O212" i="1" s="1"/>
  <c r="M213" i="1"/>
  <c r="N213" i="1" s="1"/>
  <c r="O213" i="1" s="1"/>
  <c r="M214" i="1"/>
  <c r="N214" i="1" s="1"/>
  <c r="O214" i="1" s="1"/>
  <c r="M215" i="1"/>
  <c r="N215" i="1" s="1"/>
  <c r="O215" i="1" s="1"/>
  <c r="M216" i="1"/>
  <c r="N216" i="1" s="1"/>
  <c r="O216" i="1" s="1"/>
  <c r="M217" i="1"/>
  <c r="N217" i="1" s="1"/>
  <c r="O217" i="1" s="1"/>
  <c r="M218" i="1"/>
  <c r="N218" i="1" s="1"/>
  <c r="O218" i="1" s="1"/>
  <c r="M219" i="1"/>
  <c r="N219" i="1" s="1"/>
  <c r="O219" i="1" s="1"/>
  <c r="M220" i="1"/>
  <c r="N220" i="1" s="1"/>
  <c r="O220" i="1" s="1"/>
  <c r="M221" i="1"/>
  <c r="N221" i="1" s="1"/>
  <c r="O221" i="1" s="1"/>
  <c r="M222" i="1"/>
  <c r="N222" i="1" s="1"/>
  <c r="O222" i="1" s="1"/>
  <c r="M223" i="1"/>
  <c r="N223" i="1" s="1"/>
  <c r="O223" i="1" s="1"/>
  <c r="M224" i="1"/>
  <c r="N224" i="1" s="1"/>
  <c r="O224" i="1" s="1"/>
  <c r="M225" i="1"/>
  <c r="N225" i="1" s="1"/>
  <c r="O225" i="1" s="1"/>
  <c r="M226" i="1"/>
  <c r="N226" i="1" s="1"/>
  <c r="O226" i="1" s="1"/>
  <c r="M227" i="1"/>
  <c r="N227" i="1" s="1"/>
  <c r="O227" i="1" s="1"/>
  <c r="M228" i="1"/>
  <c r="N228" i="1" s="1"/>
  <c r="O228" i="1" s="1"/>
  <c r="M229" i="1"/>
  <c r="N229" i="1" s="1"/>
  <c r="O229" i="1" s="1"/>
  <c r="M230" i="1"/>
  <c r="N230" i="1" s="1"/>
  <c r="O230" i="1" s="1"/>
  <c r="M231" i="1"/>
  <c r="N231" i="1" s="1"/>
  <c r="O231" i="1" s="1"/>
  <c r="M232" i="1"/>
  <c r="N232" i="1" s="1"/>
  <c r="O232" i="1" s="1"/>
  <c r="M233" i="1"/>
  <c r="N233" i="1" s="1"/>
  <c r="O233" i="1" s="1"/>
  <c r="M234" i="1"/>
  <c r="N234" i="1" s="1"/>
  <c r="O234" i="1" s="1"/>
  <c r="M235" i="1"/>
  <c r="N235" i="1" s="1"/>
  <c r="O235" i="1" s="1"/>
  <c r="M236" i="1"/>
  <c r="N236" i="1" s="1"/>
  <c r="O236" i="1" s="1"/>
  <c r="M237" i="1"/>
  <c r="N237" i="1" s="1"/>
  <c r="O237" i="1" s="1"/>
  <c r="M238" i="1"/>
  <c r="N238" i="1" s="1"/>
  <c r="O238" i="1" s="1"/>
  <c r="M239" i="1"/>
  <c r="N239" i="1" s="1"/>
  <c r="O239" i="1" s="1"/>
  <c r="M240" i="1"/>
  <c r="N240" i="1" s="1"/>
  <c r="O240" i="1" s="1"/>
  <c r="M241" i="1"/>
  <c r="N241" i="1" s="1"/>
  <c r="O241" i="1" s="1"/>
  <c r="M242" i="1"/>
  <c r="N242" i="1" s="1"/>
  <c r="M243" i="1"/>
  <c r="N243" i="1" s="1"/>
  <c r="O243" i="1" s="1"/>
  <c r="M244" i="1"/>
  <c r="N244" i="1" s="1"/>
  <c r="O244" i="1" s="1"/>
  <c r="M245" i="1"/>
  <c r="N245" i="1" s="1"/>
  <c r="O245" i="1" s="1"/>
  <c r="M246" i="1"/>
  <c r="N246" i="1" s="1"/>
  <c r="O246" i="1" s="1"/>
  <c r="M247" i="1"/>
  <c r="N247" i="1" s="1"/>
  <c r="O247" i="1" s="1"/>
  <c r="M248" i="1"/>
  <c r="N248" i="1" s="1"/>
  <c r="O248" i="1" s="1"/>
  <c r="M249" i="1"/>
  <c r="N249" i="1" s="1"/>
  <c r="O249" i="1" s="1"/>
  <c r="M250" i="1"/>
  <c r="N250" i="1" s="1"/>
  <c r="O250" i="1" s="1"/>
  <c r="M251" i="1"/>
  <c r="N251" i="1" s="1"/>
  <c r="O251" i="1" s="1"/>
  <c r="M252" i="1"/>
  <c r="N252" i="1" s="1"/>
  <c r="O252" i="1" s="1"/>
  <c r="M253" i="1"/>
  <c r="N253" i="1" s="1"/>
  <c r="O253" i="1" s="1"/>
  <c r="M254" i="1"/>
  <c r="N254" i="1" s="1"/>
  <c r="O254" i="1" s="1"/>
  <c r="M255" i="1"/>
  <c r="N255" i="1" s="1"/>
  <c r="O255" i="1" s="1"/>
  <c r="M256" i="1"/>
  <c r="N256" i="1" s="1"/>
  <c r="O256" i="1" s="1"/>
  <c r="M257" i="1"/>
  <c r="N257" i="1" s="1"/>
  <c r="O257" i="1" s="1"/>
  <c r="M258" i="1"/>
  <c r="N258" i="1" s="1"/>
  <c r="O258" i="1" s="1"/>
  <c r="M259" i="1"/>
  <c r="N259" i="1" s="1"/>
  <c r="O259" i="1" s="1"/>
  <c r="M260" i="1"/>
  <c r="N260" i="1" s="1"/>
  <c r="O260" i="1" s="1"/>
  <c r="M261" i="1"/>
  <c r="N261" i="1" s="1"/>
  <c r="O261" i="1" s="1"/>
  <c r="M262" i="1"/>
  <c r="N262" i="1" s="1"/>
  <c r="O262" i="1" s="1"/>
  <c r="M263" i="1"/>
  <c r="N263" i="1" s="1"/>
  <c r="O263" i="1" s="1"/>
  <c r="M264" i="1"/>
  <c r="N264" i="1" s="1"/>
  <c r="O264" i="1" s="1"/>
  <c r="M265" i="1"/>
  <c r="N265" i="1" s="1"/>
  <c r="O265" i="1" s="1"/>
  <c r="M266" i="1"/>
  <c r="N266" i="1" s="1"/>
  <c r="O266" i="1" s="1"/>
  <c r="M267" i="1"/>
  <c r="N267" i="1" s="1"/>
  <c r="O267" i="1" s="1"/>
  <c r="M268" i="1"/>
  <c r="N268" i="1" s="1"/>
  <c r="O268" i="1" s="1"/>
  <c r="M269" i="1"/>
  <c r="N269" i="1" s="1"/>
  <c r="O269" i="1" s="1"/>
  <c r="M270" i="1"/>
  <c r="N270" i="1" s="1"/>
  <c r="O270" i="1" s="1"/>
  <c r="M271" i="1"/>
  <c r="N271" i="1" s="1"/>
  <c r="O271" i="1" s="1"/>
  <c r="M272" i="1"/>
  <c r="N272" i="1" s="1"/>
  <c r="O272" i="1" s="1"/>
  <c r="M273" i="1"/>
  <c r="N273" i="1" s="1"/>
  <c r="O273" i="1" s="1"/>
  <c r="M274" i="1"/>
  <c r="N274" i="1" s="1"/>
  <c r="M275" i="1"/>
  <c r="N275" i="1" s="1"/>
  <c r="O275" i="1" s="1"/>
  <c r="M276" i="1"/>
  <c r="N276" i="1" s="1"/>
  <c r="O276" i="1" s="1"/>
  <c r="M277" i="1"/>
  <c r="N277" i="1" s="1"/>
  <c r="O277" i="1" s="1"/>
  <c r="M278" i="1"/>
  <c r="N278" i="1" s="1"/>
  <c r="O278" i="1" s="1"/>
  <c r="M279" i="1"/>
  <c r="N279" i="1" s="1"/>
  <c r="O279" i="1" s="1"/>
  <c r="M280" i="1"/>
  <c r="N280" i="1" s="1"/>
  <c r="O280" i="1" s="1"/>
  <c r="M281" i="1"/>
  <c r="N281" i="1" s="1"/>
  <c r="O281" i="1" s="1"/>
  <c r="M282" i="1"/>
  <c r="N282" i="1" s="1"/>
  <c r="O282" i="1" s="1"/>
  <c r="M283" i="1"/>
  <c r="N283" i="1" s="1"/>
  <c r="O283" i="1" s="1"/>
  <c r="M284" i="1"/>
  <c r="N284" i="1" s="1"/>
  <c r="O284" i="1" s="1"/>
  <c r="M285" i="1"/>
  <c r="N285" i="1" s="1"/>
  <c r="O285" i="1" s="1"/>
  <c r="M286" i="1"/>
  <c r="N286" i="1" s="1"/>
  <c r="O286" i="1" s="1"/>
  <c r="M287" i="1"/>
  <c r="N287" i="1" s="1"/>
  <c r="O287" i="1" s="1"/>
  <c r="M288" i="1"/>
  <c r="N288" i="1" s="1"/>
  <c r="O288" i="1" s="1"/>
  <c r="M289" i="1"/>
  <c r="N289" i="1" s="1"/>
  <c r="O289" i="1" s="1"/>
  <c r="M290" i="1"/>
  <c r="N290" i="1" s="1"/>
  <c r="O290" i="1" s="1"/>
  <c r="M291" i="1"/>
  <c r="N291" i="1" s="1"/>
  <c r="O291" i="1" s="1"/>
  <c r="M292" i="1"/>
  <c r="N292" i="1" s="1"/>
  <c r="O292" i="1" s="1"/>
  <c r="M293" i="1"/>
  <c r="N293" i="1" s="1"/>
  <c r="O293" i="1" s="1"/>
  <c r="M294" i="1"/>
  <c r="N294" i="1" s="1"/>
  <c r="O294" i="1" s="1"/>
  <c r="M295" i="1"/>
  <c r="N295" i="1" s="1"/>
  <c r="O295" i="1" s="1"/>
  <c r="M296" i="1"/>
  <c r="N296" i="1" s="1"/>
  <c r="O296" i="1" s="1"/>
  <c r="M297" i="1"/>
  <c r="N297" i="1" s="1"/>
  <c r="O297" i="1" s="1"/>
  <c r="M298" i="1"/>
  <c r="N298" i="1" s="1"/>
  <c r="O298" i="1" s="1"/>
  <c r="M299" i="1"/>
  <c r="N299" i="1" s="1"/>
  <c r="O299" i="1" s="1"/>
  <c r="M300" i="1"/>
  <c r="N300" i="1" s="1"/>
  <c r="O300" i="1" s="1"/>
  <c r="M301" i="1"/>
  <c r="N301" i="1" s="1"/>
  <c r="O301" i="1" s="1"/>
  <c r="M302" i="1"/>
  <c r="N302" i="1" s="1"/>
  <c r="O302" i="1" s="1"/>
  <c r="M303" i="1"/>
  <c r="N303" i="1" s="1"/>
  <c r="O303" i="1" s="1"/>
  <c r="M304" i="1"/>
  <c r="N304" i="1" s="1"/>
  <c r="O304" i="1" s="1"/>
  <c r="M305" i="1"/>
  <c r="N305" i="1" s="1"/>
  <c r="O305" i="1" s="1"/>
  <c r="M306" i="1"/>
  <c r="N306" i="1" s="1"/>
  <c r="M307" i="1"/>
  <c r="N307" i="1" s="1"/>
  <c r="O307" i="1" s="1"/>
  <c r="M308" i="1"/>
  <c r="N308" i="1" s="1"/>
  <c r="O308" i="1" s="1"/>
  <c r="M309" i="1"/>
  <c r="N309" i="1" s="1"/>
  <c r="O309" i="1" s="1"/>
  <c r="M310" i="1"/>
  <c r="N310" i="1" s="1"/>
  <c r="O310" i="1" s="1"/>
  <c r="M311" i="1"/>
  <c r="N311" i="1" s="1"/>
  <c r="O311" i="1" s="1"/>
  <c r="M312" i="1"/>
  <c r="N312" i="1" s="1"/>
  <c r="O312" i="1" s="1"/>
  <c r="M313" i="1"/>
  <c r="N313" i="1" s="1"/>
  <c r="O313" i="1" s="1"/>
  <c r="M314" i="1"/>
  <c r="N314" i="1" s="1"/>
  <c r="O314" i="1" s="1"/>
  <c r="M315" i="1"/>
  <c r="N315" i="1" s="1"/>
  <c r="O315" i="1" s="1"/>
  <c r="M316" i="1"/>
  <c r="N316" i="1" s="1"/>
  <c r="O316" i="1" s="1"/>
  <c r="M317" i="1"/>
  <c r="N317" i="1" s="1"/>
  <c r="O317" i="1" s="1"/>
  <c r="M318" i="1"/>
  <c r="N318" i="1" s="1"/>
  <c r="O318" i="1" s="1"/>
  <c r="M319" i="1"/>
  <c r="N319" i="1" s="1"/>
  <c r="O319" i="1" s="1"/>
  <c r="M320" i="1"/>
  <c r="N320" i="1" s="1"/>
  <c r="O320" i="1" s="1"/>
  <c r="M321" i="1"/>
  <c r="N321" i="1" s="1"/>
  <c r="O321" i="1" s="1"/>
  <c r="M322" i="1"/>
  <c r="N322" i="1" s="1"/>
  <c r="O322" i="1" s="1"/>
  <c r="M323" i="1"/>
  <c r="N323" i="1" s="1"/>
  <c r="O323" i="1" s="1"/>
  <c r="M324" i="1"/>
  <c r="N324" i="1" s="1"/>
  <c r="O324" i="1" s="1"/>
  <c r="M325" i="1"/>
  <c r="N325" i="1" s="1"/>
  <c r="O325" i="1" s="1"/>
  <c r="M326" i="1"/>
  <c r="N326" i="1" s="1"/>
  <c r="O326" i="1" s="1"/>
  <c r="M327" i="1"/>
  <c r="N327" i="1" s="1"/>
  <c r="O327" i="1" s="1"/>
  <c r="M328" i="1"/>
  <c r="N328" i="1" s="1"/>
  <c r="O328" i="1" s="1"/>
  <c r="M329" i="1"/>
  <c r="N329" i="1" s="1"/>
  <c r="O329" i="1" s="1"/>
  <c r="M330" i="1"/>
  <c r="N330" i="1" s="1"/>
  <c r="O330" i="1" s="1"/>
  <c r="M331" i="1"/>
  <c r="N331" i="1" s="1"/>
  <c r="O331" i="1" s="1"/>
  <c r="M332" i="1"/>
  <c r="N332" i="1" s="1"/>
  <c r="O332" i="1" s="1"/>
  <c r="M333" i="1"/>
  <c r="N333" i="1" s="1"/>
  <c r="O333" i="1" s="1"/>
  <c r="M334" i="1"/>
  <c r="N334" i="1" s="1"/>
  <c r="O334" i="1" s="1"/>
  <c r="M335" i="1"/>
  <c r="N335" i="1" s="1"/>
  <c r="O335" i="1" s="1"/>
  <c r="M336" i="1"/>
  <c r="N336" i="1" s="1"/>
  <c r="O336" i="1" s="1"/>
  <c r="M337" i="1"/>
  <c r="N337" i="1" s="1"/>
  <c r="O337" i="1" s="1"/>
  <c r="M338" i="1"/>
  <c r="N338" i="1" s="1"/>
  <c r="M339" i="1"/>
  <c r="N339" i="1" s="1"/>
  <c r="O339" i="1" s="1"/>
  <c r="M340" i="1"/>
  <c r="N340" i="1" s="1"/>
  <c r="O340" i="1" s="1"/>
  <c r="M341" i="1"/>
  <c r="N341" i="1" s="1"/>
  <c r="O341" i="1" s="1"/>
  <c r="M342" i="1"/>
  <c r="N342" i="1" s="1"/>
  <c r="O342" i="1" s="1"/>
  <c r="M343" i="1"/>
  <c r="N343" i="1" s="1"/>
  <c r="O343" i="1" s="1"/>
  <c r="M344" i="1"/>
  <c r="N344" i="1" s="1"/>
  <c r="O344" i="1" s="1"/>
  <c r="M345" i="1"/>
  <c r="N345" i="1" s="1"/>
  <c r="O345" i="1" s="1"/>
  <c r="M346" i="1"/>
  <c r="N346" i="1" s="1"/>
  <c r="O346" i="1" s="1"/>
  <c r="M347" i="1"/>
  <c r="N347" i="1" s="1"/>
  <c r="O347" i="1" s="1"/>
  <c r="M348" i="1"/>
  <c r="N348" i="1" s="1"/>
  <c r="O348" i="1" s="1"/>
  <c r="M349" i="1"/>
  <c r="N349" i="1" s="1"/>
  <c r="O349" i="1" s="1"/>
  <c r="M350" i="1"/>
  <c r="N350" i="1" s="1"/>
  <c r="O350" i="1" s="1"/>
  <c r="M351" i="1"/>
  <c r="N351" i="1" s="1"/>
  <c r="O351" i="1" s="1"/>
  <c r="M352" i="1"/>
  <c r="N352" i="1" s="1"/>
  <c r="O352" i="1" s="1"/>
  <c r="M353" i="1"/>
  <c r="N353" i="1" s="1"/>
  <c r="O353" i="1" s="1"/>
  <c r="M354" i="1"/>
  <c r="N354" i="1" s="1"/>
  <c r="O354" i="1" s="1"/>
  <c r="M355" i="1"/>
  <c r="N355" i="1" s="1"/>
  <c r="O355" i="1" s="1"/>
  <c r="M356" i="1"/>
  <c r="N356" i="1" s="1"/>
  <c r="O356" i="1" s="1"/>
  <c r="M357" i="1"/>
  <c r="N357" i="1" s="1"/>
  <c r="O357" i="1" s="1"/>
  <c r="M358" i="1"/>
  <c r="N358" i="1" s="1"/>
  <c r="O358" i="1" s="1"/>
  <c r="M359" i="1"/>
  <c r="N359" i="1" s="1"/>
  <c r="O359" i="1" s="1"/>
  <c r="M360" i="1"/>
  <c r="N360" i="1" s="1"/>
  <c r="O360" i="1" s="1"/>
  <c r="M361" i="1"/>
  <c r="N361" i="1" s="1"/>
  <c r="O361" i="1" s="1"/>
  <c r="M362" i="1"/>
  <c r="N362" i="1" s="1"/>
  <c r="O362" i="1" s="1"/>
  <c r="M363" i="1"/>
  <c r="N363" i="1" s="1"/>
  <c r="O363" i="1" s="1"/>
  <c r="M364" i="1"/>
  <c r="N364" i="1" s="1"/>
  <c r="O364" i="1" s="1"/>
  <c r="M365" i="1"/>
  <c r="N365" i="1" s="1"/>
  <c r="O365" i="1" s="1"/>
  <c r="M366" i="1"/>
  <c r="N366" i="1" s="1"/>
  <c r="O366" i="1" s="1"/>
  <c r="M367" i="1"/>
  <c r="N367" i="1" s="1"/>
  <c r="O367" i="1" s="1"/>
  <c r="M368" i="1"/>
  <c r="N368" i="1" s="1"/>
  <c r="O368" i="1" s="1"/>
  <c r="M369" i="1"/>
  <c r="N369" i="1" s="1"/>
  <c r="O369" i="1" s="1"/>
  <c r="M370" i="1"/>
  <c r="N370" i="1" s="1"/>
  <c r="O370" i="1" s="1"/>
  <c r="M371" i="1"/>
  <c r="N371" i="1" s="1"/>
  <c r="O371" i="1" s="1"/>
  <c r="M372" i="1"/>
  <c r="N372" i="1" s="1"/>
  <c r="O372" i="1" s="1"/>
  <c r="M373" i="1"/>
  <c r="N373" i="1" s="1"/>
  <c r="O373" i="1" s="1"/>
  <c r="M374" i="1"/>
  <c r="N374" i="1" s="1"/>
  <c r="O374" i="1" s="1"/>
  <c r="M375" i="1"/>
  <c r="N375" i="1" s="1"/>
  <c r="O375" i="1" s="1"/>
  <c r="M376" i="1"/>
  <c r="N376" i="1" s="1"/>
  <c r="O376" i="1" s="1"/>
  <c r="M377" i="1"/>
  <c r="N377" i="1" s="1"/>
  <c r="O377" i="1" s="1"/>
  <c r="M378" i="1"/>
  <c r="N378" i="1" s="1"/>
  <c r="O378" i="1" s="1"/>
  <c r="M379" i="1"/>
  <c r="N379" i="1" s="1"/>
  <c r="O379" i="1" s="1"/>
  <c r="M380" i="1"/>
  <c r="N380" i="1" s="1"/>
  <c r="O380" i="1" s="1"/>
  <c r="M381" i="1"/>
  <c r="N381" i="1" s="1"/>
  <c r="O381" i="1" s="1"/>
  <c r="M382" i="1"/>
  <c r="N382" i="1" s="1"/>
  <c r="O382" i="1" s="1"/>
  <c r="M383" i="1"/>
  <c r="N383" i="1" s="1"/>
  <c r="O383" i="1" s="1"/>
  <c r="M384" i="1"/>
  <c r="N384" i="1" s="1"/>
  <c r="O384" i="1" s="1"/>
  <c r="M385" i="1"/>
  <c r="N385" i="1" s="1"/>
  <c r="O385" i="1" s="1"/>
  <c r="M386" i="1"/>
  <c r="N386" i="1" s="1"/>
  <c r="O386" i="1" s="1"/>
  <c r="M387" i="1"/>
  <c r="N387" i="1" s="1"/>
  <c r="O387" i="1" s="1"/>
  <c r="M388" i="1"/>
  <c r="N388" i="1" s="1"/>
  <c r="O388" i="1" s="1"/>
  <c r="M389" i="1"/>
  <c r="N389" i="1" s="1"/>
  <c r="O389" i="1" s="1"/>
  <c r="M390" i="1"/>
  <c r="N390" i="1" s="1"/>
  <c r="O390" i="1" s="1"/>
  <c r="M391" i="1"/>
  <c r="N391" i="1" s="1"/>
  <c r="O391" i="1" s="1"/>
  <c r="M4" i="1"/>
  <c r="N4" i="1" s="1"/>
  <c r="O4" i="1" s="1"/>
</calcChain>
</file>

<file path=xl/sharedStrings.xml><?xml version="1.0" encoding="utf-8"?>
<sst xmlns="http://schemas.openxmlformats.org/spreadsheetml/2006/main" count="6703" uniqueCount="1333">
  <si>
    <t>Mandatory</t>
  </si>
  <si>
    <t>Recommended Attributes</t>
  </si>
  <si>
    <t>Product Tags</t>
  </si>
  <si>
    <t>Description</t>
  </si>
  <si>
    <t>Unique Id</t>
  </si>
  <si>
    <t>Product Name</t>
  </si>
  <si>
    <t>Brand Name</t>
  </si>
  <si>
    <t>Marketer Name</t>
  </si>
  <si>
    <t>Marketer Address</t>
  </si>
  <si>
    <t>Marketer website link</t>
  </si>
  <si>
    <t>Country of Manufacturing/Country of Origin</t>
  </si>
  <si>
    <t>Suggested Category/UDP</t>
  </si>
  <si>
    <t>HSN Code</t>
  </si>
  <si>
    <t>GST Rate</t>
  </si>
  <si>
    <t>MRP</t>
  </si>
  <si>
    <t>Tentative SP</t>
  </si>
  <si>
    <t>Net Payout to Vendor/ Transfer Price</t>
  </si>
  <si>
    <t>Landing Rate for 1mg / Margin for 1mg</t>
  </si>
  <si>
    <t>Product Form</t>
  </si>
  <si>
    <t>Consume Type</t>
  </si>
  <si>
    <t>EAN No/ UPC Code/GS1</t>
  </si>
  <si>
    <t>Unit (s) in Pack</t>
  </si>
  <si>
    <t>Pack size</t>
  </si>
  <si>
    <t>Unit of Measurement</t>
  </si>
  <si>
    <t>Pack Form</t>
  </si>
  <si>
    <t>Veg or Non-Veg</t>
  </si>
  <si>
    <t>Key Ingredient</t>
  </si>
  <si>
    <t>Strength</t>
  </si>
  <si>
    <t>Size(If any)</t>
  </si>
  <si>
    <t>Flavour / Colour</t>
  </si>
  <si>
    <t>Is Returnable
(Yes, No)</t>
  </si>
  <si>
    <t>Product Weight</t>
  </si>
  <si>
    <t>Packaging Length (In Inches)</t>
  </si>
  <si>
    <t>Packaging Breadth (In Inches)</t>
  </si>
  <si>
    <t>Packaging Height (In Inches)</t>
  </si>
  <si>
    <t>Uses 
(Skin Care, Hair Care, etc)</t>
  </si>
  <si>
    <t>Age
(Child, Elderly, All)</t>
  </si>
  <si>
    <t>Infant Food
(Yes, No)</t>
  </si>
  <si>
    <t>Pregnancy Care
(Yes, No)</t>
  </si>
  <si>
    <t>Images</t>
  </si>
  <si>
    <t>Video Link</t>
  </si>
  <si>
    <t>Product Information</t>
  </si>
  <si>
    <t>Key Ingredients</t>
  </si>
  <si>
    <t>Key Benefits/Uses</t>
  </si>
  <si>
    <t>Direction for use/Dosage</t>
  </si>
  <si>
    <t>Safety Information</t>
  </si>
  <si>
    <t>Warranty</t>
  </si>
  <si>
    <t>Warranty Type (Brand/ Seller)</t>
  </si>
  <si>
    <t>Unique identification no. maintained by sellers 
 to keep track of products in 
 their warehouses.</t>
  </si>
  <si>
    <t>Please mention understandable &amp; meaningful product 
 name with minimum Keyword.</t>
  </si>
  <si>
    <t>Name of the Brand which is registered</t>
  </si>
  <si>
    <t>Mentioned at the back label of the product</t>
  </si>
  <si>
    <t>If Available, please mention it. Othewise mention "NA"</t>
  </si>
  <si>
    <t>MRP Refers to maximum price at 
 which a product can be sold. 
 Mostly, it is printed on the 
 manufacturers label.</t>
  </si>
  <si>
    <t>Selling price refers to the actual 
 price of the product that customer 
 needs to pay.</t>
  </si>
  <si>
    <t>Net Payout is the in-hand amount expected by the vendor from 1mg</t>
  </si>
  <si>
    <t>(Syrup, Tablet, Cream etc.)</t>
  </si>
  <si>
    <t>(Oral, Topical, Inhalation, Oral &amp; Topical)</t>
  </si>
  <si>
    <t>UPC or EAN are part of a barcode. They are unique identifiers for products</t>
  </si>
  <si>
    <t>it refers to the total count 
 of the products in a single 
 package.</t>
  </si>
  <si>
    <t>it refers to the quantity present in that package</t>
  </si>
  <si>
    <t>it refers to the type of 
 the container in which product is 
 sold. (Bottle, Tube , Strip etc.)</t>
  </si>
  <si>
    <t>it defines if the product is 
 catagorized as veg or as non-veg.</t>
  </si>
  <si>
    <t>Small/Medium/Large</t>
  </si>
  <si>
    <t>(Yes, No)</t>
  </si>
  <si>
    <t>Product Actual or Dead Weight in grams</t>
  </si>
  <si>
    <t>It refers to the length measurement 
 of the packaging after the product 
 is packed</t>
  </si>
  <si>
    <t>It refers to the breadth/width measurement 
 of the packaging after the product 
 is packed</t>
  </si>
  <si>
    <t>It refers to the height measurement 
 of the packaging after the product 
 is packed</t>
  </si>
  <si>
    <t>(Skin Care, Hair Care, etc)</t>
  </si>
  <si>
    <t>(Child, Elderly, All)</t>
  </si>
  <si>
    <t>Minimum 2 images are mandatory and max of 10 images can be shared for every SKU/product shared for listing. Please make sure that the images link are uploaded here for sure. Share separate folder links for earch SKU/product mentioned in the  catalog that needs to be listed. Image Guideline Link is mentioned for your reference: https://drive.google.com/file/d/1m82ivOXnlXyAQfsWlci1SLSQP6qg5XJd/view?usp=sharing</t>
  </si>
  <si>
    <t>The video link should be a youtube you that you can share</t>
  </si>
  <si>
    <t>https://www.moulinspharma.com/</t>
  </si>
  <si>
    <t>Moulins Pharmaceuticals Pvt Ltd.</t>
  </si>
  <si>
    <t>Plot No.: 363, 1st Floor, Industrial Area, Phase - 2, Panchkula, Haryana - 134113</t>
  </si>
  <si>
    <t>India</t>
  </si>
  <si>
    <t>ACNEPRES CREAM 20 GM</t>
  </si>
  <si>
    <t>ACTSMART-100 TAB 10*10</t>
  </si>
  <si>
    <t>AEROBUD RESPULES 5*5*2ML</t>
  </si>
  <si>
    <t>AEROBUD-L RESPULES 5*5*2ML</t>
  </si>
  <si>
    <t>APPSTORM DROPS 30 ML</t>
  </si>
  <si>
    <t>APPSTORM SYP 100 ML 100 ML</t>
  </si>
  <si>
    <t>APPSTORM SYP 200 ML 200 ML</t>
  </si>
  <si>
    <t>AZXP-250 TAB 10*6</t>
  </si>
  <si>
    <t>AZXP-500 TAB 10*3</t>
  </si>
  <si>
    <t>AZXP-XL 200 SUSP 30 ML</t>
  </si>
  <si>
    <t>BACKLIFT-10 TAB 10*10</t>
  </si>
  <si>
    <t>BACKLIFT-20 TAB 10*10</t>
  </si>
  <si>
    <t>BANIVER-6 TAB 30*1</t>
  </si>
  <si>
    <t>BERBICON TAB 10*1*10</t>
  </si>
  <si>
    <t>BIDSORAL-FORTE TAB 10*20</t>
  </si>
  <si>
    <t>BITSOME-40 INJ 40 MG</t>
  </si>
  <si>
    <t>BITSOME-40 TAB 10*10</t>
  </si>
  <si>
    <t>BITSOME-LS CAP 10*10</t>
  </si>
  <si>
    <t>BITSOME-RD CAP (ALU ALU) 10*10</t>
  </si>
  <si>
    <t>BITSOME-RD CAP 10*10</t>
  </si>
  <si>
    <t>BLINKMOX EYE DROPS 5 ML</t>
  </si>
  <si>
    <t>BLINKMOX-D EYE DROPS 5 ML</t>
  </si>
  <si>
    <t>BLINKMOX-KT EYE DROPS 5 ML</t>
  </si>
  <si>
    <t>BLINKMOX-LP EYE DROPS 5 ML</t>
  </si>
  <si>
    <t>BLISSGARD CAP 10*1*10</t>
  </si>
  <si>
    <t>BLISSGARD SYP 225 ML</t>
  </si>
  <si>
    <t>BLISSGARD-V WASH 100 ML</t>
  </si>
  <si>
    <t>BRIVAPOSE-50 TAB 10*10</t>
  </si>
  <si>
    <t>BRUSCON SUSP 100 ML</t>
  </si>
  <si>
    <t>BUCKSTOP INJ 1 GM</t>
  </si>
  <si>
    <t>CABSMILE-0.5 TAB 10*1*4</t>
  </si>
  <si>
    <t>CAMYLOCK TAB 10*15</t>
  </si>
  <si>
    <t>CANBLISS-150 TAB 6*5*1</t>
  </si>
  <si>
    <t>CANBLISS-200 TAB 6*5*1</t>
  </si>
  <si>
    <t>CANBLISS-400 TAB 20*1 TAB</t>
  </si>
  <si>
    <t>CANBLISS-I DS TAB 6*5*1</t>
  </si>
  <si>
    <t>CANTBEAT SOAP 75 GM</t>
  </si>
  <si>
    <t>CANTBEAT-6 CREAM 15 GM</t>
  </si>
  <si>
    <t>CEREBOON SYP 225 ML</t>
  </si>
  <si>
    <t>CEREBOON-DHA SG CAP 10*1*10</t>
  </si>
  <si>
    <t>CEREBOON-GOLD SG CAP 10*1*10</t>
  </si>
  <si>
    <t>CEREBOON-LC TAB 10*1*10</t>
  </si>
  <si>
    <t>CEREBOON-NT TAB 10*10</t>
  </si>
  <si>
    <t>CEREBOON-PG CAP 10*10</t>
  </si>
  <si>
    <t>CEREBOON-PGN TAB 10*10</t>
  </si>
  <si>
    <t>CEREBOON-PLUS CAP 10*10</t>
  </si>
  <si>
    <t>CETMOLIN-10 TAB 10*10</t>
  </si>
  <si>
    <t>CETMOLIN-5 TAB 10*10</t>
  </si>
  <si>
    <t>CHEERTEL-40 TAB 10*15</t>
  </si>
  <si>
    <t>CHEERTEL-80 TAB 10*10</t>
  </si>
  <si>
    <t>CHEERTEL-AH TAB 10*15</t>
  </si>
  <si>
    <t>CHEERTEL-AM TAB 10*15</t>
  </si>
  <si>
    <t>CHEERTEL-CL 40 TAB 10*15</t>
  </si>
  <si>
    <t>CHEERTEL-CT 40/6.25 TAB 10*10</t>
  </si>
  <si>
    <t>CHEERTEL-H TAB 10*15</t>
  </si>
  <si>
    <t>CHEERTEL-MCL 25 TAB 10*15</t>
  </si>
  <si>
    <t>CHEERTEL-MXL 25 TAB 10*10</t>
  </si>
  <si>
    <t>CHEERTEL-MXL 50 TAB 10*10</t>
  </si>
  <si>
    <t>CITRONORM SYP 100 ML</t>
  </si>
  <si>
    <t>CITRONORM-K SYP 200 ML</t>
  </si>
  <si>
    <t>CLOTSURE INJ 5*5 ML</t>
  </si>
  <si>
    <t>CLOTSURE-500 TAB 10*10</t>
  </si>
  <si>
    <t>CLOTSURE-M TAB 10*10</t>
  </si>
  <si>
    <t>COLSVIT-PLUS TAB 10*1*10</t>
  </si>
  <si>
    <t>COOLBITE SUSP 170 ML</t>
  </si>
  <si>
    <t>COOLBITE-MS SUSP 170 ML</t>
  </si>
  <si>
    <t>COOLBITE-MSD SUSP 170 ML</t>
  </si>
  <si>
    <t>COOLBITE-S SUSP 100 ML</t>
  </si>
  <si>
    <t>COOLBITE-S SUSP 200 ML</t>
  </si>
  <si>
    <t>COXCALM-120 TAB 10*10</t>
  </si>
  <si>
    <t>COXCALM-90 TAB 10*10</t>
  </si>
  <si>
    <t>COXCALM-P TAB 10*10</t>
  </si>
  <si>
    <t>COXCALM-TH4 TAB 10*10</t>
  </si>
  <si>
    <t>CRAMPION-PLUS TAB 10*1*10</t>
  </si>
  <si>
    <t>CRANPRES-IV INFUSION 100 ML</t>
  </si>
  <si>
    <t>CREMCAL SUSP 200 ML</t>
  </si>
  <si>
    <t>CREMCAL TAB 10*15</t>
  </si>
  <si>
    <t>CREMCAL-CC TAB 10*15</t>
  </si>
  <si>
    <t>CREMCAL-CCM TAB 1*30</t>
  </si>
  <si>
    <t>CREMCAL-K2 SG CAP 10*1*10</t>
  </si>
  <si>
    <t>CREMCAL-MAX SG CAP 10*1*15</t>
  </si>
  <si>
    <t>CREMCAL-SG CAP 10*10</t>
  </si>
  <si>
    <t>CREMCAL-XT TAB 10*15</t>
  </si>
  <si>
    <t>CYSFERT-M PLUS TAB 10*1*10</t>
  </si>
  <si>
    <t>CYSFERT-PLUS TAB 10*1*10</t>
  </si>
  <si>
    <t>DECKBIL-20 TAB 10*10</t>
  </si>
  <si>
    <t>DECKBIL-M TAB 10*10</t>
  </si>
  <si>
    <t>DEWSIGHT EYE DROPS 10 ML</t>
  </si>
  <si>
    <t>DICMOLIN GEL 30 GM</t>
  </si>
  <si>
    <t>DICMOLIN INJ 10*1ML</t>
  </si>
  <si>
    <t>DICMOLIN MR TAB 10*10</t>
  </si>
  <si>
    <t>DICMOLIN ROLL ON 60 GM</t>
  </si>
  <si>
    <t>DICMOLIN-P TAB 10*2*10</t>
  </si>
  <si>
    <t>DICMOLIN-SP TAB 10*10</t>
  </si>
  <si>
    <t>DOXBITE-100 DRY SYP 15GM/30ML</t>
  </si>
  <si>
    <t>DOXBITE-100 DT TAB 10*10</t>
  </si>
  <si>
    <t>DOXBITE-200 DT TAB 10*10</t>
  </si>
  <si>
    <t>DOXBITE-50 DRY SYP 15GM/30ML</t>
  </si>
  <si>
    <t>DOXBITE-CV 100 DRY SYP 4G/30ML</t>
  </si>
  <si>
    <t>DOXBITE-CV 50 DRY SYP 3.6G/30ML</t>
  </si>
  <si>
    <t>DOXBITE-CV TAB 10*1*6</t>
  </si>
  <si>
    <t>DRILOXIM-125 DRY SYP 5.4G/30ML</t>
  </si>
  <si>
    <t>DRILOXIM-250 TAB 3*10</t>
  </si>
  <si>
    <t>DRILOXIM-500 TAB 3*10</t>
  </si>
  <si>
    <t>DRILOXIM-CV TAB 10*1*10</t>
  </si>
  <si>
    <t>DRILPAIN OIL 60 ML</t>
  </si>
  <si>
    <t>DRILPAIN-D TAB 10*10</t>
  </si>
  <si>
    <t>DRILPAIN-MR TAB 10*10</t>
  </si>
  <si>
    <t>DRILPAIN-P TAB(ALU-ALU) 10*10</t>
  </si>
  <si>
    <t>DRILPAIN-P TAB(BLISTER) 10*10</t>
  </si>
  <si>
    <t>DRILPAIN-PTH4 TAB 10*10</t>
  </si>
  <si>
    <t>DRILPAIN-RB CAP 10*10</t>
  </si>
  <si>
    <t>DRILPAIN-SP TAB 10*10</t>
  </si>
  <si>
    <t>DRILPAIN-TH8 TAB 10*10</t>
  </si>
  <si>
    <t>DRILSPAS-DS TAB 10*10</t>
  </si>
  <si>
    <t>DRIPNASE DROPS 15 ML</t>
  </si>
  <si>
    <t>DRIPNASE NASAL SPRAY 10 ML</t>
  </si>
  <si>
    <t>DRIPNASE-AM TAB 10*10</t>
  </si>
  <si>
    <t>DRIPNASE-KID NASAL SPRAY 10 ML</t>
  </si>
  <si>
    <t>DRIPNASE-MIST NASAL SPRAY 100 ML</t>
  </si>
  <si>
    <t>DRIPNASE-NC TAB 10*10</t>
  </si>
  <si>
    <t>DRIPNASE-P DS SUSP 60 ML</t>
  </si>
  <si>
    <t>DRIPNASE-S NASAL SPRAY 10 ML</t>
  </si>
  <si>
    <t>DRIPNASE-S NASAL SPRAY 20 ML</t>
  </si>
  <si>
    <t>DRIPNASE-TRIO TAB 10*10</t>
  </si>
  <si>
    <t>DUCKLIV SYP 100 ML 100 ML</t>
  </si>
  <si>
    <t>DUCKLIV SYP 225 ML</t>
  </si>
  <si>
    <t>DUCKLIV-5G SYP 225 ML</t>
  </si>
  <si>
    <t>DUCKLIV-DS TAB 30 TAB</t>
  </si>
  <si>
    <t>ECHOBID NASAL SPRAY 10 ML</t>
  </si>
  <si>
    <t>ECHOBID SYP 60 ML 60 ML</t>
  </si>
  <si>
    <t>ECHOBID SYRUP 100 ML</t>
  </si>
  <si>
    <t>ECHOBID-100 CAP 10*10</t>
  </si>
  <si>
    <t>ECHOBID-ACE TAB 10*10</t>
  </si>
  <si>
    <t>ECHOBID-AM TAB 10*10</t>
  </si>
  <si>
    <t>ECHOBID-JUNIOR SYP 60 ML</t>
  </si>
  <si>
    <t>ECHOBID-LC SYRUP 100 ML</t>
  </si>
  <si>
    <t>ECHOBID-LS DROPS 15 ML</t>
  </si>
  <si>
    <t>ECHOBID-LS SYP 60 ML 60 ML</t>
  </si>
  <si>
    <t>ECHOBID-LS SYRUP 100 ML</t>
  </si>
  <si>
    <t>ECHOTUSS-D  SYP 60 ML</t>
  </si>
  <si>
    <t>ECHOTUSS-DX SYRUP 100 ML</t>
  </si>
  <si>
    <t>ECLODEC CREAM 15 GM</t>
  </si>
  <si>
    <t>ENTERFAX-400 TAB 10*10</t>
  </si>
  <si>
    <t>EPILATOR-500 TAB 10*10</t>
  </si>
  <si>
    <t>ESTRONOT TAB 10*1*28</t>
  </si>
  <si>
    <t>EVENZULA CREAM 15 GM</t>
  </si>
  <si>
    <t>EVESBOON TAB 10*1*10</t>
  </si>
  <si>
    <t>EVESFEN SG CAP 10*1*1</t>
  </si>
  <si>
    <t>EXCELACT GRANULES 200 GM</t>
  </si>
  <si>
    <t>EXITRON DROPS 30 ML</t>
  </si>
  <si>
    <t>EXITRON INJ 5*2 ML</t>
  </si>
  <si>
    <t>EXITRON-MD 4 TAB 10*10</t>
  </si>
  <si>
    <t>EXITRON-MD 8 TAB 10*10</t>
  </si>
  <si>
    <t>EXTECLIN-LB CAP 10*10</t>
  </si>
  <si>
    <t>FAROBYTE-200 TAB 10*1*6</t>
  </si>
  <si>
    <t>FAROBYTE-300 ER TAB 10*1*6</t>
  </si>
  <si>
    <t>FAROBYTE-50 DRY SYP 6G/30ML</t>
  </si>
  <si>
    <t>FAROBYTE-CV TAB 10*1*6</t>
  </si>
  <si>
    <t>FEBMATE 40 TAB 10*14</t>
  </si>
  <si>
    <t>FENAMOST-D TAB 10*10</t>
  </si>
  <si>
    <t>FENAMOST-P DS SUSP 60 ML</t>
  </si>
  <si>
    <t>FENAMOST-P TAB 10*10</t>
  </si>
  <si>
    <t>FLABSTOP-120 CAP 10*1*10</t>
  </si>
  <si>
    <t>FLAZMOR-6 TAB 10*10</t>
  </si>
  <si>
    <t>FLOSVECT-100 SUSP 60 ML</t>
  </si>
  <si>
    <t>FLOSVECT-200 TAB 10*10</t>
  </si>
  <si>
    <t>FLOSVECT-4 CREAM 15 GM</t>
  </si>
  <si>
    <t>FLOSVECT-50 SUSP 60 ML</t>
  </si>
  <si>
    <t>FLOSVECT-BC EAR DROPS 5 ML</t>
  </si>
  <si>
    <t>FLOSVECT-MS SUSP 30ML 30 ML</t>
  </si>
  <si>
    <t>FLOSVECT-MS SUSP 60 ML</t>
  </si>
  <si>
    <t>FLOSVECT-OZ TAB 10*10</t>
  </si>
  <si>
    <t>GABROCK-D GEL 30 GM</t>
  </si>
  <si>
    <t>GABROCK-M TAB 10*10</t>
  </si>
  <si>
    <t>GABROCK-NT 100 TAB 10*10</t>
  </si>
  <si>
    <t>GABROCK-NT 400 TAB 10*10</t>
  </si>
  <si>
    <t>GARANTID SYP 100 ML</t>
  </si>
  <si>
    <t>GASBEAT-RT TAB 10*10</t>
  </si>
  <si>
    <t>GB-ALL 120 TAB 10*10</t>
  </si>
  <si>
    <t>GESPLAN TAB 2*5*10</t>
  </si>
  <si>
    <t>GLADFY-MP2 TAB 10*10</t>
  </si>
  <si>
    <t>GLISCORT-100 INJ 100 MG/VIAL</t>
  </si>
  <si>
    <t>GRAMSPAN-40 TAB 10*10 10*10</t>
  </si>
  <si>
    <t>GRAMSPAN-40 TAB 10*15</t>
  </si>
  <si>
    <t>GRAMSPAN-D TAB 10*15</t>
  </si>
  <si>
    <t>GRAMSPAN-DSR ALU-ALU 10*10</t>
  </si>
  <si>
    <t>GRAMSPAN-DSR CAP 10*15</t>
  </si>
  <si>
    <t>GRAMSPAN-IV INJ 40 MG</t>
  </si>
  <si>
    <t>GRAMSPAN-L CAP 10*10</t>
  </si>
  <si>
    <t>GRAMSPAN-O TAB 10*15</t>
  </si>
  <si>
    <t>GUMSNORM MOUTH WASH 100 ML</t>
  </si>
  <si>
    <t>GUMSNORM TOOTH GEL 50 GM</t>
  </si>
  <si>
    <t>GUMSNORM-M GEL 15 GM</t>
  </si>
  <si>
    <t>HELISTORM-ACE KIT TAB 10*1*6</t>
  </si>
  <si>
    <t>HEPSLOT-400 TAB 10*1*10</t>
  </si>
  <si>
    <t>HOLDBACK-200 SR TAB 10*1*10</t>
  </si>
  <si>
    <t>HOLDBACK-300 SR TAB 10*1*10</t>
  </si>
  <si>
    <t>HOLDBACK-M TAB 2*5*10</t>
  </si>
  <si>
    <t>HYDROBILE SUSP 100 ML</t>
  </si>
  <si>
    <t>HYDROBILE-150 TAB 10*10</t>
  </si>
  <si>
    <t>HYDROBILE-300 TAB 10*10</t>
  </si>
  <si>
    <t>INDOPRES-SR CAP 10*10</t>
  </si>
  <si>
    <t>INSTAVIBE (ORANGE) 105 GM</t>
  </si>
  <si>
    <t>INSTAVIBE SACHET 25G*10</t>
  </si>
  <si>
    <t>INSTAVIBE-ZORS SACHET 21G*10</t>
  </si>
  <si>
    <t>IPSMOL RESPULES 5*5*2.5ML</t>
  </si>
  <si>
    <t>IQC INJ 1*2ML</t>
  </si>
  <si>
    <t>ITSFINE SOAP 75 GM</t>
  </si>
  <si>
    <t>ITSFINE-100 CAP 10*10</t>
  </si>
  <si>
    <t>ITSFINE-200 CAP 10*10</t>
  </si>
  <si>
    <t>JACKSPOR-100 DRY SYP 30 ML</t>
  </si>
  <si>
    <t>JACKSPOR-100 DT TAB 10*10</t>
  </si>
  <si>
    <t>JACKSPOR-200 DT TAB 10*10</t>
  </si>
  <si>
    <t>JACKSPOR-50 DRY SYP 15GM/30ML</t>
  </si>
  <si>
    <t>JACKSPOR-CV 325 TAB 10*1*10</t>
  </si>
  <si>
    <t>JACKSPOR-LB 200 TAB 10*10</t>
  </si>
  <si>
    <t>JACKSPOR-O 200 TAB 10*10</t>
  </si>
  <si>
    <t>JACKSPOR-O DRY SYP 15GM/30ML</t>
  </si>
  <si>
    <t>JACKZYME DROPS 15 ML</t>
  </si>
  <si>
    <t>JACKZYME SYP 200 ML</t>
  </si>
  <si>
    <t>JACKZYME TAB 5*2*15</t>
  </si>
  <si>
    <t>JOYSCOOP-PLUS SG CAP 10*1*10</t>
  </si>
  <si>
    <t>JOYZINC DROPS 30 ML</t>
  </si>
  <si>
    <t>JOYZINC SYP 100 ML</t>
  </si>
  <si>
    <t>JUSTLOCK CREAM 30 GM</t>
  </si>
  <si>
    <t>JUSTLOCK SOAP 75 GM</t>
  </si>
  <si>
    <t>KETMOLIN-DT TAB 10*15</t>
  </si>
  <si>
    <t>LANSBERG-JUNIOR TAB 10*15</t>
  </si>
  <si>
    <t>LANSBERG-RD CAP 10*10</t>
  </si>
  <si>
    <t>LAXPOSE FIBER 150 GM</t>
  </si>
  <si>
    <t>LAXPOSE SYP 100 ML</t>
  </si>
  <si>
    <t>LAXPOSE SYP 200 ML</t>
  </si>
  <si>
    <t>LAXPOSE-3 SUSP 200 ML</t>
  </si>
  <si>
    <t>LEGSPIN-16 TAB 10*15</t>
  </si>
  <si>
    <t>LEGSPIN-24 TAB 10*15</t>
  </si>
  <si>
    <t>LEGSPIN-8 TAB 10*15</t>
  </si>
  <si>
    <t>LETS UP 5 TAB 10*1*5</t>
  </si>
  <si>
    <t>LG-BEC EAR DROPS 5 ML</t>
  </si>
  <si>
    <t>LGZ TAB 10*1*10</t>
  </si>
  <si>
    <t>LIBIFERT CAP 10*1*10</t>
  </si>
  <si>
    <t>LINEMINT SG CAP 10*10</t>
  </si>
  <si>
    <t>LINZMOL-600 TAB 10*1*6</t>
  </si>
  <si>
    <t>LV-DOT-500 TAB 10*10</t>
  </si>
  <si>
    <t>M-STEEL FORTE TAB 10*1*10</t>
  </si>
  <si>
    <t>MALAZONE-L TAB 10*1*6</t>
  </si>
  <si>
    <t>MIGHTY RED SYP 300 ML</t>
  </si>
  <si>
    <t>MIGHTY RED-FCM INJ 10 ML</t>
  </si>
  <si>
    <t>MIGHTY RED-M TAB 10*15</t>
  </si>
  <si>
    <t>MIGHTY RED-M XT SUSP 200 ML</t>
  </si>
  <si>
    <t>MIGHTY RED-XT DROPS 15 ML</t>
  </si>
  <si>
    <t>MIGHTY RED-XT SUSP 200 ML</t>
  </si>
  <si>
    <t>MIGHTY RED-XT TAB 10*10</t>
  </si>
  <si>
    <t>MIGHTY-RED INJ 1*5 ML</t>
  </si>
  <si>
    <t>MILKY GLOW SG CAP 30 CAP</t>
  </si>
  <si>
    <t>MINDSPOT-CT TAB 10*1*10</t>
  </si>
  <si>
    <t>MISBELLA-E SG CAP 10*1*10</t>
  </si>
  <si>
    <t>MISBELLA-E SOAP 75 GM</t>
  </si>
  <si>
    <t>MOULIN'S Q10-300 TAB 10*1*10</t>
  </si>
  <si>
    <t>MOXMOL-250 TAB 10*10</t>
  </si>
  <si>
    <t>MOXMOL-500 CAP 10*10</t>
  </si>
  <si>
    <t>MUPJI OINTMENT 10 GM</t>
  </si>
  <si>
    <t>MUSTBON-D3 DROPS 30 ML</t>
  </si>
  <si>
    <t>MUSTBON-D3 NANO SHOT(B.SCOTCH) 5 ML</t>
  </si>
  <si>
    <t>MUSTBON-D3 NANO SHOTS(LICHI) 4*5ML</t>
  </si>
  <si>
    <t>MUSTBON-D3 NANO SHOTS(STRWBRY) 4*5ML</t>
  </si>
  <si>
    <t>MUSTBON-D3 SACHET 10*1 GM</t>
  </si>
  <si>
    <t>MUSTBON-D3 SG CAP 10*1*4</t>
  </si>
  <si>
    <t>MUSTBON-D3 SG CAP 10*1*8</t>
  </si>
  <si>
    <t>NAXIVA-D 500 TAB 10*10</t>
  </si>
  <si>
    <t>NEBSMOL-G RESPULES 4*5*2 ML</t>
  </si>
  <si>
    <t>NECRABAC-1000 INJ 1 GM</t>
  </si>
  <si>
    <t>NECRABAC-250 INJ 250 MG</t>
  </si>
  <si>
    <t>NECRABAC-500 INJ 500 MG</t>
  </si>
  <si>
    <t>NECRABAC-SB 1500 INJ 1.5 GM</t>
  </si>
  <si>
    <t>NECRABAC-SB 375 INJ 375 MG</t>
  </si>
  <si>
    <t>NECRABAC-TZ 1.125 INJ 1.125GM</t>
  </si>
  <si>
    <t>NEFLIT SYP 225 ML</t>
  </si>
  <si>
    <t>NEFLIT TAB 30 TAB</t>
  </si>
  <si>
    <t>NGMOL-2.6 TAB 30 TAB</t>
  </si>
  <si>
    <t>NICOSPAN-5 TAB 10*10</t>
  </si>
  <si>
    <t>NITPAC-100 TAB 10*14</t>
  </si>
  <si>
    <t>NVGON TAB 10*10</t>
  </si>
  <si>
    <t>NVGON-OD TAB 10*10</t>
  </si>
  <si>
    <t>OVLANDER-L TAB 10*1*21</t>
  </si>
  <si>
    <t>PEDIBLOW SOAP 75 GM</t>
  </si>
  <si>
    <t>PEDIBLOW-C SOAP 75 GM</t>
  </si>
  <si>
    <t>PEGZAP POWDER 119 GM</t>
  </si>
  <si>
    <t>PICJI SYP 100 ML</t>
  </si>
  <si>
    <t>PIPSTOC-4.5 INJ 4.5 GM</t>
  </si>
  <si>
    <t>PLANSCAR GEL 20 GM</t>
  </si>
  <si>
    <t>PLATSTOR SYP 225 ML</t>
  </si>
  <si>
    <t>PLATSTOR TAB 10*1*10</t>
  </si>
  <si>
    <t>PREDIPIL-16 TAB 10*10</t>
  </si>
  <si>
    <t>PREDIPIL-4 TAB 10*10</t>
  </si>
  <si>
    <t>PREDIPIL-8 TAB 10*10</t>
  </si>
  <si>
    <t>PREDIPIL-A INJ 2 ML</t>
  </si>
  <si>
    <t>PRESTIMOL INJ 40MG/1ML</t>
  </si>
  <si>
    <t>PRIKMIK-100 INJ 2 ML</t>
  </si>
  <si>
    <t>PRIKMIK-250 INJ 2 ML</t>
  </si>
  <si>
    <t>PRIKMIK-500 INJ 2 ML</t>
  </si>
  <si>
    <t>PRIKNATE-120 INJ 120MG/VIAL</t>
  </si>
  <si>
    <t>PRIKNATE-60 INJ 60MG/VIAL</t>
  </si>
  <si>
    <t>PYROSTOP DROPS 15 ML</t>
  </si>
  <si>
    <t>PYROSTOP-1K TAB 10*10</t>
  </si>
  <si>
    <t>PYROSTOP-250 SUSP 60 ML</t>
  </si>
  <si>
    <t>PYROSTOP-500 TAB 10*15</t>
  </si>
  <si>
    <t>PYROSTOP-650 TAB 10*15</t>
  </si>
  <si>
    <t>PYROSTOP-IV INFUSION 100 ML</t>
  </si>
  <si>
    <t>RAFGARD-SB 1500 INJ 1.5 GM</t>
  </si>
  <si>
    <t>RECPILL TAB 10*10</t>
  </si>
  <si>
    <t>RECPILL-D TAB 10*10</t>
  </si>
  <si>
    <t>RECPILL-DS TAB 10*1*10</t>
  </si>
  <si>
    <t>RIDSCLAV DRY SYP 30 ML</t>
  </si>
  <si>
    <t>RIDSCLAV-1000 TAB 10*1*10</t>
  </si>
  <si>
    <t>RIDSCLAV-375 TAB 10*10</t>
  </si>
  <si>
    <t>RIDSCLAV-625 TAB (STRIP) 10*1*10</t>
  </si>
  <si>
    <t>RIDSCLAV-625 TAB (STRIP) 10*1*6</t>
  </si>
  <si>
    <t>RIDSCLAV-625 TAB 10*10</t>
  </si>
  <si>
    <t>RIDSCLAV-DDS DRY SYP 30 ML</t>
  </si>
  <si>
    <t>RIDSCLAV-LB 625 TAB 10*1*10</t>
  </si>
  <si>
    <t>ROXBANG-150 TAB 10*10</t>
  </si>
  <si>
    <t>SCADILAN-40 SR TAB 10*10</t>
  </si>
  <si>
    <t>STERONOR-10 CR TAB 10*10</t>
  </si>
  <si>
    <t>STERONOR-5 TAB 10*10</t>
  </si>
  <si>
    <t>SULTREK-375 TAB 10*1*10</t>
  </si>
  <si>
    <t>SUPER SIGHT SG CAP 10*1*10</t>
  </si>
  <si>
    <t>SYNCRAB-20 INJ 20 MG</t>
  </si>
  <si>
    <t>SYNCRAB-20 TAB 10*10</t>
  </si>
  <si>
    <t>SYNCRAB-D TAB 10*10</t>
  </si>
  <si>
    <t>SYNCRAB-DSR CAP 10*10</t>
  </si>
  <si>
    <t>SYNCRAB-L CAP 10*10</t>
  </si>
  <si>
    <t>SYNCRAB-O TAB 10*15</t>
  </si>
  <si>
    <t>TICABELL TAB 10*14</t>
  </si>
  <si>
    <t>TOM 8O PLUS SYP 225 ML</t>
  </si>
  <si>
    <t>TORCHWIN CAP 10*10</t>
  </si>
  <si>
    <t>TRUSLIDE-P TAB BLUE 20*10</t>
  </si>
  <si>
    <t>TRUSLIDE-P TAB GOLDEN 20*10</t>
  </si>
  <si>
    <t>TUMSGARD SUSP 150 ML</t>
  </si>
  <si>
    <t>VATSLA CAP 10*10</t>
  </si>
  <si>
    <t>VATSLA SYP 225 ML</t>
  </si>
  <si>
    <t>VENSEREN-50 ER TAB 10*10</t>
  </si>
  <si>
    <t>VENTHROM OINTMENT 30 GM</t>
  </si>
  <si>
    <t>VISTALOC-25 TAB 10*15</t>
  </si>
  <si>
    <t>VOLKSLIV INJ 1*10ML</t>
  </si>
  <si>
    <t>VOLKSLIV SYP 100 ML 100 ML</t>
  </si>
  <si>
    <t>VOLKSLIV SYP 225 ML 225 ML</t>
  </si>
  <si>
    <t>VOLKSMIN OSTEO 200 GM</t>
  </si>
  <si>
    <t>VOLKSMIN SYP 300 ML</t>
  </si>
  <si>
    <t>VOLKSMIN-FORTE CAP 10*1*10</t>
  </si>
  <si>
    <t>VOLKSMIN-MAMA CHOCOLATE 200 GM</t>
  </si>
  <si>
    <t>VOLKSMIN-MAMA VANILLA FLAVOUR 200 GM</t>
  </si>
  <si>
    <t>VOLKSMIN-RG SACHET 20*5 GM</t>
  </si>
  <si>
    <t>VOLKSMIN-SE 20 ML</t>
  </si>
  <si>
    <t>VOLKSMIN-SN 200 ML</t>
  </si>
  <si>
    <t>VOLKSVIT LB SG CAP 10*10</t>
  </si>
  <si>
    <t>VOLKSVIT-12G SG CAP 10*1*10</t>
  </si>
  <si>
    <t>VOLKSVIT-4G SG CAP 3*10</t>
  </si>
  <si>
    <t>VOLKSVIT-CZS TAB 10*1*15</t>
  </si>
  <si>
    <t>VOLKSVIT-L DHA 100ML 100 ML</t>
  </si>
  <si>
    <t>VOLKSVIT-L DHA SYP 225ML 225 ML</t>
  </si>
  <si>
    <t>VOLKSVIT-L DROPS 30 ML</t>
  </si>
  <si>
    <t>VOLKSVIT-L SUSP 225 ML</t>
  </si>
  <si>
    <t>VOLKSVIT-LB CAP 10*10</t>
  </si>
  <si>
    <t>VOLKSVIT-Q10 SG CAP 10*1*10</t>
  </si>
  <si>
    <t>VOLKSVIT-Z SYRUP 200 ML</t>
  </si>
  <si>
    <t>WINDFRESH-0.31 RESPULES 4*5*2.5ML</t>
  </si>
  <si>
    <t>WINDFRESH-0.63 RESPULES 4*5*2.5ML</t>
  </si>
  <si>
    <t>WINDFRESH-S RESPULES 5*5*4ML</t>
  </si>
  <si>
    <t>WINDPACK NASAL SPRAY 10 ML</t>
  </si>
  <si>
    <t>WINDPACK-3X TAB 10*10</t>
  </si>
  <si>
    <t>WINDPACK-AZ NASAL SPRAY 10 ML</t>
  </si>
  <si>
    <t>WINDPACK-FX TAB 10*10</t>
  </si>
  <si>
    <t>WINDPACK-L KID TAB 10*10</t>
  </si>
  <si>
    <t>WINDPACK-L SYP 30 ML 30 ML</t>
  </si>
  <si>
    <t>WINDPACK-L SYRUP 60 ML</t>
  </si>
  <si>
    <t>WINDPACK-L TAB 10*15</t>
  </si>
  <si>
    <t>WINDPACK-L TAB STRIP 10*10</t>
  </si>
  <si>
    <t>XETAG-M1 FORTE TAB 10*10</t>
  </si>
  <si>
    <t>XETAG-M1 TAB 10*15</t>
  </si>
  <si>
    <t>XETAG-M2 FORTE TAB 10*10</t>
  </si>
  <si>
    <t>XETAG-M2 TAB 10*15</t>
  </si>
  <si>
    <t>ZENBELLY CAP 10*10</t>
  </si>
  <si>
    <t>ZENBELLY DRY POWDER 12G/60ML</t>
  </si>
  <si>
    <t>ZENBELLY-BC SUSP 10*5 ML</t>
  </si>
  <si>
    <t>ZENMOOD TAB 2*5*10</t>
  </si>
  <si>
    <t>ZIDPOWER-T INJ 1125 MG</t>
  </si>
  <si>
    <t>ZIPCEE TAB 20 TAB</t>
  </si>
  <si>
    <t>20 GM</t>
  </si>
  <si>
    <t>https://drive.google.com/file/d/1tdbZx4YK7D_Boc-2K9xwp631XnbmMHIo/view?usp=sharing</t>
  </si>
  <si>
    <t>https://drive.google.com/file/d/1DoFLr5QpKEhjqqS01eXnwV9cs7bFR7V_/view?usp=sharing</t>
  </si>
  <si>
    <t>https://drive.google.com/file/d/17iWXXrq6Yjb5-MlwJkEbiZtbx6Tw2DBh/view?usp=sharing</t>
  </si>
  <si>
    <t>https://drive.google.com/file/d/18HlO0Ona5vwOGcjIgdUVSJlHx2P_EGUP/view?usp=sharing</t>
  </si>
  <si>
    <t>https://drive.google.com/file/d/1CQ8sRoCBrZur-Q8PeobAfjJxQVpxDaO_/view?usp=sharing</t>
  </si>
  <si>
    <t>https://drive.google.com/file/d/19gERGkUhlrhaOLIbh5UBYKjRyjyrIgtr/view?usp=sharing</t>
  </si>
  <si>
    <t>https://drive.google.com/file/d/1_TNndiY4sgjVbpfWuMfe04Bf9hQ7q3Ju/view?usp=sharing</t>
  </si>
  <si>
    <t>https://drive.google.com/file/d/1R-x5i9nWZE8CESdGoAKwh-8PegOAJw-4/view?usp=sharing</t>
  </si>
  <si>
    <t>https://drive.google.com/file/d/1nIZk1epQ3LTjJOVBl08wSHD-5BtG8dYJ/view?usp=sharing</t>
  </si>
  <si>
    <t>https://drive.google.com/file/d/1meJ36GEDB94du6CDHxrAg9MxziGN1_X3/view?usp=sharing</t>
  </si>
  <si>
    <t>https://drive.google.com/file/d/1oEVeVmdR-T2nQz225C2k2SgaS8KPbT9G/view?usp=sharing</t>
  </si>
  <si>
    <t>https://drive.google.com/file/d/1FdamlJJZ9jl49nVcA-jgIEru7BPN4304/view?usp=sharing</t>
  </si>
  <si>
    <t>https://drive.google.com/file/d/1lMLxPd4jaJI1G3QIJ5DcFNEMwv6vHUe5/view?usp=sharing</t>
  </si>
  <si>
    <t>https://drive.google.com/file/d/1kMhaU3pPEeKg0Zqpla97zQmBDarRrr33/view?usp=sharing</t>
  </si>
  <si>
    <t>https://drive.google.com/file/d/1K5SGInxa8-OLrKRefgL-82Yq9B7iGgnJ/view?usp=sharing</t>
  </si>
  <si>
    <t>https://drive.google.com/file/d/1AlP7FoNZSfkJAqh2IsJf-V1Dw_OgWc0D/view?usp=sharing</t>
  </si>
  <si>
    <t>https://drive.google.com/file/d/1bA_tiQIN_p2KJOZl021TWKGFwzOlBqty/view?usp=sharing</t>
  </si>
  <si>
    <t>https://drive.google.com/file/d/1Lhk7HhCwIVFdc8uZ0LarPn4NEUpIFmKi/view?usp=sharing</t>
  </si>
  <si>
    <t>https://drive.google.com/file/d/18_ST9h7z97LLx96hZ4fDV5fcR9lXWInz/view?usp=sharing</t>
  </si>
  <si>
    <t>https://drive.google.com/file/d/1C27d027kFPyIdzkaObOa-U8-PZiEFymO/view?usp=sharing</t>
  </si>
  <si>
    <t>https://drive.google.com/file/d/1RNxgRnoPKGGEoKgLdjhNvegsVEy8w5jk/view?usp=sharing</t>
  </si>
  <si>
    <t>\S</t>
  </si>
  <si>
    <t>https://drive.google.com/file/d/1bSfs9WE8BdqV0kDm8pjrqKIbSXpgbKi-/view?usp=sharing</t>
  </si>
  <si>
    <t>https://drive.google.com/file/d/15hmBbuq_m2gztW1GUp5sGyq7HhEoKekm/view?usp=sharing</t>
  </si>
  <si>
    <t>https://drive.google.com/file/d/1J_bDZAtrpvnYp--rZvMU6DJmWNmdISNQ/view?usp=sharing5</t>
  </si>
  <si>
    <t>https://drive.google.com/file/d/1vLibcFSJ11Kb8MMmlSbbNVAr-zag1XCo/view?usp=sharing</t>
  </si>
  <si>
    <t>https://drive.google.com/file/d/1bjksN6R1CoMzinXigTMvqSJ4ssOEWs3A/view?usp=sharing</t>
  </si>
  <si>
    <t>https://drive.google.com/file/d/1yLFBLfPESDpBaHq5xBJkKg0e8_w_pgux/view?usp=sharing</t>
  </si>
  <si>
    <t>https://drive.google.com/file/d/17kf6LiUtJrr679UfSvcPdV7EpEx0mUNJ/view?usp=sharing</t>
  </si>
  <si>
    <t>https://drive.google.com/file/d/11_xZG1R681tHqRW9mjD6NtcEyatC_242/view?usp=sharing</t>
  </si>
  <si>
    <t>https://drive.google.com/file/d/17xyWJ6tOTGXa1dTq6JmoyiR204UQwsd2/view?usp=sharing</t>
  </si>
  <si>
    <t>https://drive.google.com/file/d/1VYzdHTnCodomtmwZwreof_-ML59A4PZt/view?usp=sharing</t>
  </si>
  <si>
    <t>https://drive.google.com/file/d/1pwHz0QTw4bNwVRYZHEqukyuwPQwnEKjc/view?usp=sharing</t>
  </si>
  <si>
    <t>https://drive.google.com/file/d/1lgJZGlMJoJPy-4EwHzTMLwHMewwshr6R/view?usp=sharing</t>
  </si>
  <si>
    <t>https://drive.google.com/file/d/1jEfCZpnxTWfErr0iKO9Wc89t9mQdXv1O/view?usp=sharing</t>
  </si>
  <si>
    <t>https://drive.google.com/file/d/1yZ_dAnw4jYWBg-d_IR6O2fR3AQwU2Pzs/view?usp=sharing</t>
  </si>
  <si>
    <t>https://drive.google.com/file/d/1IX_VKMDKxsBSo-qa5D0-SVamD-uUnsnI/view?usp=sharing</t>
  </si>
  <si>
    <t>https://drive.google.com/file/d/1RntJT2eDd0p29FNMf8zjsSqizQLLWUzn/view?usp=sharing</t>
  </si>
  <si>
    <t>https://drive.google.com/file/d/17P92N9H1-V7A3xBaYCNnrW7cfvmAemvr/view?usp=sharing</t>
  </si>
  <si>
    <t>https://drive.google.com/file/d/1j55F8wqpB4L5yzKSFoVrc_ai6k7kAhUm/view?usp=sharing</t>
  </si>
  <si>
    <t>https://drive.google.com/file/d/10-3pBNic8BHlcev4Qrnjc56Q3Vchw5TU/view?usp=sharing</t>
  </si>
  <si>
    <t>https://drive.google.com/file/d/1ENAw07r-9KrUKoKi3XI0XQfrr34NupOC/view?usp=sharing</t>
  </si>
  <si>
    <t>https://drive.google.com/file/d/1_UsPsUoSKbN7ScuJ8uZTPZGYw3SjBGFp/view?usp=sharing</t>
  </si>
  <si>
    <t>https://drive.google.com/file/d/1zuLviMGQr9EeqnEp41KnSOFm143mb2OI/view?usp=sharing</t>
  </si>
  <si>
    <t>https://drive.google.com/file/d/1ijeGe1ATEEdvCszX1HK87_eC5NSMbxNf/view?usp=sharing</t>
  </si>
  <si>
    <t>https://drive.google.com/file/d/1X6kR03RHmAa0ow47J4sdFaPrDSfTEKDJ/view?usp=sharing</t>
  </si>
  <si>
    <t>https://drive.google.com/file/d/170VmVCvaoUxYrCKx-RY43gGy1qFuiZzW/view?usp=sharing</t>
  </si>
  <si>
    <t>https://drive.google.com/file/d/1cvZTyC5hhO_nmBnR7vw0SPjgjhPOrc8A/view?usp=sharing</t>
  </si>
  <si>
    <t>https://drive.google.com/file/d/1MLK8MX_K3jH-YvqkYndmhcKP9Pv5xpf_/view?usp=sharing</t>
  </si>
  <si>
    <t>https://drive.google.com/file/d/1m2dcCA2O-rPS6M9F_dafwJrtikHcipzl/view?usp=sharing</t>
  </si>
  <si>
    <t>https://drive.google.com/file/d/1xCZePL8AFGg7_Be2aHgdMkqAVyjRIdMR/view?usp=sharing</t>
  </si>
  <si>
    <t>https://drive.google.com/file/d/1AKqZr-yJiQEgKds5W570TmeYNP5CpH5t/view?usp=sharing</t>
  </si>
  <si>
    <t>https://drive.google.com/file/d/1KDGGwBWLtAY78xn5iZU07G45smf9zjDo/view?usp=sharing</t>
  </si>
  <si>
    <t>https://drive.google.com/file/d/1VZTALC9NDyXBCsmE0hL3E4LzW5otYKvP/view?usp=sharing</t>
  </si>
  <si>
    <t>https://drive.google.com/file/d/1ika-AcuGEcG8jp70Gwyx4yEhbvJyHb0-/view?usp=sharing</t>
  </si>
  <si>
    <t>https://drive.google.com/file/d/1BHiCa_-3c3MP2lAkOOGkeErUb2aDJ-R3/view?usp=sharing</t>
  </si>
  <si>
    <t>https://drive.google.com/file/d/1D1y3orPGM7tG_qlJNMdC6hy2QZOKblFM/view?usp=sharing</t>
  </si>
  <si>
    <t>https://drive.google.com/file/d/1vtHs7s5RNURF6nPcFG0T8fYWk2OuP6gY/view?usp=sharing</t>
  </si>
  <si>
    <t>https://drive.google.com/file/d/1l-EZBsuWNiizOjKUUdQmcL4aq29VXJRT/view?usp=sharing</t>
  </si>
  <si>
    <t>https://drive.google.com/file/d/1ZgRrrcNVAxOAUK8lfwNoJ5mQKsa6PKVY/view?usp=sharing</t>
  </si>
  <si>
    <t>https://drive.google.com/file/d/1008I2X3LeME18I0BnSNv8IuH4jFwxi0o/view?usp=sharing</t>
  </si>
  <si>
    <t>https://drive.google.com/file/d/1jlcP8XDi4OUWXTHKkEl_KRAWehXJm5k6/view?usp=sharing</t>
  </si>
  <si>
    <t>https://drive.google.com/file/d/140i0oPnW6yTE3VtJQc0KkscQkWtXOMgA/view?usp=sharing</t>
  </si>
  <si>
    <t>https://drive.google.com/file/d/1UlhSSogciAswu0jBpVOTRN9NdhE7BDyk/view?usp=sharing</t>
  </si>
  <si>
    <t>https://drive.google.com/file/d/1TzXFlxFQ8OUo8CSLv6q6loyCznbFuFJx/view?usp=sharing</t>
  </si>
  <si>
    <t>https://drive.google.com/file/d/18Wg_ozbo3djq819ixDK9wMPY5b3ybIkv/view?usp=sharing</t>
  </si>
  <si>
    <t>https://drive.google.com/file/d/1u0qekCi1yfSO5nJR-lgS1MFaIRSSn6v-/view?usp=sharing</t>
  </si>
  <si>
    <t>https://drive.google.com/file/d/1n0IKK-7RPkaRAVl2kUuM1uw8uAeF9c_f/view?usp=sharing</t>
  </si>
  <si>
    <t>https://drive.google.com/file/d/1uZDhll0mPygwVKNeywMVc7c-vgF0dd-_/view?usp=sharing</t>
  </si>
  <si>
    <t>https://drive.google.com/file/d/1vN3PxQTFFT0uh6ZM33bgS59N1kxpPT8P/view?usp=sharing</t>
  </si>
  <si>
    <t>https://drive.google.com/file/d/1Uo8PUUPKiSWYWXDS3wwa2LzzrrJ_UY6v/view?usp=sharing</t>
  </si>
  <si>
    <t>https://drive.google.com/file/d/1rPbrbIq4bQWvNLtHBBm8j0p06a6fPgs0/view?usp=sharing</t>
  </si>
  <si>
    <t>https://drive.google.com/file/d/1FkyqM90MvKC_5qj2PbcymCOsaGAXUztI/view?usp=sharing</t>
  </si>
  <si>
    <t>https://drive.google.com/file/d/1kMZcg58VXtx-GIrcc_6q5YhNVwL9YeDv/view?usp=sharing</t>
  </si>
  <si>
    <t>https://drive.google.com/file/d/1AsGRzJkJ35BaOvEUUkHFwETGm37Zgg2_/view?usp=sharing</t>
  </si>
  <si>
    <t>https://drive.google.com/file/d/107JO-ck2qEreB3ubPLcxdEJMGWgU_k74/view?usp=sharing</t>
  </si>
  <si>
    <t>https://drive.google.com/file/d/1V_IYoSdVxMsUUe9evHXxIZYRn4d-tkw5/view?usp=sharing</t>
  </si>
  <si>
    <t>https://drive.google.com/file/d/1fZL3eQMC7tnyuPxHh8dnVKqyZ5o4dk-L/view?usp=sharing</t>
  </si>
  <si>
    <t>https://drive.google.com/file/d/1_h4J9SNfzdqyLJhBPzYFT3OxDAYvZGP-/view?usp=sharing</t>
  </si>
  <si>
    <t>https://drive.google.com/file/d/1yKodk-ZCBjmvlHmgXoHYpXT5NHNfIb8g/view?usp=sharing</t>
  </si>
  <si>
    <t>https://drive.google.com/file/d/1Qryln85d8kpW7YaJdIdtoZO91Cjdx4Na/view?usp=sharing</t>
  </si>
  <si>
    <t>https://drive.google.com/file/d/1GjMynhAqGD7Gg56uPgJ2DZZKCBYDIapi/view?usp=sharing</t>
  </si>
  <si>
    <t>https://drive.google.com/file/d/1DYzH0IOHdVwuP1JzPLaEUIWEX_Q9E5mQ/view?usp=sharing</t>
  </si>
  <si>
    <t>https://drive.google.com/file/d/1_8acXns5bjhIAQ5HEiZaiBNpsFz9KmrG/view?usp=sharing</t>
  </si>
  <si>
    <t>https://drive.google.com/file/d/1-4bKAgtoUoBx5qSgSRWijF3meZPIROte/view?usp=sharing</t>
  </si>
  <si>
    <t>https://drive.google.com/file/d/1jXMNjoLMpb4W2Ee9Q_WoP427dCc7Ogo3/view?usp=sharing</t>
  </si>
  <si>
    <t>https://drive.google.com/file/d/10BAQA5EwW3CoPTFXr9wUnTtNu4OnfTDc/view?usp=sharing</t>
  </si>
  <si>
    <t>https://drive.google.com/file/d/1NyDnY6ZFPYxWG-ul0VhU2FR3otCO6skc/view?usp=sharing</t>
  </si>
  <si>
    <t>https://drive.google.com/file/d/1-N6FId0D6ewLUaLO2f8016MXRfV-JTyU/view?usp=sharing</t>
  </si>
  <si>
    <t>https://drive.google.com/file/d/1s826hZkkUrvXhvVrmxVzPExgaFpWHOD1/view?usp=sharing</t>
  </si>
  <si>
    <t>https://drive.google.com/file/d/1YHYLliuRNpaK_M0vCb6nqldM4THxcpja/view?usp=sharing</t>
  </si>
  <si>
    <t>https://drive.google.com/file/d/1nAy09QWhjHgiV6IbLbnMcM_iTGE_s24I/view?usp=sharing</t>
  </si>
  <si>
    <t>https://drive.google.com/file/d/1IU-7onWE2HBevF20yQZuw9VMvzcvz89K/view?usp=sharing</t>
  </si>
  <si>
    <t>https://drive.google.com/file/d/1qkjhCypZlyyzOEgeVtpp5j-7xO0CH3eu/view?usp=sharing</t>
  </si>
  <si>
    <t>https://drive.google.com/file/d/1tGS-efPQYVkD8PRFd5gG7RNo145QH1Ou/view?usp=sharing</t>
  </si>
  <si>
    <t>https://drive.google.com/file/d/1v4-l5KYVgTzeUNTu8gG9BVEj_9_4Y2aI/view?usp=sharing</t>
  </si>
  <si>
    <t>https://drive.google.com/file/d/1ezT8eLCE_eZVm8PlIpIDy8_pkxGsHHEU/view?usp=sharing</t>
  </si>
  <si>
    <t>https://drive.google.com/file/d/1chuZWkTipSYBEpdFQogRpKSHTQW-PMU0/view?usp=sharing</t>
  </si>
  <si>
    <t>https://drive.google.com/file/d/1cQFxS2nmYbNYuLxv4HKUGYQWU9l1B4Ky/view?usp=sharing</t>
  </si>
  <si>
    <t>https://drive.google.com/file/d/12pQb0ujHmaDdbOv3YR-ycnDNrgzjFH17/view?usp=sharing</t>
  </si>
  <si>
    <t>https://drive.google.com/file/d/1zAiTa2CEG5yxL3ChXdwoLaJiP9d3ogbf/view?usp=sharing</t>
  </si>
  <si>
    <t>https://drive.google.com/file/d/1z1rhJEiqWMWX7rYU4zHYTRY-1ZgcPB1W/view?usp=sharing</t>
  </si>
  <si>
    <t>https://drive.google.com/file/d/1w6U683ITIUxS95PTuwJtIfOy7Gy-aQn6/view?usp=sharing</t>
  </si>
  <si>
    <t>https://drive.google.com/file/d/1O4Fk5Q-sHirtoUrtRGwOWcKK7zcacA_F/view?usp=sharing</t>
  </si>
  <si>
    <t>https://drive.google.com/file/d/1TgVkHTPV2gyMlG5qDvm6TlIpNUcNnuSg/view?usp=sharing</t>
  </si>
  <si>
    <t>https://drive.google.com/file/d/19RV8AR8IBPuQtyd2fhc5KDeq3liB7MCq/view?usp=sharing</t>
  </si>
  <si>
    <t>https://drive.google.com/file/d/1BGyHLbK4Axp1K0cucODoVrZfw9clF27c/view?usp=sharing</t>
  </si>
  <si>
    <t>https://drive.google.com/file/d/1w14V9VrG3ZEM_jpLV34dBEyZYtqls-gT/view?usp=sharing</t>
  </si>
  <si>
    <t>https://drive.google.com/file/d/1dBChZnqmzM0q8PTL7o3xE0v10fI7FvQl/view?usp=sharing</t>
  </si>
  <si>
    <t>https://drive.google.com/file/d/1a4eIqT3QMmznU77llU-WYaci0hVUdSez/view?usp=sharing</t>
  </si>
  <si>
    <t>https://drive.google.com/file/d/1RcZwVETR9MB4Hsse7qqykSIFPyG4xXfZ/view?usp=sharing</t>
  </si>
  <si>
    <t>https://drive.google.com/file/d/1sKBR8ymM_3cxhYyqpHg4TB8S-Auj4hSB/view?usp=sharing</t>
  </si>
  <si>
    <t>https://drive.google.com/file/d/1e8CO139qBGh_MNuddmXPqrJfYzRVb4vx/view?usp=sharing</t>
  </si>
  <si>
    <t>https://drive.google.com/file/d/1352GOuS1VuDF22p-I9mPqWqb8uMuUG8P/view?usp=sharing</t>
  </si>
  <si>
    <t>https://drive.google.com/file/d/16KiNws5gfu4s6K8jh_ye-izR0SmOTsvS/view?usp=sharing</t>
  </si>
  <si>
    <t>https://drive.google.com/file/d/1xG0TliiyesME_sit5s7z8VZSDWdRVKly/view?usp=sharing</t>
  </si>
  <si>
    <t>https://drive.google.com/file/d/1ppYp183YvRthkuvgGhp4-ldb2C7TL0xE/view?usp=sharing</t>
  </si>
  <si>
    <t>https://drive.google.com/file/d/1-MX7lcoUYa3cnCqg46QnNgIEvqA3PLM9/view?usp=sharing</t>
  </si>
  <si>
    <t>https://drive.google.com/file/d/1YK3RHaBz9bHueMiUG7ZCOUk5bVqqDO4v/view?usp=sharing</t>
  </si>
  <si>
    <t>https://drive.google.com/file/d/1yuS8wBU7U7r4d_WKP1yIMzlSuFEb6BDL/view?usp=sharing</t>
  </si>
  <si>
    <t>34022020       34022020</t>
  </si>
  <si>
    <t>84425010       84425010</t>
  </si>
  <si>
    <t>85359010       85359010</t>
  </si>
  <si>
    <t>10*10</t>
  </si>
  <si>
    <t>5*5*2ML</t>
  </si>
  <si>
    <t>30 ML</t>
  </si>
  <si>
    <t>100 ML</t>
  </si>
  <si>
    <t>200 ML</t>
  </si>
  <si>
    <t>10*6</t>
  </si>
  <si>
    <t>10*3</t>
  </si>
  <si>
    <t>30*1</t>
  </si>
  <si>
    <t>10*1*10</t>
  </si>
  <si>
    <t>10*20</t>
  </si>
  <si>
    <t>40 MG</t>
  </si>
  <si>
    <t>5 ML</t>
  </si>
  <si>
    <t>225 ML</t>
  </si>
  <si>
    <t>1 GM</t>
  </si>
  <si>
    <t>10*1*4</t>
  </si>
  <si>
    <t>10*15</t>
  </si>
  <si>
    <t>6*5*1</t>
  </si>
  <si>
    <t>20*1 TAB</t>
  </si>
  <si>
    <t>75 GM</t>
  </si>
  <si>
    <t>15 GM</t>
  </si>
  <si>
    <t>5*5 ML</t>
  </si>
  <si>
    <t>170 ML</t>
  </si>
  <si>
    <t>1*30</t>
  </si>
  <si>
    <t>10*1*15</t>
  </si>
  <si>
    <t>10 ML</t>
  </si>
  <si>
    <t>30 GM</t>
  </si>
  <si>
    <t>10*1ML</t>
  </si>
  <si>
    <t>60 GM</t>
  </si>
  <si>
    <t>10*2*10</t>
  </si>
  <si>
    <t>15GM/30ML</t>
  </si>
  <si>
    <t>4G/30ML</t>
  </si>
  <si>
    <t>3.6G/30ML</t>
  </si>
  <si>
    <t>10*1*6</t>
  </si>
  <si>
    <t>5.4G/30ML</t>
  </si>
  <si>
    <t>3*10</t>
  </si>
  <si>
    <t>60 ML</t>
  </si>
  <si>
    <t>15 ML</t>
  </si>
  <si>
    <t>20 ML</t>
  </si>
  <si>
    <t>30 TAB</t>
  </si>
  <si>
    <t>10*1*28</t>
  </si>
  <si>
    <t>10*1*1</t>
  </si>
  <si>
    <t>200 GM</t>
  </si>
  <si>
    <t>5*2 ML</t>
  </si>
  <si>
    <t>6G/30ML</t>
  </si>
  <si>
    <t>10*14</t>
  </si>
  <si>
    <t>2*5*10</t>
  </si>
  <si>
    <t>100 MG/VIAL</t>
  </si>
  <si>
    <t>50 GM</t>
  </si>
  <si>
    <t>105 GM</t>
  </si>
  <si>
    <t>25G*10</t>
  </si>
  <si>
    <t>21G*10</t>
  </si>
  <si>
    <t>5*5*2.5ML</t>
  </si>
  <si>
    <t>1*2ML</t>
  </si>
  <si>
    <t>5*2*15</t>
  </si>
  <si>
    <t>150 GM</t>
  </si>
  <si>
    <t>10*1*5</t>
  </si>
  <si>
    <t>300 ML</t>
  </si>
  <si>
    <t>1*5 ML</t>
  </si>
  <si>
    <t>30 CAP</t>
  </si>
  <si>
    <t>10 GM</t>
  </si>
  <si>
    <t>4*5ML</t>
  </si>
  <si>
    <t>10*1 GM</t>
  </si>
  <si>
    <t>10*1*8</t>
  </si>
  <si>
    <t>4*5*2 ML</t>
  </si>
  <si>
    <t>250 MG</t>
  </si>
  <si>
    <t>500 MG</t>
  </si>
  <si>
    <t>1.5 GM</t>
  </si>
  <si>
    <t>375 MG</t>
  </si>
  <si>
    <t>1.125GM</t>
  </si>
  <si>
    <t>10*1*21</t>
  </si>
  <si>
    <t>119 GM</t>
  </si>
  <si>
    <t>4.5 GM</t>
  </si>
  <si>
    <t>2 ML</t>
  </si>
  <si>
    <t>40MG/1ML</t>
  </si>
  <si>
    <t>120MG/VIAL</t>
  </si>
  <si>
    <t>60MG/VIAL</t>
  </si>
  <si>
    <t>20 MG</t>
  </si>
  <si>
    <t>20*10</t>
  </si>
  <si>
    <t>150 ML</t>
  </si>
  <si>
    <t>1*10ML</t>
  </si>
  <si>
    <t>20*5 GM</t>
  </si>
  <si>
    <t>4*5*2.5ML</t>
  </si>
  <si>
    <t>5*5*4ML</t>
  </si>
  <si>
    <t>12G/60ML</t>
  </si>
  <si>
    <t>10*5 ML</t>
  </si>
  <si>
    <t>1125 MG</t>
  </si>
  <si>
    <t>20 TAB</t>
  </si>
  <si>
    <t>https://drive.google.com/file/d/1QRkQoMrIyrDbaBMwFAAOP6sQs1Tl1I8l/view?usp=sharing</t>
  </si>
  <si>
    <t>https://drive.google.com/file/d/1PDymHBR_JGpByR6vhERyVBACc9fWQ_fM/view?usp=sharing</t>
  </si>
  <si>
    <t>https://drive.google.com/file/d/1JxWfMnygYa_KDjH-CO-2ec-peFRuoF4o/view?usp=sharing</t>
  </si>
  <si>
    <t>https://drive.google.com/file/d/1nPVK92WjdivNPXmvaWnZJH2dFGSO1pYU/view?usp=sharing</t>
  </si>
  <si>
    <t>https://drive.google.com/file/d/1XU5j5N4IwQtZb2WzfrqWHHxO5rCC0Bpf/view?usp=sharing</t>
  </si>
  <si>
    <t>https://drive.google.com/file/d/1ljvV1aYRbBwa6DuC7RL7gUUbfgbdcwJ1/view?usp=sharing</t>
  </si>
  <si>
    <t>https://drive.google.com/file/d/1-ONIP6Nj3Pmnz17xjE2BJmlNWv42mYSx/view?usp=sharing</t>
  </si>
  <si>
    <t>https://drive.google.com/file/d/1tkOOIrc3TC094StzJhxfDtXOuM-g3o9s/view?usp=sharing</t>
  </si>
  <si>
    <t>https://drive.google.com/file/d/1if77HgcciC0pthVk84zAG_68sQVxzJvj/view?usp=sharing</t>
  </si>
  <si>
    <t>https://drive.google.com/file/d/151H7B7eSYePwuZCQPmQ4pAQqwPgfQxKi/view?usp=sharing</t>
  </si>
  <si>
    <t>https://drive.google.com/file/d/1lpDcbrUoftXhQHg76mIqcw2zfE9O4zOI/view?usp=sharing</t>
  </si>
  <si>
    <t>https://drive.google.com/file/d/1Ot21Yuv0Xclxce4tSxMnd8WoKFvKqDl5/view?usp=sharing</t>
  </si>
  <si>
    <t>https://drive.google.com/file/d/1N9P786qvqqmgSLFIrHRWIqzztE0z1imO/view?usp=sharing</t>
  </si>
  <si>
    <t>https://drive.google.com/file/d/18g4SKukVwoXHAldSkxIGNb44bvQS8iWA/view?usp=sharing</t>
  </si>
  <si>
    <t>https://drive.google.com/file/d/193aqUNPQyDYHgVt7xfJ5AortHC42ZQOp/view?usp=sharing</t>
  </si>
  <si>
    <t>https://drive.google.com/file/d/1Ax9vyZzM7Ys3mp_8BEVlwXQ_Aggdi2Nq/view?usp=sharing</t>
  </si>
  <si>
    <t>https://drive.google.com/file/d/19OuOiFQd-4MdErFQ8ZVK2glLYi8jSquK/view?usp=sharing</t>
  </si>
  <si>
    <t>https://drive.google.com/file/d/1BXDBuwqxKJi5pU0egHWy_6L5G9T3b-fx/view?usp=sharing</t>
  </si>
  <si>
    <t>https://drive.google.com/file/d/17zbymF_UYp3agl6fQVlKW6cfOoA2i5_3/view?usp=sharing</t>
  </si>
  <si>
    <t>https://drive.google.com/file/d/13YC-_nK9kLj95wm7FgJfk8w6C75AQsCE/view?usp=sharing</t>
  </si>
  <si>
    <t>https://drive.google.com/file/d/1n4uTCaaekGK-4mCrRQj9TfVTW3m_4Okq/view?usp=sharing</t>
  </si>
  <si>
    <t>https://drive.google.com/file/d/14DFmT_x-xHrevP3WfneUxSTTe8RpyIai/view?usp=sharing</t>
  </si>
  <si>
    <t>https://drive.google.com/file/d/1T4buaaydfmCyViDP4LubjCfugowVjljf/view?usp=sharing</t>
  </si>
  <si>
    <t>https://drive.google.com/file/d/18TdqlMtfKtWlN6E0jMZacCbiA4toWBC3/view?usp=sharing</t>
  </si>
  <si>
    <t>https://drive.google.com/file/d/1saefqa77pFFnieuyvtd_WiF8HBAGj-rm/view?usp=sharing</t>
  </si>
  <si>
    <t>https://drive.google.com/file/d/1X5ECnN_phS1y3QfAxeqRrdJR7a3zLxv8/view?usp=sharing</t>
  </si>
  <si>
    <t>https://drive.google.com/file/d/1rQ4-MI9-uVerkeV06kXuEjZlXfaD1fCd/view?usp=sharing</t>
  </si>
  <si>
    <t>https://drive.google.com/file/d/1RhE1CDx4dK6dF6OTiEskW77MWda7BHDI/view?usp=sharing</t>
  </si>
  <si>
    <t>https://drive.google.com/file/d/1AVO9cUDc-d3_msyQr_gIvy9nynQcMr2o/view?usp=sharing</t>
  </si>
  <si>
    <t>https://drive.google.com/file/d/1DBrsAFkdKeveZEHFVIxxScRmJamGcAEv/view?usp=sharing</t>
  </si>
  <si>
    <t>https://drive.google.com/file/d/17yiMNw5h5UXupS2h4kWzR2iVCRCMaoq5/view?usp=sharing</t>
  </si>
  <si>
    <t>https://drive.google.com/file/d/1g52wIoVvudZDQvNujXyYnvQUQMjJublW/view?usp=sharing</t>
  </si>
  <si>
    <t>https://drive.google.com/file/d/1MZWClCFh8wHwPxLH22bmsG8URklIFIeP/view?usp=sharing</t>
  </si>
  <si>
    <t>https://drive.google.com/file/d/10p98hKNRuKMM2O3u2F_MdLByTIzxF4T2/view?usp=sharing</t>
  </si>
  <si>
    <t>https://drive.google.com/file/d/1Y_52Jb7cXH1NQXbpS0XjFXlTpYyUF4PC/view?usp=sharing</t>
  </si>
  <si>
    <t>https://drive.google.com/file/d/1pdCXuk3NZAPQov00WqtrK5eHsLPIXfI9/view?usp=sharing</t>
  </si>
  <si>
    <t>https://drive.google.com/file/d/1Q2jDBVPuFGfc2jvTz8qXp7R-kVdWTNGa/view?usp=sharing</t>
  </si>
  <si>
    <t>https://drive.google.com/file/d/1lqhUHJ4f6zVrh926VFLuB4DkUjDNgYrv/view?usp=sharing</t>
  </si>
  <si>
    <t>https://drive.google.com/file/d/14IvFT9A5DQmCLeM3J3zun2wPf-SqAkpY/view?usp=sharing</t>
  </si>
  <si>
    <t>https://drive.google.com/file/d/1PJaYPITpb6g1Akz0H7o--9KjGqJ6JqXp/view?usp=sharing</t>
  </si>
  <si>
    <t>https://drive.google.com/file/d/15SmoCVB_x6uwKM0GQkw-1OEoRn0F1eap/view?usp=sharing</t>
  </si>
  <si>
    <t>https://drive.google.com/file/d/1TALS3fGOw0A79xnVn-1P60tt_zyFE7Qu/view?usp=sharing</t>
  </si>
  <si>
    <t>https://drive.google.com/file/d/1eHyyL6l4lfrdpabK6YzVpC1V4fWgkxYk/view?usp=sharing</t>
  </si>
  <si>
    <t>https://drive.google.com/file/d/1slfDpEQBLVgO2H1iJqOUx36UG17JlloI/view?usp=sharing</t>
  </si>
  <si>
    <t>https://drive.google.com/file/d/1nJmRCpcV9Ya1Do1umNXTdBtNiNj1K2yy/view?usp=sharing</t>
  </si>
  <si>
    <t>https://drive.google.com/file/d/1wMu-D_AtUBEifWCUmvd5n1Ub8l7PLu9C/view?usp=sharing</t>
  </si>
  <si>
    <t>https://drive.google.com/file/d/1v27_wS9lifKu_cJI48iD9P6HlcQjE1g3/view?usp=sharing</t>
  </si>
  <si>
    <t>https://drive.google.com/file/d/1pmUZgpwZAFFHvyFKEJOuXRdlyw3WGzpM/view?usp=sharing</t>
  </si>
  <si>
    <t>https://drive.google.com/file/d/110HhmVB_VRoPyOB7K53u5gKaGuyWgVFZ/view?usp=sharing</t>
  </si>
  <si>
    <t>https://drive.google.com/file/d/17TenNL7pW9zDF9y4Xl87uEsP1MTvDEre/view?usp=sharing</t>
  </si>
  <si>
    <t>https://drive.google.com/file/d/1x1nhH2k10wrzbvCCE7ECEp3r3mWSoQkZ/view?usp=sharing</t>
  </si>
  <si>
    <t>https://drive.google.com/file/d/11Tw6p12EukL99MkfTih0xbHeJeaPoZIC/view?usp=sharing</t>
  </si>
  <si>
    <t>https://drive.google.com/file/d/1CoBzPbTIMRl_K7dZlonhBuNXdbn5dyul/view?usp=sharing</t>
  </si>
  <si>
    <t>https://drive.google.com/file/d/1S1wG_IVOrpXVAUedLPFxCwcRU6ijoE20/view?usp=sharing</t>
  </si>
  <si>
    <t>https://drive.google.com/file/d/1QkE-1DXKfyh-wgqgLFMYtZ8hUxSQBras/view?usp=sharing</t>
  </si>
  <si>
    <t>https://drive.google.com/file/d/11xCsuIevipt6VwSQvEP_BqNg7Gi_NB6J/view?usp=sharing</t>
  </si>
  <si>
    <t>https://drive.google.com/file/d/181swWwCkeSANTK1rA3lCk0iIY1VDFmer/view?usp=sharing</t>
  </si>
  <si>
    <t>https://drive.google.com/file/d/1s2ki8S_WZ6A9akdc4odDADi-sAh7f02D/view?usp=sharing</t>
  </si>
  <si>
    <t>https://drive.google.com/file/d/1XqDMzM9RHoB-l9Owec9vy0upneReihcH/view?usp=sharing</t>
  </si>
  <si>
    <t>https://drive.google.com/file/d/1970uu0DKJFk3O3ebWnYMTBRqn3QVEe9F/view?usp=sharing</t>
  </si>
  <si>
    <t>https://drive.google.com/file/d/1Jqcidkywol9D-uO8IHF6lwBy2v94IKhq/view?usp=sharing</t>
  </si>
  <si>
    <t>https://drive.google.com/file/d/1V_OxBhU4ueqxG2QGvPbZQkBptGBXM3ps/view?usp=sharing</t>
  </si>
  <si>
    <t>https://drive.google.com/file/d/1DpLaK96aDmvd1GEF1zoDH349RLA3vmlE/view?usp=sharing</t>
  </si>
  <si>
    <t>https://drive.google.com/file/d/1ckFuLAJ1BaJxcCHFM5rMBdDBm4_h6G3R/view?usp=sharing</t>
  </si>
  <si>
    <t>https://drive.google.com/file/d/1-5ffiSLsyZcZeXBfTGUxVlwOJq9GR3_A/view?usp=sharing</t>
  </si>
  <si>
    <t>https://drive.google.com/file/d/19lCjF1qPFMMGxRxXhI1vif2CoB9nnNst/view?usp=sharing</t>
  </si>
  <si>
    <t>https://drive.google.com/file/d/17dqP3GfuEJK1e4AAFonmy5jdzvVDnrpB/view?usp=sharing</t>
  </si>
  <si>
    <t>https://drive.google.com/file/d/1jVgaXglfdId1wGOnxrhOMFc5KjKY3oNs/view?usp=sharing</t>
  </si>
  <si>
    <t>https://drive.google.com/file/d/144jSfLnxrp3HGx6v7R0iDbbhFHIuBcID/view?usp=sharing</t>
  </si>
  <si>
    <t>https://drive.google.com/file/d/1jzuRWj_BqOYIqEffgWuqHEHdsTmLF2Mm/view?usp=sharing</t>
  </si>
  <si>
    <t>https://drive.google.com/file/d/1gJzVDTK_o9Qxg3T_pD3m-XUlcxSa37kz/view?usp=sharing</t>
  </si>
  <si>
    <t>https://drive.google.com/file/d/1-9hghOeAirseNjz_x1wHXsG9QYrhooyB/view?usp=sharing</t>
  </si>
  <si>
    <t>https://drive.google.com/file/d/1_VJmyBLapMsYtABpZSa7pld0A4CsWNmB/view?usp=sharing</t>
  </si>
  <si>
    <t>https://drive.google.com/file/d/1OHdXG_U1Udp1EUaHvui4dn9u10oRUoSO/view?usp=sharing</t>
  </si>
  <si>
    <t>https://drive.google.com/file/d/1eROxr0FlkNTJZq8ROl5XQzo-bOnSSlYx/view?usp=sharing</t>
  </si>
  <si>
    <t>https://drive.google.com/file/d/1ZyqJ-iTKNpoWtYldy9gQXvzQc2c38Zq-/view?usp=sharing</t>
  </si>
  <si>
    <t>https://drive.google.com/file/d/1oo3_2DRE8_arCyj6rtXE_Y81xeoDDwwH/view?usp=sharing</t>
  </si>
  <si>
    <t>https://drive.google.com/file/d/1veceGNGPBKqixZkl21Rqw2YgGuZceia_/view?usp=sharing</t>
  </si>
  <si>
    <t>https://drive.google.com/file/d/1IDNQhqZt4zN7HHPWX1qKCjt0uXQOhTt_/view?usp=sharing</t>
  </si>
  <si>
    <t>https://drive.google.com/file/d/1svo87GJ7TkGKnoGUF_w-fGG8ksoZlVqI/view?usp=sharing</t>
  </si>
  <si>
    <t>https://drive.google.com/file/d/1x8RR8O8UU479BTgQm0_WZfzlomlfo5o4/view?usp=sharing</t>
  </si>
  <si>
    <t>https://drive.google.com/file/d/1upIuo8EWtFgBG6vqHfPe_trrC7V3MBW_/view?usp=sharing</t>
  </si>
  <si>
    <t>https://drive.google.com/file/d/1lzE1MvO8Jog1oq8YteRrTmg8yMa1dj1c/view?usp=sharing</t>
  </si>
  <si>
    <t>https://drive.google.com/file/d/1-ScUc878iQCDWG0KM1n96sgU5r3hYejG/view?usp=sharing</t>
  </si>
  <si>
    <t>https://drive.google.com/file/d/1ZW5dZrxdxqbAPLVOVv73tS1kKV660KUo/view?usp=sharing</t>
  </si>
  <si>
    <t>https://drive.google.com/file/d/1L3vOxFdT026wCyJWw0o9xns1DUCUqSmV/view?usp=sharing</t>
  </si>
  <si>
    <t>https://drive.google.com/file/d/1k9XJsn1Js24-g0kzXJblO9WvMHsGS0Pf/view?usp=sharing</t>
  </si>
  <si>
    <t>https://drive.google.com/file/d/1kc3WhAn-KgAyQt2TK6t1RYMXm7aO7TuY/view?usp=sharing</t>
  </si>
  <si>
    <t>https://drive.google.com/file/d/1PzwbZAV39j52Oprn8cDzmLCwJOzJnOZh/view?usp=sharing</t>
  </si>
  <si>
    <t>https://drive.google.com/file/d/1_7LEGU5mFI6aCugvgvFmY4rkKiuh93dG/view?usp=sharing</t>
  </si>
  <si>
    <t>https://drive.google.com/file/d/1WVvaOD8x7pGQ6aQXTNAtlP8ZZOyaj6-n/view?usp=sharing</t>
  </si>
  <si>
    <t>https://drive.google.com/file/d/1PvzWSpMC9C104-32lWFW8kpAa4E_rL2w/view?usp=sharing</t>
  </si>
  <si>
    <t>https://drive.google.com/file/d/1-k-V457b2D6qrdSdw61w5A_RgxBsxGYI/view?usp=sharing</t>
  </si>
  <si>
    <t>https://drive.google.com/file/d/12cqtU6VSEXhk6FzeigQGjYODAnpTF1iT/view?usp=sharing</t>
  </si>
  <si>
    <t>https://drive.google.com/file/d/1hO05xdvBiqharrdBzJIjt4Ajo6wpTq47/view?usp=sharing</t>
  </si>
  <si>
    <t>https://drive.google.com/file/d/1sGefug0vWQ25N3cBY0e8_kdjX_COGF4w/view?usp=sharing</t>
  </si>
  <si>
    <t>https://drive.google.com/file/d/1JDB4Cd083VijbPKkBhc2xfEreYa1j1TR/view?usp=sharing</t>
  </si>
  <si>
    <t>https://drive.google.com/file/d/1yXnQfNcJ_ME4fpQ5b65j17heT1U-GIo6/view?usp=sharing</t>
  </si>
  <si>
    <t>https://drive.google.com/file/d/1bICu-nJ09Z2Hfb1xwnLWVL5XTpIIRQ9L/view?usp=sharing</t>
  </si>
  <si>
    <t>https://drive.google.com/file/d/1DjMmCHi1vMShXxrBYq3Xk4JVfbh4Chit/view?usp=sharing</t>
  </si>
  <si>
    <t>https://drive.google.com/file/d/1bwsnEvhE-207-eqJ-qLyTPMDDyKQj-y2/view?usp=sharing</t>
  </si>
  <si>
    <t>https://drive.google.com/file/d/11XK-mT7e3Wy9wTSqOoz04kTVQDxD0KWD/view?usp=sharing</t>
  </si>
  <si>
    <t>https://drive.google.com/file/d/1n1AK1luqRCkyDL4kV4RdWiSoMZr6vxfd/view?usp=sharing</t>
  </si>
  <si>
    <t>https://drive.google.com/file/d/1CjmKyXyIS2RAxG7IXGCn-qt3hU214u7r/view?usp=sharing</t>
  </si>
  <si>
    <t>https://drive.google.com/file/d/169httnxRedRYaJLpG3XzP0bZ1KSwynmY/view?usp=sharing</t>
  </si>
  <si>
    <t>https://drive.google.com/file/d/1sN43zRVBtqGBb4DL2G6nDIFwj8Hniv5x/view?usp=sharing</t>
  </si>
  <si>
    <t>https://drive.google.com/file/d/1lURxvOm6Z_QNCRGWzsgVFMQ8mVtZtN2U/view?usp=sharing</t>
  </si>
  <si>
    <t>https://drive.google.com/file/d/1XmeBTOi-jDk22uFK7CdV7skr9iS4xM3Q/view?usp=sharing</t>
  </si>
  <si>
    <t>https://drive.google.com/file/d/156K8B3Pr6drOCA-3OP6V9BzSntRCABnZ/view?usp=sharing</t>
  </si>
  <si>
    <t>https://drive.google.com/file/d/14xPLn9JEZ-m-2bVYZ7X0vGfPBa30Fv15/view?usp=sharing</t>
  </si>
  <si>
    <t>https://drive.google.com/file/d/1dmSyZE4jtPx_YJKKqQBBzj0JfBjs2j8I/view?usp=sharing</t>
  </si>
  <si>
    <t>https://drive.google.com/file/d/16dIcPBQWshABTkdYtk2Y1-0gM2OOqTru/view?usp=sharing</t>
  </si>
  <si>
    <t>https://drive.google.com/file/d/1i8tOuugjtMr_wQlscTH6HJysHU00kH6u/view?usp=sharing</t>
  </si>
  <si>
    <t>https://drive.google.com/file/d/1mPVP6nFCRPo3VMRLknaFQx66oyD6kw5S/view?usp=sharing</t>
  </si>
  <si>
    <t>https://drive.google.com/file/d/14jpqjQ4s_6w7BCCf6FQdsulSyiSQ6jPF/view?usp=sharing</t>
  </si>
  <si>
    <t>https://drive.google.com/file/d/1okEPtdkxRQm6dGF2ILbYvrkOYKkwLErJ/view?usp=sharing</t>
  </si>
  <si>
    <t>https://drive.google.com/file/d/1SIB4WgnbrpNTdv5-wb-DDBpr72zwEFVg/view?usp=sharing</t>
  </si>
  <si>
    <t>https://drive.google.com/file/d/1Og8BZKBr-pNEUjpeQNZX5DFkao7PQRgX/view?usp=sharing</t>
  </si>
  <si>
    <t>https://drive.google.com/file/d/1uLgojQjb45U_rVoGLCg5_XfUl_fKS1VU/view?usp=sharing</t>
  </si>
  <si>
    <t>https://drive.google.com/file/d/1SlhAUl2YjVpqYnbF30MQvQYWCKV-adiA/view?usp=sharing</t>
  </si>
  <si>
    <t>https://drive.google.com/file/d/1hHz2gi8-d5uaul9BeGeMFOj3aHiDtGbr/view?usp=sharing</t>
  </si>
  <si>
    <t>https://drive.google.com/file/d/1ES8muEidh3Z6c1IesnUdmObftY2Xg7FB/view?usp=sharing</t>
  </si>
  <si>
    <t>https://drive.google.com/file/d/1tg9dn4OdMrsi_sDqSZ5SZHY-98EQo92Q/view?usp=sharing</t>
  </si>
  <si>
    <t>https://drive.google.com/file/d/1wM_CfiY4Gx4uhFH5dzbIzqDlA2hubu54/view?usp=sharing</t>
  </si>
  <si>
    <t>https://drive.google.com/file/d/1i12UyJeNeW_qjzs3sS0JZWDwDsNte1to/view?usp=sharing</t>
  </si>
  <si>
    <t>https://drive.google.com/file/d/10OLzbyeYC-HJ9BsWKHMYv7SAGSzXY7IF/view?usp=sharing</t>
  </si>
  <si>
    <t>https://drive.google.com/file/d/1H0kj2gCByfJaVHKnSiEd5iO9JDCaHuxI/view?usp=sharing</t>
  </si>
  <si>
    <t>https://drive.google.com/file/d/1KMhld6TKGvLE6BjU9DZniKl5p7qZl0AJ/view?usp=sharing</t>
  </si>
  <si>
    <t>https://drive.google.com/file/d/1wLHGu8bAsQdyX_EFocJxgDDn1cJsBOvf/view?usp=sharing</t>
  </si>
  <si>
    <t>https://drive.google.com/file/d/19hJuSYpAxrg9PLrwUPJbfBSncUuRiGEM/view?usp=sharing</t>
  </si>
  <si>
    <t>https://drive.google.com/file/d/1UIcWefklMnRPPLaV4WKeE177TPZ6Fmx6/view?usp=sharing</t>
  </si>
  <si>
    <t>https://drive.google.com/file/d/1wttpkbFaYG2E_QgVtCtqgbp7yvM0YzqJ/view?usp=sharing</t>
  </si>
  <si>
    <t>https://drive.google.com/file/d/1Rh-ZfzpyAa6-EwXfE_5BpKLrtQu3ZjKU/view?usp=sharing</t>
  </si>
  <si>
    <t>https://drive.google.com/file/d/1i0-5O57FGnBjnfc58zS7TXlqmCfhZIpM/view?usp=sharing</t>
  </si>
  <si>
    <t>https://drive.google.com/file/d/1Sqxh_pzrfFfv8qj5tKWkWHK-kwbVmac_/view?usp=sharing</t>
  </si>
  <si>
    <t>https://drive.google.com/file/d/1mNxZFKdHdpvD9r2MEGVhUDi8bG5N_5te/view?usp=sharing</t>
  </si>
  <si>
    <t>https://drive.google.com/file/d/1CZ1YPO0ruqPz4mT13I80oIA_i4FC4G7g/view?usp=sharing</t>
  </si>
  <si>
    <t>https://drive.google.com/file/d/1u7aJWaD5eHGDSOX-5aNAbe_VquaCWDbK/view?usp=sharing</t>
  </si>
  <si>
    <t>https://drive.google.com/file/d/1JKG288N_rcKL6hwwr2mjBx59ld0lV4B1/view?usp=sharing</t>
  </si>
  <si>
    <t>https://drive.google.com/file/d/138mXJps_FXtlOE3lCMvzj5iZ_uxW1a2j/view?usp=sharing</t>
  </si>
  <si>
    <t>https://drive.google.com/file/d/1MhsxTTdix4YO1ajMLMzoTtTFl13lhq4H/view?usp=sharing</t>
  </si>
  <si>
    <t>https://drive.google.com/file/d/14nGFfTGRTR3cPq1KgYU4-P6sQh-U2pJk/view?usp=sharing</t>
  </si>
  <si>
    <t>https://drive.google.com/file/d/1TNjO-7aZSF1HDNITv0vZok1uGO4ghwxh/view?usp=sharing</t>
  </si>
  <si>
    <t>https://drive.google.com/file/d/1un4xupvz0M5T6wfWHupnrOymVC-LCyy5/view?usp=sharing</t>
  </si>
  <si>
    <t>https://drive.google.com/file/d/1iVFwRd5dpU7deuZ5OnZImiDVOIh6Ikhs/view?usp=sharing</t>
  </si>
  <si>
    <t>https://drive.google.com/file/d/1rlEEHU1oQmLILCOmXu5rRddKpt1M8dCw/view?usp=sharing</t>
  </si>
  <si>
    <t>https://drive.google.com/file/d/1LxQXDF-F9alxe9q-R1Sw4P5fxWd-Cr63/view?usp=sharing</t>
  </si>
  <si>
    <t>https://drive.google.com/file/d/1oBl9JUAx_NWemmpBCJbV1JcV9_-Babr2/view?usp=sharing</t>
  </si>
  <si>
    <t>https://drive.google.com/file/d/1wDT1GwDGRHirvWni6f9lM-pOzH8W4Aeo/view?usp=sharing</t>
  </si>
  <si>
    <t>https://drive.google.com/file/d/1A7a05gK4BaSYOG5GhxpS6rNFHjKMVR8f/view?usp=sharing</t>
  </si>
  <si>
    <t>https://drive.google.com/file/d/1JWbfG3nGKPWP-OEu6dgdfw_g3U2ckoO1/view?usp=sharing</t>
  </si>
  <si>
    <t>https://drive.google.com/file/d/1mSBC8l4goIF5rOMKlyOLg-7lc5tH6I8S/view?usp=sharing</t>
  </si>
  <si>
    <t>https://drive.google.com/file/d/14sgONN9JT1eF5509sIhq2IR5kYHCEo_W/view?usp=sharing</t>
  </si>
  <si>
    <t>https://drive.google.com/file/d/13hFxPMFvuLughNhPrp1Cq7rVbqz1Nnd9/view?usp=sharing</t>
  </si>
  <si>
    <t>https://drive.google.com/file/d/1hrKy6S2ZH2ZFewx6fzYgTN2RWYTJezY7/view?usp=sharing</t>
  </si>
  <si>
    <t>https://drive.google.com/file/d/1Pwl_yD96vbv4F9N8Yrkyk74PPym4VD7Z/view?usp=sharing</t>
  </si>
  <si>
    <t>https://drive.google.com/file/d/1fZWsyN-KTIC6s_jIjgS81yhaPDM3irH3/view?usp=sharing</t>
  </si>
  <si>
    <t>https://drive.google.com/file/d/1wOA3sOWMbFa9bhptiHk6C06vT03uzYPx/view?usp=sharing</t>
  </si>
  <si>
    <t>https://drive.google.com/file/d/1m7_LfE2W3kusrsih4MUWUHWwS_c02z36/view?usp=sharing</t>
  </si>
  <si>
    <t>https://drive.google.com/file/d/1vJnsS6r8tRodVtkTSSFzhQ-WLZgurd5H/view?usp=sharing</t>
  </si>
  <si>
    <t>https://drive.google.com/file/d/15UJYbc0fwlmkZ0b3jeRzELBPjtDWcyRN/view?usp=sharing</t>
  </si>
  <si>
    <t>https://drive.google.com/file/d/1mYjheXsPYs6Mw_RyJ8oxFAbKZKtH6HaZ/view?usp=sharing</t>
  </si>
  <si>
    <t>https://drive.google.com/file/d/1mMx3Rv9jdMCMQ5tw8Og-ElQwPaMVOmNp/view?usp=sharing</t>
  </si>
  <si>
    <t>https://drive.google.com/file/d/1WSzDcXVl4PmCYreKdR_Koo8orsyshsjP/view?usp=sharing</t>
  </si>
  <si>
    <t>https://drive.google.com/file/d/1H_Zz1gyw8i2-r1DVIB102DpuvwIZUPYn/view?usp=sharing</t>
  </si>
  <si>
    <t>https://drive.google.com/file/d/14xt1F1uDoUOQ7VbRjSEuzOJBSRDHVtjl/view?usp=sharing</t>
  </si>
  <si>
    <t>https://drive.google.com/file/d/10InO5AKLhRebjbSU2KqMzpDFaZu26ZOC/view?usp=sharing</t>
  </si>
  <si>
    <t>https://drive.google.com/file/d/1Z19lbMcFWoS_C2qmGF-Kaho5XxruySs_/view?usp=sharing</t>
  </si>
  <si>
    <t>https://drive.google.com/file/d/1_gpmnso2TJz1WNS4NZnuxTvlFeJ_sSCo/view?usp=sharing</t>
  </si>
  <si>
    <t>https://drive.google.com/file/d/1_zMuGnvCXVLO5DrNnssqrCQ3jpQPqvFe/view?usp=sharing</t>
  </si>
  <si>
    <t>https://drive.google.com/file/d/1wft0MT-FuIIKd1-o1aGhzFZUHTw7EUon/view?usp=sharing</t>
  </si>
  <si>
    <t>https://drive.google.com/file/d/1BGU6EryUtQt9jbs-rwEXfaWcHQAs2gEr/view?usp=sharing</t>
  </si>
  <si>
    <t>https://drive.google.com/file/d/1Nebf7Cho1LjbC2mfr9B1CEXzW1eT0DtS/view?usp=sharing</t>
  </si>
  <si>
    <t>https://drive.google.com/file/d/1ACJ4-J_Mp5txVow9nLk-F1NebGcummmf/view?usp=sharing</t>
  </si>
  <si>
    <t>https://drive.google.com/file/d/1YOQrS6X3wFAeDcdH17NxWxE559RSNm86/view?usp=sharing</t>
  </si>
  <si>
    <t>https://drive.google.com/file/d/1QbYnmkVqZbJy-HqXhPFD0EmUMp5JWeZd/view?usp=sharing</t>
  </si>
  <si>
    <t>https://drive.google.com/file/d/1NsnwWxE72MaTAOd5qVoA9Z2Y8RukFBKu/view?usp=sharing</t>
  </si>
  <si>
    <t>https://drive.google.com/file/d/1GOJ6Bq-QH4RYlV8wPyxMbn_OmU86odQF/view?usp=sharing</t>
  </si>
  <si>
    <t>https://drive.google.com/file/d/1aRTCzV_1P18U8pIbUtk0ZeB-HwufKqQO/view?usp=sharing</t>
  </si>
  <si>
    <t>https://drive.google.com/file/d/1BUf2DsSahqxvU3uTjmJ6q0PWJo0XBSFP/view?usp=sharing</t>
  </si>
  <si>
    <t>https://drive.google.com/file/d/1GFhPaR0hgtAt8tL1-LcozgpaSuxHLSYu/view?usp=sharing</t>
  </si>
  <si>
    <t>https://drive.google.com/file/d/1fsk7FtmUEBmnR-GxHHrfX-tzK0SrDSMO/view?usp=sharing</t>
  </si>
  <si>
    <t>Cream</t>
  </si>
  <si>
    <t>Tablet</t>
  </si>
  <si>
    <t>Respules</t>
  </si>
  <si>
    <t>Drop</t>
  </si>
  <si>
    <t>Syrup</t>
  </si>
  <si>
    <t>Suspension</t>
  </si>
  <si>
    <t>Injection</t>
  </si>
  <si>
    <t>Capsule</t>
  </si>
  <si>
    <t>Eye drop</t>
  </si>
  <si>
    <t>Eye drops</t>
  </si>
  <si>
    <t>Soap</t>
  </si>
  <si>
    <t>Softgel Capsule</t>
  </si>
  <si>
    <t>Infusion</t>
  </si>
  <si>
    <t>Gel</t>
  </si>
  <si>
    <t>Roll On</t>
  </si>
  <si>
    <t>Dry syrup</t>
  </si>
  <si>
    <t>Oil</t>
  </si>
  <si>
    <t>Drops</t>
  </si>
  <si>
    <t>Nasal Spray</t>
  </si>
  <si>
    <t>Granules</t>
  </si>
  <si>
    <t>Ear drops</t>
  </si>
  <si>
    <t>Mouth Wash</t>
  </si>
  <si>
    <t>Tooth Gel</t>
  </si>
  <si>
    <t>Drink Powder</t>
  </si>
  <si>
    <t>Sachet</t>
  </si>
  <si>
    <t>Ointment</t>
  </si>
  <si>
    <t>Nano shot</t>
  </si>
  <si>
    <t>Powder</t>
  </si>
  <si>
    <t xml:space="preserve">Protien powder </t>
  </si>
  <si>
    <t>Dry powder</t>
  </si>
  <si>
    <t>Topical</t>
  </si>
  <si>
    <t>Oral</t>
  </si>
  <si>
    <t>topical</t>
  </si>
  <si>
    <t>IV</t>
  </si>
  <si>
    <t>Budesonide 0.5 mg/2 ml Nebuliser Suspension</t>
  </si>
  <si>
    <t>Acotiamide 100 mg</t>
  </si>
  <si>
    <t>Betamethasone 0.1% w/w + Clindamycin 1% w/w + Nicotinamide IP 4.0% w/w + Cream</t>
  </si>
  <si>
    <t>Levosalbutamol Hydrochloride 1.25 mg/2 ml + Budesonide 0.5 mg/2 ml Inhalation Suspension</t>
  </si>
  <si>
    <t>Cyproheptadine Hydrochloride 1.5 mg + Tricholine Citrate 55 mg</t>
  </si>
  <si>
    <t>Cyproheptadine Hydrochloride 2 mg + Tricholine Citrate 275 mg</t>
  </si>
  <si>
    <t>Azithromycin 250 mg</t>
  </si>
  <si>
    <t>Azithromycin 500 mg</t>
  </si>
  <si>
    <t>Azithromycin 200 mg/5 ml</t>
  </si>
  <si>
    <t>Baclofen 10 mg</t>
  </si>
  <si>
    <t>Baclofen 20 mg</t>
  </si>
  <si>
    <t>Albendazole 400 mg + Ivermectin 6 mg</t>
  </si>
  <si>
    <t>Berberis Aristata 500 mg</t>
  </si>
  <si>
    <t>Trypsin–Chymotrypsin (100,000 AU)</t>
  </si>
  <si>
    <t>Esomeprazole 40 mg</t>
  </si>
  <si>
    <t>Esomeprazole Sodium 40 mg</t>
  </si>
  <si>
    <t>Esomeprazole 40 mg (EC) + Levosulpiride 75 mg (SR)</t>
  </si>
  <si>
    <t>Esomeprazole 40 mg + Domperidone 10 mg (IR) + Domperidone 20 mg (SR)</t>
  </si>
  <si>
    <t>Moxifloxacin Hydrochloride 0.5% w/v Ophthalmic Solution</t>
  </si>
  <si>
    <t>Moxifloxacin 0.5% w/v + Dexamethasone Sodium Phosphate 0.1% w/v Eye Drops</t>
  </si>
  <si>
    <t>Moxifloxacin 0.5% w/v + Ketorolac Tromethamine 0.5% w/v Ophthalmic Solution</t>
  </si>
  <si>
    <t>Moxifloxacin Hydrochloride 0.5% w/v + Loteprednol Etabonate 0.5% w/v + Benzalkonium Chloride Solution 0.02% v/v Ophthalmic Suspension</t>
  </si>
  <si>
    <t>Lactobacillus rhamnosus - 1 billion CFU, Lactobacillus plantarum - 250 million CFU, Lactobacillus acidophilus - 250 million CFU, D-Mannose - 250 mg, Cranberry Extract - 150 mg, Hibiscus sabdariffa Extract - 50 mg, Vitamin A - 150 mcg</t>
  </si>
  <si>
    <t>Potassium Magnesium Citrate 978 mg + Potassium Citrate Anhydrous 714.9 mg + Magnesium Citrate Anhydrous 263.10 mg + Cranberry Extract 200 mg + DMannose 300 mg</t>
  </si>
  <si>
    <t>Hygiene Wash &amp; PH Balance Formula with Tea Tree Oil &amp; Lactic Acid (Vaginal Wash)</t>
  </si>
  <si>
    <t>Brivaracetam 50 mg</t>
  </si>
  <si>
    <t>Ibuprofen 100 mg + Paracetamol 162.50 mg</t>
  </si>
  <si>
    <t>Meropenem 1 gm</t>
  </si>
  <si>
    <t>Cabergoline 0.5 mg</t>
  </si>
  <si>
    <t>Camylofin Dihydrochloride 25 mg + Paracetamol 325 mg</t>
  </si>
  <si>
    <t>Fluconazole 150 mg</t>
  </si>
  <si>
    <t>Fluconazole 200 mg</t>
  </si>
  <si>
    <t>Fluconazole 400 mg</t>
  </si>
  <si>
    <t>Fluconazole 300 mg + Ivermectin 12 mg</t>
  </si>
  <si>
    <t>Ketoconazole 2% w/w</t>
  </si>
  <si>
    <t>Ketoconazole, Tolnaftate, Neomycin Sulphate, Dexpanthenol, Iodochlorhydroxyquinoline &amp; Clobetasol Propionate Cream</t>
  </si>
  <si>
    <t>TUBE</t>
  </si>
  <si>
    <t>STRIP</t>
  </si>
  <si>
    <t xml:space="preserve">MINI BOTTLE </t>
  </si>
  <si>
    <t>BOTTLE</t>
  </si>
  <si>
    <t>JAR</t>
  </si>
  <si>
    <t>VAIL</t>
  </si>
  <si>
    <t>PLASTIC BOTTLE</t>
  </si>
  <si>
    <t>BOX</t>
  </si>
  <si>
    <t>VIAL</t>
  </si>
  <si>
    <t>GLASS BOTTLE</t>
  </si>
  <si>
    <t>PACKET</t>
  </si>
  <si>
    <t>Herbal Brain Syrup</t>
  </si>
  <si>
    <t>L-Methyl Folate 1 mg + Methylcobalamin 1500 mcg + Pyridoxal-5 Phosphate 0.5 mg + DHA (40%) 200 mg + Vitamin D3 2000 IU</t>
  </si>
  <si>
    <t>Alpha Lipoic Acid 100 mg, Pyridoxine Hydrochloride 3 mg, Methylcobalamin 1500 mcg, Folic Acid 1.5 mg, Benfotiamine 100 mg Softgel Capsules</t>
  </si>
  <si>
    <t>L-Carnitine-L-Tartrate 500 mg, Folic Acid 1.5 mg &amp; Methylcobalamin 1500 mcg</t>
  </si>
  <si>
    <t>Pregabalin 75 mg + Nortriptyline HCl 10 mg</t>
  </si>
  <si>
    <t>Pregabalin 75 mg + Methylcobalamin 750 mcg</t>
  </si>
  <si>
    <t>Pregabalin (SR) 75 mg, Methylcobalamin 1500 mcg &amp; Nortriptyline 10 mg</t>
  </si>
  <si>
    <t>Methylcobalamin 1500 mcg + Alpha Lipoic Acid 100 mg + Thiamine Mononitrate 10 mg + Pyridoxine Hydrochloride 3 mg + Folic Acid 1.5 mg Capsules</t>
  </si>
  <si>
    <t>Levocetirizine Dihydrochloride 10 mg</t>
  </si>
  <si>
    <t>Levocetirizine Hydrochloride 5 mg</t>
  </si>
  <si>
    <t>Telmisartan 40 mg</t>
  </si>
  <si>
    <t>Telmisartan 80 mg</t>
  </si>
  <si>
    <t>Telmisartan 40 mg + Amlodipine 5 mg + Hydrochlorothiazide 12.5 mg</t>
  </si>
  <si>
    <t>Telmisartan 40 mg + Amlodipine 5 mg</t>
  </si>
  <si>
    <t>Telmisartan 40 mg + Cilnidipine 10 mg</t>
  </si>
  <si>
    <t>Telmisartan 40 mg + Chlorthalidone 6.25 mg</t>
  </si>
  <si>
    <t>Telmisartan 40 mg + Hydrochlorothiazide 12.5 mg</t>
  </si>
  <si>
    <t>Telmisartan 40 mg + Metoprolol Succinate (ER) 23.75 mg + Cilnidipine 10 mg</t>
  </si>
  <si>
    <t>Telmisartan 40 mg + Metoprolol Succinate (PR) 23.75 mg</t>
  </si>
  <si>
    <t>Telmisartan 40 mg + Metoprolol Succinate (ER) 50 mg</t>
  </si>
  <si>
    <t>Disodium Hydrogen Citrate B.P. 1.3 gm</t>
  </si>
  <si>
    <t>Potassium Citrate 1100 mg + Magnesium Citrate 375 mg + Pyridoxine Hydrochloride 20 mg</t>
  </si>
  <si>
    <t>Tranexamic Acid</t>
  </si>
  <si>
    <t>Tranexamic Acid 500 mg</t>
  </si>
  <si>
    <t>Tranexamic Acid 500 mg + Mefenamic Acid 250 mg</t>
  </si>
  <si>
    <t>Colostrum, curcumin, Piper, Lycopene &amp; Beta Carotene Chewable Tablets</t>
  </si>
  <si>
    <t>Dried Aluminium Hydroxide 250 mg + Magnesium Hydroxide 250 mg + Activated Dimethicone 50 mg/ 10 ml (Sugar Free) (Mint)</t>
  </si>
  <si>
    <t>Magaldrate 400 mg + Simethicone 20 mg/5 ml (Sugar Free) (Mango)</t>
  </si>
  <si>
    <t>Magaldrate 480 mg + Simethicone 20 mg + Domperidone 10 mg/10 ml (Sugar Free) (Saunf)</t>
  </si>
  <si>
    <t>Sucralfate 1 gm + Oxetacaine 20 mg/10 ml (Sugar Free)</t>
  </si>
  <si>
    <t>Etoricoxib 120 mg</t>
  </si>
  <si>
    <t>Etoricoxib 90 mg</t>
  </si>
  <si>
    <t>Etoricoxib 60 mg + Paracetamol 325 mg</t>
  </si>
  <si>
    <t>Etoricoxib 60 mg + Thiocolchicoside 4 mg</t>
  </si>
  <si>
    <t>Magnesium Sulphate 250 mg + L-Carnitine L-Tartrate 300 mg + Calcium Citrate 250 mg + Potassium 50 mg + Vitamin C 100 mg + Vitamin E 10 mg + Vitamin B12 2.2 mcg + Vitamin D3 (250 IU / 6.25 mcg) + Vitamin B6 2.4 mg + Vitamin B5 5 mg + Vitamin B1 1.5 mg + Chromium 40 mcg</t>
  </si>
  <si>
    <t>Mannitol 10% w/v &amp; Glycerin 10% w/v IV Infusion</t>
  </si>
  <si>
    <t>Calcium Carbonate 625 mg + Magnesium Hydroxide 75 mg + Zinc Gluconate 2 mg + Vitamin D3 200 I.U/5ml (ROSE WHITE FLAVOUR) (SUGAR FREE)</t>
  </si>
  <si>
    <t>Calcium Citrate 1000 mg + Vitamin D3 250 IU + Zinc Sulphate 4 mg &amp; Magnesium Hydroxide 100 mg</t>
  </si>
  <si>
    <t>Calcium Carbonate 1250 eq to Calcium 500 mg + Vit.D3 250 IU</t>
  </si>
  <si>
    <t>Calcium Citrate Malate 250 mg + Vitamin D3 100 IU + Folic Acid 50 mcg</t>
  </si>
  <si>
    <t>Calcitriol 0.25 mcg + Calcium Citrate Malate 500 mg + LMethylfolate 800 mcg + VIT K2 7 45 mcg + Methylcobalamin 1500 mcg + Zinc Oxide 7.5 mg + Magnesium Oxide 20 mg Softgel Capsules</t>
  </si>
  <si>
    <t>Calcitriol 0.25 mcg + Omega-3 Fatty Acids (EPA 180 mg &amp; DHA 120 mg) + Methylcobalamin 1500 mcg + Folic Acid 400 mcg + Boron 1.5 mg + Calcium Carbonate 500 mg Softgel Capsules</t>
  </si>
  <si>
    <t>Calcitriol 0.25 mcg + Calcium Carbonate 500 mg + Zinc 7.5 mg Softgel Capules</t>
  </si>
  <si>
    <t>Calcium Carbonate 1250 mg + Vitamin D3 2000 IU + Methylcobalamin 1500 mcg + L-Methylfolate Calcium 1 mg + Pyridoxal 5-Phosphate 0.5 mg</t>
  </si>
  <si>
    <t>Myo-Inositol 550 mg + D-Chiro-Inositol 13.8 mg + Metformin Hydrochloride 500 mg + L-Methylfolate Calcium 0.5 mg + Mecobalamin 750 mcg</t>
  </si>
  <si>
    <t>Myo-Inositol 1100 mg + N-Acetyl Cysteine 50 mg + Inositol 13.8 mg + Vitamin D2 300 IU + Melatonin 1.5 mg + Chromium Picolinate 200 mcg + Selenium 20 mcg + Cyanocobalamin 0.5 mcg + L-Methyl folate 400 mcg</t>
  </si>
  <si>
    <t>Bilastine 20 mg</t>
  </si>
  <si>
    <t>Bilastine 20 mg + Montelukast 10 mg</t>
  </si>
  <si>
    <t>Sodium Carboxymethylcellulose 0.5% w/v + Stabilized Oxychloro Complex 0.005% w/v</t>
  </si>
  <si>
    <t>Diclofenac Sodium 1% w/w + Linseed Oil 3% + Methyl Salicylate 10% w/w + Menthol 5% w/w Gel</t>
  </si>
  <si>
    <t>Diclofenac Sodium 75 mg + Benzyl Alcohol 4% v/v</t>
  </si>
  <si>
    <t>Diclofenac Potassium 50 mg + Paracetamol 325 mg + Chlorzoxazone 250 mg</t>
  </si>
  <si>
    <t>Diclofenac Sodium 3% w/w + Methyl Salicylate 10% w/w + Menthol 5 % w/w + Lignocaine HCL 1% + Linseed Oil 2% w/w Gel</t>
  </si>
  <si>
    <t>Diclofenac Potassium 50 mg + Paracetamol 325 mg + Serratiopeptidase 10 mg</t>
  </si>
  <si>
    <t>Cefpodoxime Proxetil 100 mg/5ml (Sterile Water)</t>
  </si>
  <si>
    <t>Cefpodoxime Proxetil 100 mg (Dispersible)</t>
  </si>
  <si>
    <t>Cefpodoxime Proxetil 200 mg (Dispersible)</t>
  </si>
  <si>
    <t>Cefpodoxime Proxetil 50mg/5ml (Sterile Water)</t>
  </si>
  <si>
    <t>Cefpodoxime Proxetil 200 mg + Potassium Clavulanate 125 mg</t>
  </si>
  <si>
    <t>Cefuroxime Axetil 125 mg/5ml (Sterile Water)</t>
  </si>
  <si>
    <t>Cefuroxime 250 mg</t>
  </si>
  <si>
    <t>Cefuroxime 500 mg</t>
  </si>
  <si>
    <t>Cefuroxime Axetil 500 mg + Potassium Clavulanate 125 mg</t>
  </si>
  <si>
    <t>Pain Relief Oil</t>
  </si>
  <si>
    <t>Aceclofenac 100 mg + Drotaverine Hydrochloride 80 mg</t>
  </si>
  <si>
    <t>Aceclofenac 100 mg + Paracetamol 325 mg + Chlorzoxazone 250 mg</t>
  </si>
  <si>
    <t>Aceclofenac 100 mg + Paracetamol 325 mg</t>
  </si>
  <si>
    <t>Aceclofenac 100 mg + Paracetamol 325 mg + Thiocolchicoside 4 mg</t>
  </si>
  <si>
    <t>Rabeprazole Sodium 20 mg + Aceclofenac 200 mg SR Capsules</t>
  </si>
  <si>
    <t>Aceclofenac 100 mg + Paracetamol 325 mg + Serratiopeptidase 15 mg</t>
  </si>
  <si>
    <t>Aceclofenac 100 mg + Thiocolchicoside 8 mg</t>
  </si>
  <si>
    <t>Drotaverine Hydrochloride 80 mg</t>
  </si>
  <si>
    <t>Paracetamol 125 mg + Phenylephrine Hydrochloride 2.5 mg + Chlorpheniramine Maleate 1 mg</t>
  </si>
  <si>
    <t>Xylometazoline HCL 0.1% Nasal Spray</t>
  </si>
  <si>
    <t>Paracetamol 325 mg + Phenylephrine Hydrochloride 5 mg + Guaiphenesin 50 mg + Cetirizine Hydrochloride 5 mg + Ambroxol Hydrochloride 15 mg</t>
  </si>
  <si>
    <t>Xylometazoline HCL 0.05% Nasal spray</t>
  </si>
  <si>
    <t>Sodium Chloride 0.9% w/v &amp; Benzalkonium Chloride 0.02% w/v (Isotonic Nasal Spray)</t>
  </si>
  <si>
    <t>Nimesulide 100 mg + Phenylephrine Hydrochloride 10 mg + Caffeine 30 mg + Cetirizine Dihydrochloride 5 mg</t>
  </si>
  <si>
    <t>Paracetamol 250 mg + Phenylephrine Hydrochloride 5 mg + Chlorpheniramine Maleate 2 mg</t>
  </si>
  <si>
    <t>Sodium Chloride 0.65% w/v &amp; Benzalkonium Chloride 0.01% w/v Nasal Spray</t>
  </si>
  <si>
    <t>Paracetamol 500 mg + Phenylephrine Hydrochloride 10 mg + Chlorpheniramine Maleate 2 mg</t>
  </si>
  <si>
    <t>Herbal Liver Tonic</t>
  </si>
  <si>
    <t>5G Herbal Liver Tonic</t>
  </si>
  <si>
    <t>Herbal Liver Tablets</t>
  </si>
  <si>
    <t>Mometasone Furoate 50 mcg Nasal Spray</t>
  </si>
  <si>
    <t>Ambroxol Hydrochloride 15 mg, Guaiphenesin 50 mg, Terbutaline Sulphate 1.25 mg &amp; Menthol 1.5 mg</t>
  </si>
  <si>
    <t>Ambroxol Hydrochloride 15 mg, Guaiphenesin 50 mg &amp; Terbutaline Sulphate 1.25 mg</t>
  </si>
  <si>
    <t>Acebrophylline 100 mg</t>
  </si>
  <si>
    <t>Acebrophylline 100 mg + Acetylcysteine 600 mg</t>
  </si>
  <si>
    <t>Ambroxol Hydrochloride 15 mg + Guaiphenesin 50 mg &amp; Levosalbutamol Sulphate 0.5 mg</t>
  </si>
  <si>
    <t>Levocloperastine Fendizoate 35.4 mg &amp; Chlorpheniramine Maleate 4 mg</t>
  </si>
  <si>
    <t>Levosalbutamol 0.25 mg + Ambroxol Hydrochloride 7.5 mg + Guaiphenesin 12.5 mg</t>
  </si>
  <si>
    <t>Ambroxol HCL 30 mg + Guaiphenesin 50 mg &amp; Levosalbutamol Sulphate 1 mg</t>
  </si>
  <si>
    <t>Dextromethorphan 10 mg + CPM 2 mg + Phenylephrine 5 mg</t>
  </si>
  <si>
    <t>Dextromethorphan 10 mg + Ambroxol 15 mg + CPM 2 mg + Phenylephrine 5 mg + Menthol 1.5 mg</t>
  </si>
  <si>
    <t>Beclomethasone Dipropionate 0.025% w/w + Neomycin Sulphate 0.50% w/w + Miconazole Nitrate 2.0% w/w Cream</t>
  </si>
  <si>
    <t>Rifaximin 400 mg</t>
  </si>
  <si>
    <t>Levetiracetam 500 mg</t>
  </si>
  <si>
    <t>Estradiol Valerate 2 mg</t>
  </si>
  <si>
    <t>Hydroquinone 2.0% w/w + Tretinoin 0.025% w/w + Mometasone Furoate 0.1% w/w Cream</t>
  </si>
  <si>
    <t>Dydrogesterone 10 mg</t>
  </si>
  <si>
    <t>Fenticonazole Nitrate 600 mg Vaginal Capsules</t>
  </si>
  <si>
    <t>Lactation Granules ( Shatavari Roots, Vidarikand Tuber, Sowa Tuber, Gokshur Panchang Fruits, Yashtimadhu Roots, Safed Jeera Seeds, Powder of Aliv Seeds ) (Elaichi Flavour)</t>
  </si>
  <si>
    <t>Ondansetron Hydrochloride 2 mg/5 ml</t>
  </si>
  <si>
    <t>Ondansetron 2 mg/ml</t>
  </si>
  <si>
    <t>Ondansetron 4 mg (Mouth Dissolving)</t>
  </si>
  <si>
    <t>Ondansetron 8 mg (Mouth Dissolving)</t>
  </si>
  <si>
    <t>Doxycycline Hydrochloride 100 mg + Lactic Acid Bacillus</t>
  </si>
  <si>
    <t>Faropenem 200 mg</t>
  </si>
  <si>
    <t>Faropenem Extended Release Tablets 300 mg</t>
  </si>
  <si>
    <t>Faropenem Sodium Hydrate 50 mg/5 ml (Sterile Water)</t>
  </si>
  <si>
    <t>Faropenem Sodium Hydrate 200 mg + Potassium Clavulanate 125 mg</t>
  </si>
  <si>
    <t>Febuxostat 40 mg</t>
  </si>
  <si>
    <t>Mefenamic Acid 250 mg + Drotaverine Hydrochloride 80 mg</t>
  </si>
  <si>
    <t>Mefenamic Acid 100 mg + Paracetamol 250 mg</t>
  </si>
  <si>
    <t>Mefenamic Acid 500 mg + Paracetamol 325 mg</t>
  </si>
  <si>
    <t>Orlistat 120 mg</t>
  </si>
  <si>
    <t>Deflazacort 6 mg</t>
  </si>
  <si>
    <t>Ofloxacin 100 mg</t>
  </si>
  <si>
    <t>Ofloxacin 200 mg</t>
  </si>
  <si>
    <t>Itraconazole 1.0% + Ofloxacin 0.75% + Ornidazole 2.0% + Clobetasol Propionate 0.05% Cream</t>
  </si>
  <si>
    <t>Ofloxacin 50 mg</t>
  </si>
  <si>
    <t>Ofloxacin 0.3% w/v + Beclomethasone Dipropionate 0.025% w/v + Clotrimazole 1% w/v + Glycerin 25% w/v + Lignocaine Hydrochloride 2% w/v</t>
  </si>
  <si>
    <t>Ofloxacin 50 mg + Metronidazole Benzoate 120 mg + Simethicone 10 mg</t>
  </si>
  <si>
    <t>Ofloxacin 50 mg + Metronidazole Benzoate 100 mg + Simethicone 10 mg</t>
  </si>
  <si>
    <t>Ofloxacin 200 mg + Ornidazole 500 mg</t>
  </si>
  <si>
    <t>Diclofenac Diethylamine 1.16% w/w + Gabapentin 8% w/w + Methyl Salicylate 5% w/w + Menthol 5% w/w Gel</t>
  </si>
  <si>
    <t>Natural Vitamin C with Zinc Sulphate Monohydrate Effervescent Tablets</t>
  </si>
  <si>
    <t>Ceftazidime 1000 mg + Tazobactam Sodium 125 mg</t>
  </si>
  <si>
    <t>Flupentixol 0.5 mg + Melitracen 10 mg</t>
  </si>
  <si>
    <t>Bacillus Clausii Spores Suspension</t>
  </si>
  <si>
    <t>Zinc Gluconate with Prebiotic &amp; Probiotic Suspension</t>
  </si>
  <si>
    <t>Prebiotic &amp; Probiotic Capsules</t>
  </si>
  <si>
    <t>Glimepiride 2 mg + Metformin Hydrochloride 500 mg (Sustained Release</t>
  </si>
  <si>
    <t>Glimepiride 2 mg + Metformin Hydrochloride 1000 mg (Prolonged Release)</t>
  </si>
  <si>
    <t>Glimepiride 1 mg + Metformin Hydrochloride 500 mg (Sustained Release)</t>
  </si>
  <si>
    <t>Glimepiride 1 mg + Metformin Hydrochloride 1000 mg (Sustained Release)</t>
  </si>
  <si>
    <t>Levocetirizine 5 mg + Montelukast 10 mg</t>
  </si>
  <si>
    <t>Levocetirizine Hydrochloride 2.5 mg + Montelukast Sodium 4 mg/5 ml</t>
  </si>
  <si>
    <t>Levocetirizine 2.5 mg + Montelukast 4 mg</t>
  </si>
  <si>
    <t>Fexofenadine 120 mg + Montelukast 10 mg (Chewable tablets)</t>
  </si>
  <si>
    <t>Fluticasone Furoate 0.02% w/v + Azelastine Hcl 0.10% w/v Nasal Spray</t>
  </si>
  <si>
    <t>Acebrophylline (SR) 200 mg + Montelukast Sodium 10 mg + Desloratadine 5 mg</t>
  </si>
  <si>
    <t>Fluticasone Propionate 0.05% w/v Nasal Spray</t>
  </si>
  <si>
    <t>Sodium Chloride 3% w/v Inhalation Solution</t>
  </si>
  <si>
    <t>Levosalbutamol 0.63 mg/2.5 ml Inhalation Solution</t>
  </si>
  <si>
    <t>Levosalbutamol 0.31 mg/2.5 ml Inhalation Solution</t>
  </si>
  <si>
    <t>Multivitamin &amp; Multimineral Supplement Syrup</t>
  </si>
  <si>
    <t>Co-enzyme Q10 100 mg, L-Carnitine L-Tartrate 50 mg, Lycopene 8% 4000 mcg, Selenium Dioxide 65 mcg &amp; Omega 3 Fatty Acid 150 mg Softgel Capsules</t>
  </si>
  <si>
    <t>Vitamin C 40 mg, Niacin 16 mg, Vitamin E 10 mg, Pantothenic acid 4.5 mg, Vitamin B2 1.4 mg, Vitamin B6 1.2 mg, Vitamin B1 1.2 mg, Vitamin A 600 mcg, Folic acid 1 mcg, Vitamin B12 1 mcg, Zinc 10 mg, Manganese 2 mg, Copper 1.7 mg, Selenium 35 mcg, Bacillus coagulans 100 million</t>
  </si>
  <si>
    <t>Vitamin B-Complex, Multivitamin, Multimineral &amp; LLysine 375 mg Syrup</t>
  </si>
  <si>
    <t>Multivitamin, Multimineral &amp; Antioxidant Drops</t>
  </si>
  <si>
    <t>Multivitamin, Multimineral &amp; Antioxidant with L-Lysine, DHA &amp; Amino Acids Syrup</t>
  </si>
  <si>
    <t>Vitamin A 10000 I.U. + Vitamin D2 1000 I.U. + Thiamine 10 mg + Riboflavin 10 mg + Pyridoxine 3 mg + Cyanocobalamin 2.2 mcg + Nicotinamide 50 mg + Calcium Pantothenate 12.5 mg + Ascorbic Acid Coated 100 mg + Biotin 0.25 mg + Folic Acid 1 mg + Manganese Chloride 1.4 mg + Chromium Chloride 65 mcg + Zinc Oxide 15 mg + Cupric Oxide 2.2 mcg</t>
  </si>
  <si>
    <t>Omega-3 Fatty Acid, Green Tea Extract, Ginkgo Biloba, Ginseng Extract, Grape Seed Extract, Multivitamin, Multimineral &amp; Antioxidant Softgel Capsules</t>
  </si>
  <si>
    <t>Omega-3 Fatty Acid, Green Tea Extract, Ginseng Extract, Ginkgo Biloba Extract, Grape Seed Extract, Ginger Extract, Garlic Extract, Guggul Extract, Green Coffee Bean Extract, Glycyrrhiza Glabra Extract, Gulab Extract, Green Chirata Extract, Giloy Extract, Multivitamin, Multimineral &amp; Antioxidant Softgel Capsules</t>
  </si>
  <si>
    <t>Lactic Acid Bacillus, B-Complex with Vitamins Capsules</t>
  </si>
  <si>
    <t>Pure Crystalline Amino Acids IV Infusion with Xylitol</t>
  </si>
  <si>
    <t>L-Arginine, Proanthocyanidin, Folic acid, Vitamin B6 &amp; DHA Sachets</t>
  </si>
  <si>
    <t>Complete nutrition for would-be moms • No added sugar • Vanilla flavour</t>
  </si>
  <si>
    <t>Complete nutrition for would-be moms • No added sugar6, Choclate flavour</t>
  </si>
  <si>
    <t>Amino Acids &amp; Vitamin Capsules</t>
  </si>
  <si>
    <t>Iodised Peptone 0.322 mg + Magnesium Chloride 6.67 mg + Manganese Sulphate 1.33 mg + Sodium Metavanadate 0.22 mg + Zinc Sulphate 10.71 mg + Pyridoxine Hcl 0.25 mg + Cyanocobalamin 0.167 mcg + Nicotinamide 3.33 mg Syrup</t>
  </si>
  <si>
    <t>Nutrition Powder for Bones (Vanilla Flavour)</t>
  </si>
  <si>
    <t>Silymarin, L-Ornithine L-Aspartate &amp; Vitamin BComplex (Sugar Free)</t>
  </si>
  <si>
    <t>L-Ornithine L-Aspartate Infusion Concentrate 5 gm</t>
  </si>
  <si>
    <t>Hydroxyzine Hydrochloride 25 mg</t>
  </si>
  <si>
    <t>Heparin Sodium 50 IU + Benzyl Nicotinate 2 mg</t>
  </si>
  <si>
    <t>Desvenlafaxine Extended Release 50 mg</t>
  </si>
  <si>
    <t>Herbal Uterine Tonic</t>
  </si>
  <si>
    <t>Herbal Uterine Capsules</t>
  </si>
  <si>
    <t>Sodium Alginate 250 mg + Sodium Bicarbonate 133.5 mg + Calcium Carbonate 80 mg Suspension</t>
  </si>
  <si>
    <t>Nimesulide 100 mg + Paracetamol 325 mg</t>
  </si>
  <si>
    <t>Herbal Immuno-Modulator for Safe Motherhood (Mulethi, Giloy, Kantheri, Badi Kateri, Piplamool, Gokhru Chota, Bharangi, Anar, Khas, Rasna, Manjishta, Gond Katira) Capsules</t>
  </si>
  <si>
    <t>Lycopene 6% 1000 mcg + Vitamin A 2000 IU + Vitamin E 10 IU + Vitamin C 40 mg + Zinc 3 mg + Iodine 100 mcg + Copper 500 mcg + Thiamine Hydrochloride 1.4 mg + Riboflavin 1.6 mg + Pyridoxine Hydrochloride 1.5 mg</t>
  </si>
  <si>
    <t>Ticagrelor 90 mg</t>
  </si>
  <si>
    <t>Rabeprazole 20 mg + Ondansetron 4 mg</t>
  </si>
  <si>
    <t>Rabeprazole 20 mg (EC) + Levosulpiride 75 mg (SR)</t>
  </si>
  <si>
    <t>Rabeprazole 20 mg (EC) + Domperidone 30 mg (SR)</t>
  </si>
  <si>
    <t>Rabeprazole Sodium 20 mg + Domperidone 10 mg</t>
  </si>
  <si>
    <t>Rabeprazole Sodium 20 mg</t>
  </si>
  <si>
    <t>Lutein 20 mg + Zeaxanthin 4 mg + Astaxanthin 7.5 mg + Bilberry Extract 50 mg + Lycopene 5 mg + Beta Carotene 10 mg + Citrus Bioflavonoids 20 mg + Zinc 17 mg + Niacinamide 18 mg + Iron 19 mg + Vitamin A 600 mcg + Vitamin E 10 mg + Vitamin C 50 mg Softgel Capsules</t>
  </si>
  <si>
    <t>Sultamicillin 375 mg</t>
  </si>
  <si>
    <t>Norethisterone 5 mg</t>
  </si>
  <si>
    <t>Norethisterone 10 mg Controlled Release</t>
  </si>
  <si>
    <t>Isoxsuprine Hydrochloride 40 mg Sustained Release</t>
  </si>
  <si>
    <t>Roxithromycin 150 mg</t>
  </si>
  <si>
    <t>Amoxycillin 500 mg + Potassium Clavulanate 125 mg + Lactic Acid Bacillus</t>
  </si>
  <si>
    <t>Amoxycillin 400 mg &amp; Potassium Clavulanate 57 mg/5ml (Sterile Water)</t>
  </si>
  <si>
    <t>Amoxycillin 500 mg + Potassium Clavulanate 125 mg</t>
  </si>
  <si>
    <t>Amoxycillin 250 mg + Potassium Clavulanate 125 mg</t>
  </si>
  <si>
    <t>Amoxycillin 875 mg + Potassium Clavulanate 125 mg</t>
  </si>
  <si>
    <t>Amoxycillin 200 mg &amp; Potassium Clavulanate 28.5/5 ml (Sterile Water)</t>
  </si>
  <si>
    <t>Trypsin 96 mg + Bromelain 180 mg + Rutoside Trihydrate 200 mg</t>
  </si>
  <si>
    <t>Trypsin 48 mg + Bromelain 90 mg + Rutoside Trihydrate 100 mg + Diclofenac Sodium 50 mg</t>
  </si>
  <si>
    <t>Trypsin 48 mg + Bromelain 90 mg + Rutoside Trihydrate 100 mg</t>
  </si>
  <si>
    <t>Cefoperazone 1000 mg + Sulbactam 500 mg</t>
  </si>
  <si>
    <t>Paracetamol 1000 mg</t>
  </si>
  <si>
    <t>Paracetamol 650 mg</t>
  </si>
  <si>
    <t>Paracetamol 500 mg</t>
  </si>
  <si>
    <t>Paracetamol 250 mg</t>
  </si>
  <si>
    <t>Paracetamol Immediate Release 300 mg and Paracetamol Sustained Release 700 mg</t>
  </si>
  <si>
    <t>Paracetamol 150 mg</t>
  </si>
  <si>
    <t>Artesunate 60 mg</t>
  </si>
  <si>
    <t>Artesunate 120 mg</t>
  </si>
  <si>
    <t>Amikacin 500 mg</t>
  </si>
  <si>
    <t>Amikacin 250 mg</t>
  </si>
  <si>
    <t>Amikacin 100 mg</t>
  </si>
  <si>
    <t>Triamcinolone Acetonide 40 mg/ml</t>
  </si>
  <si>
    <t>Methylprednisolone Acetate 40 mg/ml</t>
  </si>
  <si>
    <t>Methyl Prednisolone 8 mg</t>
  </si>
  <si>
    <t>Methyl Prednisolone 4 mg</t>
  </si>
  <si>
    <t>Methyl Prednisolone 16 mg</t>
  </si>
  <si>
    <t>Carica Papaya Leaf Extract, Tinospora Cordifolia Extract &amp; Goat Milk Powder Tablets</t>
  </si>
  <si>
    <t>Carica Papaya Leaf Extract, Tinospora Cordifolia Extract &amp; Goat Milk Powder Syrup</t>
  </si>
  <si>
    <t>Human Placenta Extract Gel</t>
  </si>
  <si>
    <t>Piperacillin Sodium 4 gm + Tazobactam Sodium 0.5 gm</t>
  </si>
  <si>
    <t>Sodium Picosulfate 5 mg (Sugar Free)</t>
  </si>
  <si>
    <t>Polyethylene Glycol 3350 Powder for Oral Solution</t>
  </si>
  <si>
    <t>Permethrin 1% w/w &amp; Cetrimide 0.5% w/w</t>
  </si>
  <si>
    <t>Permethrin 5% w/w</t>
  </si>
  <si>
    <t>Levonorgestrel 150 mcg + Ethinylestradiol 30 mcg</t>
  </si>
  <si>
    <t>Doxylamine Succinate 20 mg + Pyridoxine Hydrochloride 20 mg &amp; Folic Acid 5 mg</t>
  </si>
  <si>
    <t>Doxylamine Succinate 10 mg + Pyridoxine HCL 10 mg + Folic Acid 2.5 mg</t>
  </si>
  <si>
    <t>Nitrofurantoin 100 mg (Sustained Release)</t>
  </si>
  <si>
    <t>Nicorandil 5 mg</t>
  </si>
  <si>
    <t>Controlled Release Tablets of Nitroglycerin 2.6 mg</t>
  </si>
  <si>
    <t>Herbal UTI Infection &amp; Kidney Stone Tablets</t>
  </si>
  <si>
    <t>Herbal UTI Infection &amp; Kidney Stone Syrup</t>
  </si>
  <si>
    <t>Ceftriaxone Sodium 1000 mg + Tazobactam Sodium 125 mg</t>
  </si>
  <si>
    <t>Ceftriaxone Sodium 250 mg + Sulbactam Sodium 125 mg</t>
  </si>
  <si>
    <t>Ceftriaxone Sodium 1000 mg + Sulbactam Sodium 500 mg</t>
  </si>
  <si>
    <t>Ceftriaxone Sodium 500 mg</t>
  </si>
  <si>
    <t>Ceftriaxone Sodium 250 mg</t>
  </si>
  <si>
    <t>Ceftriaxone Sodium 1000 mg</t>
  </si>
  <si>
    <t>Glycopyrronium 25 mcg Inhalation Solution</t>
  </si>
  <si>
    <t>Naproxen Sodium 500 mg + Domperidone 10 mg</t>
  </si>
  <si>
    <t>Cholecalciferol 60000 I.U Softgel Capsules</t>
  </si>
  <si>
    <t>Cholecalciferol Granules 60000 i.u Sachets</t>
  </si>
  <si>
    <t>Cholecalciferol 60000 Nano Shot</t>
  </si>
  <si>
    <t>Cholecalciferol 800 I.U Drops</t>
  </si>
  <si>
    <t>Mupirocin 2% w/w Ointment</t>
  </si>
  <si>
    <t>Amoxycillin 500 mg</t>
  </si>
  <si>
    <t>Amoxycillin 250 mg (Dispersible)</t>
  </si>
  <si>
    <t>Co-enzyme Q10 300 mg + Omega 3 Fatty Acids 150 mg + L-Arginine 100 mg + L-Carnitine 50 mg + Piperine 5 mg + Lycopene 5000 mcg</t>
  </si>
  <si>
    <t>Allantoin 0.25% w/w, Vitamin E Acetate 0.25% w/w, Tea Tree Oil 0.5% w/w</t>
  </si>
  <si>
    <t>Omega-3 Fatty Acids 500 mg &amp; Vitamin E 400 IU Softgel Capsules</t>
  </si>
  <si>
    <t>Citicoline 500 mg &amp; Piracetam 800 mg</t>
  </si>
  <si>
    <t>Opitac L-Glutathione Reduced 200 mg + Vitamin C 40 mg + Alpha Lipoic Acid 100 mg + Vitamin E 14.9 mg + Grape Seed Extract 100 mg + Green Tea Extract 50 mg</t>
  </si>
  <si>
    <t>Iron Sucrose 100 mg</t>
  </si>
  <si>
    <t>Ferrous Ascorbate 100 mg + Folic Acid 1.5 mg + Zinc Sulphate 22.5 mg</t>
  </si>
  <si>
    <t>Ferrous Ascorbate 30 mg + Folic Acid 550 mcg</t>
  </si>
  <si>
    <t>Ferrous Ascorbate 10 mg + Folic Acid 100 mcg</t>
  </si>
  <si>
    <t>Ferrous Ascorbate 30 mg + Folic Acid 0.5 mg + Methylcobalamin 500 mcg</t>
  </si>
  <si>
    <t>Gabapentin 300 mg + Methylcobalamin 500 mcg</t>
  </si>
  <si>
    <t>Gabapentin 100 mg + Nortriptyline 10 mg</t>
  </si>
  <si>
    <t>Gabapentin 400 mg + Nortriptyline 10 mg</t>
  </si>
  <si>
    <t>Ranitidine Hydrochloride 75 mg/5 ml</t>
  </si>
  <si>
    <t>Clidinium Bromide 2.5 mg + Chlordiazepoxide 5 mg + Dicyclomine Hydrochloride 10 mg</t>
  </si>
  <si>
    <t>Fexofenadine 120 mg</t>
  </si>
  <si>
    <t>Hydrocortisone 100 mg</t>
  </si>
  <si>
    <t>Pantoprazole 40 mg</t>
  </si>
  <si>
    <t>Pantoprazole 40 mg + Domperidone 10 mg</t>
  </si>
  <si>
    <t>Pantoprazole 40 mg (EC) + Domperidone 30mg(SR)</t>
  </si>
  <si>
    <t>Pantoprazole 40 mg (EC) + Domperidone 20 mg (SR) + Domperidone 10 mg (IR)</t>
  </si>
  <si>
    <t>Pantoprazole 40 mg (EC) + Levosulpiride 75 mg (SR)</t>
  </si>
  <si>
    <t>Pantoprazole 40 mg + Ondansetron 4 mg</t>
  </si>
  <si>
    <t>Chlorhexidine Gluconate Solution Mouth Wash (Mint Flavour)</t>
  </si>
  <si>
    <t>Potassium Nitrate 5% w/w + Sodium Monofluorophosphate 0.70% w/w + Triclosan 0.30% w/w Tooth Gel</t>
  </si>
  <si>
    <t>Metronidazole 1.0% + Chlorhexidine 0.5%</t>
  </si>
  <si>
    <t>Combipack of Clarithromycin Tablets 500 mg, Esomeprazole Gastro-Resistant Tablets 40 mg, &amp; Amoxicillin Tablets 750 mg</t>
  </si>
  <si>
    <t>S-Adenosyl-L-Methionine Disulfate Tosylate 400 mg</t>
  </si>
  <si>
    <t>Natural Micronized Progesterone 200 mg (Sustained Release)</t>
  </si>
  <si>
    <t>Natural Micronized Progesterone 300 mg (Sustained Release)</t>
  </si>
  <si>
    <t>Medroxyprogesterone Acetate 10 mg</t>
  </si>
  <si>
    <t>Ursodeoxycholic Acid 125 mg</t>
  </si>
  <si>
    <t>Ursodeoxycholic Acid 150 mg</t>
  </si>
  <si>
    <t>Ursodeoxycholic Acid 300 mg</t>
  </si>
  <si>
    <t>Indomethacin 75 mg (SR)</t>
  </si>
  <si>
    <t>Dextrose, Minerals, Vitamin C, D3, B1, B2, B6, Creatine, Cyanocobalamin, Zinc Sulphate</t>
  </si>
  <si>
    <t>Super Rehydration Salts with Zinc &amp; Lactobacillus Powder</t>
  </si>
  <si>
    <t>Levosalbutamol 1.25 mg + Ipratropium Bromide 500 mcg / 2.5 ml Respiratory Solution</t>
  </si>
  <si>
    <t>Citicoline Sodium 250 mg</t>
  </si>
  <si>
    <t>Itraconazole 1% w/w</t>
  </si>
  <si>
    <t>Itraconazole 100 mg</t>
  </si>
  <si>
    <t>Itraconazole 200 mg</t>
  </si>
  <si>
    <t>Cefixime 100 mg/5ml (Sterile Water)</t>
  </si>
  <si>
    <t>Cefixime 100 mg (Dispersible)</t>
  </si>
  <si>
    <t>Cefixime 200 mg (Dispersible)</t>
  </si>
  <si>
    <t>Cefixime 50 mg/5ml (Sterile Water)</t>
  </si>
  <si>
    <t>Cefixime 200 mg + Potassium Clavulanate 125 mg</t>
  </si>
  <si>
    <t>Cefixime 200 mg + Potassium Clavulanate</t>
  </si>
  <si>
    <t>Cefixime 200 mg + Ofloxacin 200 mg</t>
  </si>
  <si>
    <t>Cefixime 50 mg + Ofloxacin 50 mg (Sterile Water)</t>
  </si>
  <si>
    <t>Fungal Diastase with Pepsin Drops</t>
  </si>
  <si>
    <t>Pepsin, Fungal Diastase with Sorbitol Syrup</t>
  </si>
  <si>
    <t>Fungal Diastase 100 mg, Papain 60 mg and Activated Charcoal 75 mg</t>
  </si>
  <si>
    <t>Complete Antioxidant with Ginseng, Multivitamin, Multimineral &amp; Lactic Acid Bacillus Softgel Capsules</t>
  </si>
  <si>
    <t>Zinc Gluconate 20 mg</t>
  </si>
  <si>
    <t>Zinc Gluconate 20 mg/5ml</t>
  </si>
  <si>
    <t>Luliconazole Cream 1.0% w/w</t>
  </si>
  <si>
    <t>Luliconazole 1% w/w</t>
  </si>
  <si>
    <t>Ketorolac Tromethamine 10 mg (Dispersible)</t>
  </si>
  <si>
    <t>Lansoprazole 15 mg Orally Disintegrating Tablets</t>
  </si>
  <si>
    <t>Lansoprazole (EC) 30 mg + Domperidone (SR) 30 mg</t>
  </si>
  <si>
    <t>Lactitol Monohydrate 10 gm &amp; Ispaghula Husk 3.5 gm (Husk Granules) (Sugar Free)</t>
  </si>
  <si>
    <t>Lactulose Solution 10 gm/15ml</t>
  </si>
  <si>
    <t>Liquid Paraffin 1.25 ml + Milk of Magnesia 3.75 ml + Sodium Picosulfate 3.33 mg</t>
  </si>
  <si>
    <t>Betahistine Hydrochloride 16 mg</t>
  </si>
  <si>
    <t>Betahistine Dihydrochloride 24 mg</t>
  </si>
  <si>
    <t>Betahistine Hydrochloride 8 mg</t>
  </si>
  <si>
    <t>Letrozole 5 mg</t>
  </si>
  <si>
    <t>Gentamicin Sulphate 0.3% w/v + Beclomethasone Dipropionate 0.025% w/v + Clotrimazole 1.0% w/v + Lignocaine Hydrochloride 2.0% w/v</t>
  </si>
  <si>
    <t>L-Glutamic Acid 300 mg + Zinc Sulphate 17 mg</t>
  </si>
  <si>
    <t>Herbal Solutions for Male Infertility ( Ashwagandha, Shatavari, Kapikacchu, Safed Musli &amp; Purified Shilajit Capsules )</t>
  </si>
  <si>
    <t>Mentha Piperita (Peppermint Oil) 300 mg Softgel Capsules</t>
  </si>
  <si>
    <t>Linezolid 600 mg</t>
  </si>
  <si>
    <t>Levofloxacin 500 mg</t>
  </si>
  <si>
    <t>Collagen Peptide Type 1, Glucosamine Sulphate Potassium Chloride, Chondroitin Sulphate Sodium, Sodium Hyaluronate, Multivitamin, Folic Acid &amp; Zinc</t>
  </si>
  <si>
    <t>Artemether 80 mg + Lumefantrine 480 mg</t>
  </si>
  <si>
    <t>Ferric Ammonium Citrate 160 mg (eq. to Elemental Iron 32.8 mg) + Cyanocobalamin 7.5 mcg + Folic Acid 0.5 mg + Cupric Sulphate 30 mcg + Manganese Sulphate 30 mcg</t>
  </si>
  <si>
    <t>Ferric Carboxymaltose (500mg/10ml)</t>
  </si>
  <si>
    <t>Ferrous Bis-Glycinate 60 mg + Folic Acid 1 mg + Zinc Bis-Glycinate 15 mg + Methlycobalamin 500 mcg</t>
  </si>
  <si>
    <t>Acetylcysteine 300 mg &amp; Ambroxol HCl 30 mg Tabletes</t>
  </si>
  <si>
    <t>Nutritive Infusion of Pure Crystalline Amino Acid</t>
  </si>
  <si>
    <t>Used to treat inflammatory skin conditions like acne, reducing redness and swelling.</t>
  </si>
  <si>
    <t>Treatment of bloating and postprandial fullness (indigestion).</t>
  </si>
  <si>
    <t>Used to prevent and treat symptoms of asthma and allergic rhinitis.</t>
  </si>
  <si>
    <t>Used as an appetite stimulant and to relieve allergy symptoms.</t>
  </si>
  <si>
    <t>Antibiotic used for respiratory, skin, and ear bacterial infections.</t>
  </si>
  <si>
    <t>Used to treat parasitic worm infections.</t>
  </si>
  <si>
    <t>Often used for initial dosing or maintenance for moderate symptoms.</t>
  </si>
  <si>
    <t>Used when a higher concentration is required to manage more severe muscle stiffness.</t>
  </si>
  <si>
    <t>Contains Trypsin–Chymotrypsin, which is used to reduce inflammation and swelling associated with trauma, surgery, or injury. It helps in faster healing of wounds and edema.</t>
  </si>
  <si>
    <t>An injectable form of Esomeprazole used for the short-term treatment of Gastroesophageal Reflux Disease (GERD) and stomach ulcers when oral therapy is not possible.</t>
  </si>
  <si>
    <t>An oral tablet of Esomeprazole used to treat acid-related conditions like heartburn, acid reflux, and peptic ulcers by reducing stomach acid production.</t>
  </si>
  <si>
    <t>Combines Esomeprazole with Levosulpiride. It is used to treat GERD, irritable bowel syndrome (IBS), and chronic dyspepsia (indigestion) where acid reflux is combined with gut motility issues.</t>
  </si>
  <si>
    <t>Combines Esomeprazole and Domperidone. Used to treat GERD and acid reflux specifically when accompanied by nausea or vomiting.</t>
  </si>
  <si>
    <t>Also a combination of Esomeprazole and Domperidone (standard packaging) used for managing acid reflux and nausea.</t>
  </si>
  <si>
    <t>Contains Moxifloxacin, a fluoroquinolone antibiotic used to treat bacterial eye infections, such as bacterial conjunctivitis (pink eye).</t>
  </si>
  <si>
    <t>Bacterial eye infections with significant inflammation/swelling.</t>
  </si>
  <si>
    <t>Bacterial eye infections accompanied by pain or post-surgical inflammation.</t>
  </si>
  <si>
    <t>Bacterial eye infections; uses a "soft" steroid to minimize eye pressure risks.</t>
  </si>
  <si>
    <t>Probiotic support for urinary tract health and vaginal flora balance.</t>
  </si>
  <si>
    <t>Prevention of UTIs and management of urinary pH/kidney stone prevention.</t>
  </si>
  <si>
    <t>Daily external intimate hygiene to maintain pH balance and prevent odor/itching.</t>
  </si>
  <si>
    <t>Management and control of partial-onset seizures (Epilepsy).</t>
  </si>
  <si>
    <t>Relief from fever and mild-to-moderate pain (headache, body ache).</t>
  </si>
  <si>
    <t>Treatment of severe, life-threatening hospital-acquired bacterial infections.</t>
  </si>
  <si>
    <t>Lowers high prolactin levels; used in infertility, irregular periods, and abnormal milk secretion</t>
  </si>
  <si>
    <t>Relief from abdominal cramps, stomach pain, and menstrual pain</t>
  </si>
  <si>
    <t>Treatment of fungal infections including vaginal yeast infection</t>
  </si>
  <si>
    <t>Used for moderate fungal infections and recurrent candidiasis</t>
  </si>
  <si>
    <t>Used in severe or systemic fungal infections</t>
  </si>
  <si>
    <t>Treatment of resistant fungal infections with parasitic infestation</t>
  </si>
  <si>
    <t>Used for fungal skin infections, dandruff, and itching</t>
  </si>
  <si>
    <t>Used in mixed skin infections with itching, redness, and inflammation</t>
  </si>
  <si>
    <t>Improves memory, concentration, and mental strength</t>
  </si>
  <si>
    <t>Supports brain health, nerve function, and nutritional deficiencies</t>
  </si>
  <si>
    <t>Used for nerve health, diabetic neuropathy, and nutritional deficiencies (B-complex and antioxidants).</t>
  </si>
  <si>
    <t>Often used for muscle cramps, carnitine deficiency, and supporting nerve recovery.</t>
  </si>
  <si>
    <t>Used for chronic nerve pain, sciatica, and fibromyalgia. Contains Nortriptyline to help with associated sleep or mood issues.</t>
  </si>
  <si>
    <t>Combines Pregabalin for nerve signals and Methylcobalamin (B12) to help repair the nerve's protective sheath.</t>
  </si>
  <si>
    <t>Used to relieve symptoms of allergic rhinitis (hay fever), such as sneezing, runny nose, and itchy eyes, as well as chronic hives (urticaria).</t>
  </si>
  <si>
    <t>Hypertension (High Blood Pressure) and heart-related conditions</t>
  </si>
  <si>
    <t>Kidney stones, Gout, and Urinary Tract Infections (UTI)</t>
  </si>
  <si>
    <t>Control of heavy bleeding (menstrual or surgical)</t>
  </si>
  <si>
    <t>Nutritional supplement for bone health, nerve health, or immunity</t>
  </si>
  <si>
    <t>Acidity, heartburn, stomach ulcers, and GERD</t>
  </si>
  <si>
    <t>Pain relief, inflammation, muscle spasms, and fever</t>
  </si>
  <si>
    <t>Used for various medical conditions; consult a physician for specific use.</t>
  </si>
  <si>
    <t>Management of PCOS (Polycystic Ovary Syndrome) and hormonal balance</t>
  </si>
  <si>
    <t>Allergic conditions (sneezing, runny nose, itchy eyes), Allergic Rhinitis, and Asthma</t>
  </si>
  <si>
    <t>Bacterial infections (Respiratory, UTI, Ear, Throat, etc.)</t>
  </si>
  <si>
    <t>Cough, Asthma, COPD, and Bronchitis</t>
  </si>
  <si>
    <t>Neuropathic pain (nerve pain) and Fibromyalgia</t>
  </si>
  <si>
    <t>Consult physician</t>
  </si>
  <si>
    <t>Liver health and Liver disorders</t>
  </si>
  <si>
    <t>Fungal infections</t>
  </si>
  <si>
    <t>Type 2 Diabetes Mellitus (Blood sugar control)</t>
  </si>
  <si>
    <t>Gut health, Diarrhea, and restoring healthy intestinal bacteria</t>
  </si>
  <si>
    <t>Anxiety, Depression, and Sleep disorders</t>
  </si>
  <si>
    <t>support liver health, improve digestion, help control blood sugar, and fight infections.</t>
  </si>
  <si>
    <t>Skin Care</t>
  </si>
  <si>
    <t>Digestive Care</t>
  </si>
  <si>
    <t>Respiratory Care</t>
  </si>
  <si>
    <t>Infection Care</t>
  </si>
  <si>
    <t>Pain / Muscle Care</t>
  </si>
  <si>
    <t>General / Other Care</t>
  </si>
  <si>
    <t>Eye/Ear/Nasal Care</t>
  </si>
  <si>
    <t>Nutritional Supplement</t>
  </si>
  <si>
    <t>Cardiac / Diabetes Care</t>
  </si>
  <si>
    <t>~130–170 g</t>
  </si>
  <si>
    <t>~160–230 grams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</si>
</sst>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5">
    <font>
      <sz val="11"/>
      <color rgb="FF000000"/>
      <name val="Calibri"/>
      <charset val="134"/>
    </font>
    <font>
      <sz val="11"/>
      <color theme="1"/>
      <name val="Calibri"/>
      <family val="2"/>
      <scheme val="minor"/>
    </font>
    <font>
      <sz val="11"/>
      <color theme="1"/>
      <name val="Calibri"/>
      <family val="2"/>
      <scheme val="minor"/>
    </font>
    <font>
      <b/>
      <sz val="10"/>
      <color rgb="FF000000"/>
      <name val="Calibri"/>
      <charset val="134"/>
    </font>
    <font>
      <sz val="11"/>
      <name val="Calibri"/>
      <charset val="134"/>
    </font>
    <font>
      <i/>
      <sz val="10"/>
      <color rgb="FF000000"/>
      <name val="Calibri"/>
      <charset val="134"/>
    </font>
    <font>
      <sz val="10"/>
      <color theme="1"/>
      <name val="Calibri"/>
      <charset val="134"/>
    </font>
    <font>
      <sz val="10"/>
      <color rgb="FF000000"/>
      <name val="Calibri"/>
      <charset val="134"/>
    </font>
    <font>
      <u/>
      <sz val="11"/>
      <color theme="10"/>
      <name val="Calibri"/>
      <charset val="134"/>
    </font>
    <font>
      <sz val="8"/>
      <name val="Calibri"/>
      <charset val="134"/>
    </font>
    <font>
      <sz val="10"/>
      <color theme="1"/>
      <name val="Arial"/>
      <family val="2"/>
    </font>
    <font>
      <sz val="10"/>
      <color theme="1"/>
      <name val="Courier New"/>
      <family val="3"/>
    </font>
    <font>
      <sz val="11"/>
      <color rgb="FF000000"/>
      <name val="Calibri"/>
      <family val="2"/>
    </font>
    <font>
      <sz val="10"/>
      <color rgb="FF000000"/>
      <name val="Arial"/>
      <family val="2"/>
    </font>
    <font>
      <sz val="11"/>
      <color rgb="FF000000"/>
      <name val="Arial"/>
      <family val="2"/>
    </font>
  </fonts>
  <fills count="11">
    <fill>
      <patternFill patternType="none"/>
    </fill>
    <fill>
      <patternFill patternType="gray125"/>
    </fill>
    <fill>
      <patternFill patternType="solid">
        <fgColor rgb="FFFFE598"/>
        <bgColor rgb="FFFFE598"/>
      </patternFill>
    </fill>
    <fill>
      <patternFill patternType="solid">
        <fgColor rgb="FF95B3D7"/>
        <bgColor rgb="FF95B3D7"/>
      </patternFill>
    </fill>
    <fill>
      <patternFill patternType="solid">
        <fgColor rgb="FFF3F3F3"/>
        <bgColor rgb="FFF3F3F3"/>
      </patternFill>
    </fill>
    <fill>
      <patternFill patternType="solid">
        <fgColor rgb="FFFFFFFF"/>
        <bgColor rgb="FFFFFFFF"/>
      </patternFill>
    </fill>
    <fill>
      <patternFill patternType="solid">
        <fgColor rgb="FFA9D08E"/>
        <bgColor rgb="FFA9D08E"/>
      </patternFill>
    </fill>
    <fill>
      <patternFill patternType="solid">
        <fgColor rgb="FFF6B26B"/>
        <bgColor rgb="FFF6B26B"/>
      </patternFill>
    </fill>
    <fill>
      <patternFill patternType="solid">
        <fgColor rgb="FFEAD1DC"/>
        <bgColor rgb="FFEAD1DC"/>
      </patternFill>
    </fill>
    <fill>
      <patternFill patternType="solid">
        <fgColor rgb="FFFFF2CC"/>
        <bgColor rgb="FFFFF2CC"/>
      </patternFill>
    </fill>
    <fill>
      <patternFill patternType="solid">
        <fgColor rgb="FFD9EAD3"/>
        <bgColor rgb="FFD9EAD3"/>
      </patternFill>
    </fill>
  </fills>
  <borders count="1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indexed="64"/>
      </left>
      <right/>
      <top style="thin">
        <color indexed="64"/>
      </top>
      <bottom style="thin">
        <color indexed="64"/>
      </bottom>
      <diagonal/>
    </border>
    <border>
      <left/>
      <right style="thin">
        <color rgb="FF000000"/>
      </right>
      <top style="thin">
        <color rgb="FF000000"/>
      </top>
      <bottom/>
      <diagonal/>
    </border>
    <border>
      <left/>
      <right style="thin">
        <color indexed="64"/>
      </right>
      <top style="thin">
        <color indexed="64"/>
      </top>
      <bottom style="thin">
        <color indexed="64"/>
      </bottom>
      <diagonal/>
    </border>
    <border>
      <left style="medium">
        <color rgb="FFCCCCCC"/>
      </left>
      <right style="medium">
        <color rgb="FFCCCCCC"/>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CCCCCC"/>
      </left>
      <right/>
      <top style="medium">
        <color rgb="FFCCCCCC"/>
      </top>
      <bottom style="medium">
        <color rgb="FFCCCCCC"/>
      </bottom>
      <diagonal/>
    </border>
    <border>
      <left style="thin">
        <color indexed="64"/>
      </left>
      <right style="thin">
        <color indexed="64"/>
      </right>
      <top style="thin">
        <color indexed="64"/>
      </top>
      <bottom/>
      <diagonal/>
    </border>
  </borders>
  <cellStyleXfs count="4">
    <xf numFmtId="0" fontId="0" fillId="0" borderId="0"/>
    <xf numFmtId="0" fontId="2" fillId="0" borderId="0"/>
    <xf numFmtId="0" fontId="8" fillId="0" borderId="0" applyNumberFormat="0" applyFill="0" applyBorder="0" applyAlignment="0" applyProtection="0"/>
    <xf numFmtId="0" fontId="1" fillId="0" borderId="0"/>
  </cellStyleXfs>
  <cellXfs count="76">
    <xf numFmtId="0" fontId="0" fillId="0" borderId="0" xfId="0"/>
    <xf numFmtId="0" fontId="3" fillId="0" borderId="0" xfId="0" applyFont="1" applyAlignment="1">
      <alignment horizontal="left" vertical="center"/>
    </xf>
    <xf numFmtId="0" fontId="3" fillId="2" borderId="0" xfId="0" applyFont="1" applyFill="1" applyAlignment="1">
      <alignment horizontal="left" vertical="center"/>
    </xf>
    <xf numFmtId="0" fontId="3" fillId="3" borderId="0" xfId="0" applyFont="1" applyFill="1" applyAlignment="1">
      <alignment horizontal="left" vertical="center"/>
    </xf>
    <xf numFmtId="0" fontId="3" fillId="3" borderId="1" xfId="0" applyFont="1" applyFill="1" applyBorder="1"/>
    <xf numFmtId="0" fontId="5" fillId="4" borderId="0" xfId="0" applyFont="1" applyFill="1" applyAlignment="1">
      <alignment horizontal="left" vertical="center" wrapText="1"/>
    </xf>
    <xf numFmtId="0" fontId="5" fillId="4" borderId="1" xfId="0" applyFont="1" applyFill="1" applyBorder="1" applyAlignment="1">
      <alignment horizontal="left" vertical="top" wrapText="1"/>
    </xf>
    <xf numFmtId="0" fontId="6" fillId="0" borderId="0" xfId="0" applyFont="1" applyAlignment="1">
      <alignment horizontal="left" vertical="center"/>
    </xf>
    <xf numFmtId="0" fontId="7" fillId="5" borderId="1" xfId="0" applyFont="1" applyFill="1" applyBorder="1"/>
    <xf numFmtId="0" fontId="5" fillId="4" borderId="1" xfId="0" applyFont="1" applyFill="1" applyBorder="1" applyAlignment="1">
      <alignment wrapText="1"/>
    </xf>
    <xf numFmtId="9" fontId="5" fillId="4" borderId="1" xfId="0" applyNumberFormat="1" applyFont="1" applyFill="1" applyBorder="1" applyAlignment="1">
      <alignment wrapText="1"/>
    </xf>
    <xf numFmtId="9" fontId="7" fillId="5" borderId="1" xfId="0" applyNumberFormat="1" applyFont="1" applyFill="1" applyBorder="1"/>
    <xf numFmtId="0" fontId="3" fillId="3" borderId="1" xfId="0" applyFont="1" applyFill="1" applyBorder="1" applyAlignment="1">
      <alignment wrapText="1"/>
    </xf>
    <xf numFmtId="0" fontId="6" fillId="0" borderId="1" xfId="0" applyFont="1" applyBorder="1"/>
    <xf numFmtId="0" fontId="3" fillId="7" borderId="1" xfId="0" applyFont="1" applyFill="1" applyBorder="1"/>
    <xf numFmtId="0" fontId="3" fillId="8" borderId="1" xfId="0" applyFont="1" applyFill="1" applyBorder="1"/>
    <xf numFmtId="0" fontId="7" fillId="0" borderId="0" xfId="0" applyFont="1" applyAlignment="1">
      <alignment horizontal="left"/>
    </xf>
    <xf numFmtId="0" fontId="3" fillId="9" borderId="1" xfId="0" applyFont="1" applyFill="1" applyBorder="1"/>
    <xf numFmtId="0" fontId="3" fillId="10" borderId="1" xfId="0" applyFont="1" applyFill="1" applyBorder="1"/>
    <xf numFmtId="0" fontId="8" fillId="5" borderId="1" xfId="2" applyFill="1" applyBorder="1"/>
    <xf numFmtId="0" fontId="0" fillId="0" borderId="5" xfId="0" applyBorder="1"/>
    <xf numFmtId="4" fontId="0" fillId="0" borderId="5" xfId="0" applyNumberFormat="1" applyBorder="1"/>
    <xf numFmtId="164" fontId="7" fillId="5" borderId="1" xfId="0" applyNumberFormat="1" applyFont="1" applyFill="1" applyBorder="1"/>
    <xf numFmtId="4" fontId="7" fillId="5" borderId="1" xfId="0" applyNumberFormat="1" applyFont="1" applyFill="1" applyBorder="1"/>
    <xf numFmtId="1" fontId="10" fillId="0" borderId="5" xfId="0" applyNumberFormat="1" applyFont="1" applyBorder="1"/>
    <xf numFmtId="49" fontId="11" fillId="0" borderId="5" xfId="0" applyNumberFormat="1" applyFont="1" applyBorder="1"/>
    <xf numFmtId="9" fontId="7" fillId="5" borderId="2" xfId="0" applyNumberFormat="1" applyFont="1" applyFill="1" applyBorder="1"/>
    <xf numFmtId="0" fontId="7" fillId="5" borderId="6" xfId="0" applyFont="1" applyFill="1" applyBorder="1"/>
    <xf numFmtId="0" fontId="6" fillId="0" borderId="5" xfId="0" applyFont="1" applyBorder="1" applyAlignment="1">
      <alignment horizontal="left" vertical="center"/>
    </xf>
    <xf numFmtId="0" fontId="7" fillId="5" borderId="2" xfId="0" applyFont="1" applyFill="1" applyBorder="1"/>
    <xf numFmtId="0" fontId="7" fillId="5" borderId="3" xfId="0" applyFont="1" applyFill="1" applyBorder="1"/>
    <xf numFmtId="0" fontId="5" fillId="4" borderId="6" xfId="0" applyFont="1" applyFill="1" applyBorder="1" applyAlignment="1">
      <alignment horizontal="left" vertical="top" wrapText="1"/>
    </xf>
    <xf numFmtId="0" fontId="5" fillId="4" borderId="6" xfId="0" applyFont="1" applyFill="1" applyBorder="1" applyAlignment="1">
      <alignment wrapText="1"/>
    </xf>
    <xf numFmtId="0" fontId="7" fillId="5" borderId="5" xfId="0" applyFont="1" applyFill="1" applyBorder="1"/>
    <xf numFmtId="0" fontId="8" fillId="5" borderId="5" xfId="2" applyFill="1" applyBorder="1" applyAlignment="1">
      <alignment horizontal="left" wrapText="1"/>
    </xf>
    <xf numFmtId="0" fontId="8" fillId="0" borderId="5" xfId="2" applyBorder="1" applyAlignment="1">
      <alignment horizontal="left" vertical="center" wrapText="1"/>
    </xf>
    <xf numFmtId="0" fontId="7" fillId="0" borderId="5" xfId="0" applyFont="1" applyBorder="1" applyAlignment="1">
      <alignment horizontal="left"/>
    </xf>
    <xf numFmtId="0" fontId="6" fillId="0" borderId="5" xfId="0" applyFont="1" applyBorder="1" applyAlignment="1">
      <alignment horizontal="left" vertical="center" wrapText="1"/>
    </xf>
    <xf numFmtId="1" fontId="10" fillId="0" borderId="0" xfId="0" applyNumberFormat="1" applyFont="1"/>
    <xf numFmtId="9" fontId="7" fillId="5" borderId="4" xfId="0" applyNumberFormat="1" applyFont="1" applyFill="1" applyBorder="1"/>
    <xf numFmtId="0" fontId="0" fillId="0" borderId="5" xfId="0" applyBorder="1" applyAlignment="1">
      <alignment wrapText="1"/>
    </xf>
    <xf numFmtId="0" fontId="0" fillId="0" borderId="5" xfId="0" applyBorder="1" applyAlignment="1">
      <alignment horizontal="center" wrapText="1"/>
    </xf>
    <xf numFmtId="0" fontId="5" fillId="4" borderId="7" xfId="0" applyFont="1" applyFill="1" applyBorder="1" applyAlignment="1">
      <alignment horizontal="left" vertical="top" wrapText="1"/>
    </xf>
    <xf numFmtId="0" fontId="7" fillId="5" borderId="8" xfId="0" applyFont="1" applyFill="1" applyBorder="1"/>
    <xf numFmtId="0" fontId="6" fillId="0" borderId="8" xfId="0" applyFont="1" applyBorder="1" applyAlignment="1">
      <alignment horizontal="left" vertical="center"/>
    </xf>
    <xf numFmtId="0" fontId="0" fillId="0" borderId="8" xfId="0" applyBorder="1"/>
    <xf numFmtId="0" fontId="5" fillId="4" borderId="9" xfId="0" applyFont="1" applyFill="1" applyBorder="1" applyAlignment="1">
      <alignment wrapText="1"/>
    </xf>
    <xf numFmtId="0" fontId="6" fillId="0" borderId="10" xfId="0" applyFont="1" applyBorder="1" applyAlignment="1">
      <alignment horizontal="left" vertical="center"/>
    </xf>
    <xf numFmtId="0" fontId="0" fillId="0" borderId="10" xfId="0" applyBorder="1"/>
    <xf numFmtId="0" fontId="3" fillId="7" borderId="6" xfId="0" applyFont="1" applyFill="1" applyBorder="1"/>
    <xf numFmtId="0" fontId="5" fillId="4" borderId="5" xfId="0" applyFont="1" applyFill="1" applyBorder="1" applyAlignment="1">
      <alignment wrapText="1"/>
    </xf>
    <xf numFmtId="0" fontId="12" fillId="0" borderId="5" xfId="0" applyFont="1" applyBorder="1" applyAlignment="1">
      <alignment wrapText="1"/>
    </xf>
    <xf numFmtId="0" fontId="0" fillId="0" borderId="0" xfId="0" applyAlignment="1">
      <alignment wrapText="1"/>
    </xf>
    <xf numFmtId="0" fontId="5" fillId="4" borderId="7" xfId="0" applyFont="1" applyFill="1" applyBorder="1" applyAlignment="1">
      <alignment wrapText="1"/>
    </xf>
    <xf numFmtId="0" fontId="3" fillId="10" borderId="6" xfId="0" applyFont="1" applyFill="1" applyBorder="1" applyAlignment="1">
      <alignment wrapText="1"/>
    </xf>
    <xf numFmtId="0" fontId="3" fillId="10" borderId="6" xfId="0" applyFont="1" applyFill="1" applyBorder="1"/>
    <xf numFmtId="0" fontId="13" fillId="0" borderId="11" xfId="0" applyFont="1" applyBorder="1" applyAlignment="1">
      <alignment wrapText="1"/>
    </xf>
    <xf numFmtId="0" fontId="13" fillId="0" borderId="12" xfId="0" applyFont="1" applyBorder="1" applyAlignment="1">
      <alignment wrapText="1"/>
    </xf>
    <xf numFmtId="0" fontId="13" fillId="0" borderId="5" xfId="0" applyFont="1" applyBorder="1" applyAlignment="1">
      <alignment vertical="center" wrapText="1"/>
    </xf>
    <xf numFmtId="0" fontId="5" fillId="4" borderId="14" xfId="0" applyFont="1" applyFill="1" applyBorder="1" applyAlignment="1">
      <alignment wrapText="1"/>
    </xf>
    <xf numFmtId="0" fontId="13" fillId="0" borderId="5" xfId="0" applyFont="1" applyBorder="1" applyAlignment="1">
      <alignment wrapText="1"/>
    </xf>
    <xf numFmtId="0" fontId="5" fillId="4" borderId="10" xfId="0" applyFont="1" applyFill="1" applyBorder="1" applyAlignment="1">
      <alignment wrapText="1"/>
    </xf>
    <xf numFmtId="0" fontId="1" fillId="0" borderId="5" xfId="3" applyBorder="1" applyAlignment="1">
      <alignment wrapText="1"/>
    </xf>
    <xf numFmtId="0" fontId="14" fillId="0" borderId="5" xfId="0" applyFont="1" applyBorder="1" applyAlignment="1">
      <alignment vertical="center" wrapText="1"/>
    </xf>
    <xf numFmtId="0" fontId="12" fillId="0" borderId="5" xfId="0" applyFont="1" applyBorder="1"/>
    <xf numFmtId="0" fontId="5" fillId="4" borderId="8" xfId="0" applyFont="1" applyFill="1" applyBorder="1" applyAlignment="1">
      <alignment wrapText="1"/>
    </xf>
    <xf numFmtId="0" fontId="7" fillId="0" borderId="8" xfId="0" applyFont="1" applyBorder="1" applyAlignment="1">
      <alignment horizontal="left"/>
    </xf>
    <xf numFmtId="0" fontId="13" fillId="0" borderId="13" xfId="0" applyFont="1" applyBorder="1" applyAlignment="1">
      <alignment wrapText="1"/>
    </xf>
    <xf numFmtId="0" fontId="3" fillId="8" borderId="1" xfId="0" applyFont="1" applyFill="1" applyBorder="1" applyAlignment="1">
      <alignment wrapText="1"/>
    </xf>
    <xf numFmtId="0" fontId="3" fillId="2" borderId="0" xfId="0" applyFont="1" applyFill="1" applyAlignment="1">
      <alignment horizontal="left" vertical="center"/>
    </xf>
    <xf numFmtId="0" fontId="4" fillId="0" borderId="0" xfId="0" applyFont="1"/>
    <xf numFmtId="0" fontId="3" fillId="6" borderId="2" xfId="0" applyFont="1" applyFill="1" applyBorder="1" applyAlignment="1">
      <alignment horizontal="center"/>
    </xf>
    <xf numFmtId="0" fontId="4" fillId="0" borderId="3" xfId="0" applyFont="1" applyBorder="1"/>
    <xf numFmtId="0" fontId="4" fillId="0" borderId="4" xfId="0" applyFont="1" applyBorder="1"/>
    <xf numFmtId="0" fontId="3" fillId="8" borderId="0" xfId="0" applyFont="1" applyFill="1" applyAlignment="1">
      <alignment horizontal="left" vertical="center"/>
    </xf>
    <xf numFmtId="0" fontId="3" fillId="10" borderId="0" xfId="0" applyFont="1" applyFill="1" applyAlignment="1">
      <alignment horizontal="left" vertical="center"/>
    </xf>
  </cellXfs>
  <cellStyles count="4">
    <cellStyle name="Hyperlink" xfId="2" builtinId="8"/>
    <cellStyle name="Normal" xfId="0" builtinId="0"/>
    <cellStyle name="Normal 2" xfId="1" xr:uid="{588DFD05-90D1-4936-903E-292442CB427D}"/>
    <cellStyle name="Normal 3" xfId="3" xr:uid="{EB1AFB1F-6C85-4837-937F-C10D90D3D43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www.moulinspharma.com/" TargetMode="External"/><Relationship Id="rId671" Type="http://schemas.openxmlformats.org/officeDocument/2006/relationships/hyperlink" Target="https://drive.google.com/file/d/1mMx3Rv9jdMCMQ5tw8Og-ElQwPaMVOmNp/view?usp=sharing" TargetMode="External"/><Relationship Id="rId21" Type="http://schemas.openxmlformats.org/officeDocument/2006/relationships/hyperlink" Target="https://www.moulinspharma.com/" TargetMode="External"/><Relationship Id="rId324" Type="http://schemas.openxmlformats.org/officeDocument/2006/relationships/hyperlink" Target="https://www.moulinspharma.com/" TargetMode="External"/><Relationship Id="rId531" Type="http://schemas.openxmlformats.org/officeDocument/2006/relationships/hyperlink" Target="https://drive.google.com/file/d/1T4buaaydfmCyViDP4LubjCfugowVjljf/view?usp=sharing" TargetMode="External"/><Relationship Id="rId629" Type="http://schemas.openxmlformats.org/officeDocument/2006/relationships/hyperlink" Target="https://drive.google.com/file/d/1hHz2gi8-d5uaul9BeGeMFOj3aHiDtGbr/view?usp=sharing" TargetMode="External"/><Relationship Id="rId170" Type="http://schemas.openxmlformats.org/officeDocument/2006/relationships/hyperlink" Target="https://www.moulinspharma.com/" TargetMode="External"/><Relationship Id="rId268" Type="http://schemas.openxmlformats.org/officeDocument/2006/relationships/hyperlink" Target="https://www.moulinspharma.com/" TargetMode="External"/><Relationship Id="rId475" Type="http://schemas.openxmlformats.org/officeDocument/2006/relationships/hyperlink" Target="https://drive.google.com/file/d/10BAQA5EwW3CoPTFXr9wUnTtNu4OnfTDc/view?usp=sharing" TargetMode="External"/><Relationship Id="rId682" Type="http://schemas.openxmlformats.org/officeDocument/2006/relationships/hyperlink" Target="https://drive.google.com/file/d/1ACJ4-J_Mp5txVow9nLk-F1NebGcummmf/view?usp=sharing" TargetMode="External"/><Relationship Id="rId32" Type="http://schemas.openxmlformats.org/officeDocument/2006/relationships/hyperlink" Target="https://www.moulinspharma.com/" TargetMode="External"/><Relationship Id="rId128" Type="http://schemas.openxmlformats.org/officeDocument/2006/relationships/hyperlink" Target="https://www.moulinspharma.com/" TargetMode="External"/><Relationship Id="rId335" Type="http://schemas.openxmlformats.org/officeDocument/2006/relationships/hyperlink" Target="https://www.moulinspharma.com/" TargetMode="External"/><Relationship Id="rId542" Type="http://schemas.openxmlformats.org/officeDocument/2006/relationships/hyperlink" Target="https://drive.google.com/file/d/10p98hKNRuKMM2O3u2F_MdLByTIzxF4T2/view?usp=sharing" TargetMode="External"/><Relationship Id="rId181" Type="http://schemas.openxmlformats.org/officeDocument/2006/relationships/hyperlink" Target="https://www.moulinspharma.com/" TargetMode="External"/><Relationship Id="rId402" Type="http://schemas.openxmlformats.org/officeDocument/2006/relationships/hyperlink" Target="https://drive.google.com/file/d/1kMhaU3pPEeKg0Zqpla97zQmBDarRrr33/view?usp=sharing" TargetMode="External"/><Relationship Id="rId279" Type="http://schemas.openxmlformats.org/officeDocument/2006/relationships/hyperlink" Target="https://www.moulinspharma.com/" TargetMode="External"/><Relationship Id="rId486" Type="http://schemas.openxmlformats.org/officeDocument/2006/relationships/hyperlink" Target="https://drive.google.com/file/d/1chuZWkTipSYBEpdFQogRpKSHTQW-PMU0/view?usp=sharing" TargetMode="External"/><Relationship Id="rId43" Type="http://schemas.openxmlformats.org/officeDocument/2006/relationships/hyperlink" Target="https://www.moulinspharma.com/" TargetMode="External"/><Relationship Id="rId139" Type="http://schemas.openxmlformats.org/officeDocument/2006/relationships/hyperlink" Target="https://www.moulinspharma.com/" TargetMode="External"/><Relationship Id="rId346" Type="http://schemas.openxmlformats.org/officeDocument/2006/relationships/hyperlink" Target="https://www.moulinspharma.com/" TargetMode="External"/><Relationship Id="rId553" Type="http://schemas.openxmlformats.org/officeDocument/2006/relationships/hyperlink" Target="https://drive.google.com/file/d/1nJmRCpcV9Ya1Do1umNXTdBtNiNj1K2yy/view?usp=sharing" TargetMode="External"/><Relationship Id="rId192" Type="http://schemas.openxmlformats.org/officeDocument/2006/relationships/hyperlink" Target="https://www.moulinspharma.com/" TargetMode="External"/><Relationship Id="rId206" Type="http://schemas.openxmlformats.org/officeDocument/2006/relationships/hyperlink" Target="https://www.moulinspharma.com/" TargetMode="External"/><Relationship Id="rId413" Type="http://schemas.openxmlformats.org/officeDocument/2006/relationships/hyperlink" Target="https://drive.google.com/file/d/1vLibcFSJ11Kb8MMmlSbbNVAr-zag1XCo/view?usp=sharing" TargetMode="External"/><Relationship Id="rId497" Type="http://schemas.openxmlformats.org/officeDocument/2006/relationships/hyperlink" Target="https://drive.google.com/file/d/1dBChZnqmzM0q8PTL7o3xE0v10fI7FvQl/view?usp=sharing" TargetMode="External"/><Relationship Id="rId620" Type="http://schemas.openxmlformats.org/officeDocument/2006/relationships/hyperlink" Target="https://drive.google.com/file/d/1dmSyZE4jtPx_YJKKqQBBzj0JfBjs2j8I/view?usp=sharing" TargetMode="External"/><Relationship Id="rId357" Type="http://schemas.openxmlformats.org/officeDocument/2006/relationships/hyperlink" Target="https://www.moulinspharma.com/" TargetMode="External"/><Relationship Id="rId54" Type="http://schemas.openxmlformats.org/officeDocument/2006/relationships/hyperlink" Target="https://www.moulinspharma.com/" TargetMode="External"/><Relationship Id="rId217" Type="http://schemas.openxmlformats.org/officeDocument/2006/relationships/hyperlink" Target="https://www.moulinspharma.com/" TargetMode="External"/><Relationship Id="rId564" Type="http://schemas.openxmlformats.org/officeDocument/2006/relationships/hyperlink" Target="https://drive.google.com/file/d/11xCsuIevipt6VwSQvEP_BqNg7Gi_NB6J/view?usp=sharing" TargetMode="External"/><Relationship Id="rId424" Type="http://schemas.openxmlformats.org/officeDocument/2006/relationships/hyperlink" Target="https://drive.google.com/file/d/1IX_VKMDKxsBSo-qa5D0-SVamD-uUnsnI/view?usp=sharing" TargetMode="External"/><Relationship Id="rId631" Type="http://schemas.openxmlformats.org/officeDocument/2006/relationships/hyperlink" Target="https://drive.google.com/file/d/1tg9dn4OdMrsi_sDqSZ5SZHY-98EQo92Q/view?usp=sharing" TargetMode="External"/><Relationship Id="rId270" Type="http://schemas.openxmlformats.org/officeDocument/2006/relationships/hyperlink" Target="https://www.moulinspharma.com/" TargetMode="External"/><Relationship Id="rId65" Type="http://schemas.openxmlformats.org/officeDocument/2006/relationships/hyperlink" Target="https://www.moulinspharma.com/" TargetMode="External"/><Relationship Id="rId130" Type="http://schemas.openxmlformats.org/officeDocument/2006/relationships/hyperlink" Target="https://www.moulinspharma.com/" TargetMode="External"/><Relationship Id="rId368" Type="http://schemas.openxmlformats.org/officeDocument/2006/relationships/hyperlink" Target="https://www.moulinspharma.com/" TargetMode="External"/><Relationship Id="rId575" Type="http://schemas.openxmlformats.org/officeDocument/2006/relationships/hyperlink" Target="https://drive.google.com/file/d/17dqP3GfuEJK1e4AAFonmy5jdzvVDnrpB/view?usp=sharing" TargetMode="External"/><Relationship Id="rId228" Type="http://schemas.openxmlformats.org/officeDocument/2006/relationships/hyperlink" Target="https://www.moulinspharma.com/" TargetMode="External"/><Relationship Id="rId435" Type="http://schemas.openxmlformats.org/officeDocument/2006/relationships/hyperlink" Target="https://drive.google.com/file/d/1cvZTyC5hhO_nmBnR7vw0SPjgjhPOrc8A/view?usp=sharing" TargetMode="External"/><Relationship Id="rId642" Type="http://schemas.openxmlformats.org/officeDocument/2006/relationships/hyperlink" Target="https://drive.google.com/file/d/1i0-5O57FGnBjnfc58zS7TXlqmCfhZIpM/view?usp=sharing" TargetMode="External"/><Relationship Id="rId281" Type="http://schemas.openxmlformats.org/officeDocument/2006/relationships/hyperlink" Target="https://www.moulinspharma.com/" TargetMode="External"/><Relationship Id="rId502" Type="http://schemas.openxmlformats.org/officeDocument/2006/relationships/hyperlink" Target="https://drive.google.com/file/d/1352GOuS1VuDF22p-I9mPqWqb8uMuUG8P/view?usp=sharing" TargetMode="External"/><Relationship Id="rId76" Type="http://schemas.openxmlformats.org/officeDocument/2006/relationships/hyperlink" Target="https://www.moulinspharma.com/" TargetMode="External"/><Relationship Id="rId141" Type="http://schemas.openxmlformats.org/officeDocument/2006/relationships/hyperlink" Target="https://www.moulinspharma.com/" TargetMode="External"/><Relationship Id="rId379" Type="http://schemas.openxmlformats.org/officeDocument/2006/relationships/hyperlink" Target="https://www.moulinspharma.com/" TargetMode="External"/><Relationship Id="rId586" Type="http://schemas.openxmlformats.org/officeDocument/2006/relationships/hyperlink" Target="https://drive.google.com/file/d/1veceGNGPBKqixZkl21Rqw2YgGuZceia_/view?usp=sharing" TargetMode="External"/><Relationship Id="rId7" Type="http://schemas.openxmlformats.org/officeDocument/2006/relationships/hyperlink" Target="https://www.moulinspharma.com/" TargetMode="External"/><Relationship Id="rId239" Type="http://schemas.openxmlformats.org/officeDocument/2006/relationships/hyperlink" Target="https://www.moulinspharma.com/" TargetMode="External"/><Relationship Id="rId446" Type="http://schemas.openxmlformats.org/officeDocument/2006/relationships/hyperlink" Target="https://drive.google.com/file/d/1l-EZBsuWNiizOjKUUdQmcL4aq29VXJRT/view?usp=sharing" TargetMode="External"/><Relationship Id="rId653" Type="http://schemas.openxmlformats.org/officeDocument/2006/relationships/hyperlink" Target="https://drive.google.com/file/d/1iVFwRd5dpU7deuZ5OnZImiDVOIh6Ikhs/view?usp=sharing" TargetMode="External"/><Relationship Id="rId292" Type="http://schemas.openxmlformats.org/officeDocument/2006/relationships/hyperlink" Target="https://www.moulinspharma.com/" TargetMode="External"/><Relationship Id="rId306" Type="http://schemas.openxmlformats.org/officeDocument/2006/relationships/hyperlink" Target="https://www.moulinspharma.com/" TargetMode="External"/><Relationship Id="rId87" Type="http://schemas.openxmlformats.org/officeDocument/2006/relationships/hyperlink" Target="https://www.moulinspharma.com/" TargetMode="External"/><Relationship Id="rId513" Type="http://schemas.openxmlformats.org/officeDocument/2006/relationships/hyperlink" Target="https://drive.google.com/file/d/1XU5j5N4IwQtZb2WzfrqWHHxO5rCC0Bpf/view?usp=sharing" TargetMode="External"/><Relationship Id="rId597" Type="http://schemas.openxmlformats.org/officeDocument/2006/relationships/hyperlink" Target="https://drive.google.com/file/d/1PzwbZAV39j52Oprn8cDzmLCwJOzJnOZh/view?usp=sharing" TargetMode="External"/><Relationship Id="rId152" Type="http://schemas.openxmlformats.org/officeDocument/2006/relationships/hyperlink" Target="https://www.moulinspharma.com/" TargetMode="External"/><Relationship Id="rId457" Type="http://schemas.openxmlformats.org/officeDocument/2006/relationships/hyperlink" Target="https://drive.google.com/file/d/1vN3PxQTFFT0uh6ZM33bgS59N1kxpPT8P/view?usp=sharing" TargetMode="External"/><Relationship Id="rId664" Type="http://schemas.openxmlformats.org/officeDocument/2006/relationships/hyperlink" Target="https://drive.google.com/file/d/1Pwl_yD96vbv4F9N8Yrkyk74PPym4VD7Z/view?usp=sharing" TargetMode="External"/><Relationship Id="rId14" Type="http://schemas.openxmlformats.org/officeDocument/2006/relationships/hyperlink" Target="https://www.moulinspharma.com/" TargetMode="External"/><Relationship Id="rId317" Type="http://schemas.openxmlformats.org/officeDocument/2006/relationships/hyperlink" Target="https://www.moulinspharma.com/" TargetMode="External"/><Relationship Id="rId524" Type="http://schemas.openxmlformats.org/officeDocument/2006/relationships/hyperlink" Target="https://drive.google.com/file/d/1Ax9vyZzM7Ys3mp_8BEVlwXQ_Aggdi2Nq/view?usp=sharing" TargetMode="External"/><Relationship Id="rId98" Type="http://schemas.openxmlformats.org/officeDocument/2006/relationships/hyperlink" Target="https://www.moulinspharma.com/" TargetMode="External"/><Relationship Id="rId163" Type="http://schemas.openxmlformats.org/officeDocument/2006/relationships/hyperlink" Target="https://www.moulinspharma.com/" TargetMode="External"/><Relationship Id="rId370" Type="http://schemas.openxmlformats.org/officeDocument/2006/relationships/hyperlink" Target="https://www.moulinspharma.com/" TargetMode="External"/><Relationship Id="rId230" Type="http://schemas.openxmlformats.org/officeDocument/2006/relationships/hyperlink" Target="https://www.moulinspharma.com/" TargetMode="External"/><Relationship Id="rId468" Type="http://schemas.openxmlformats.org/officeDocument/2006/relationships/hyperlink" Target="https://drive.google.com/file/d/1Qryln85d8kpW7YaJdIdtoZO91Cjdx4Na/view?usp=sharing" TargetMode="External"/><Relationship Id="rId675" Type="http://schemas.openxmlformats.org/officeDocument/2006/relationships/hyperlink" Target="https://drive.google.com/file/d/1Z19lbMcFWoS_C2qmGF-Kaho5XxruySs_/view?usp=sharing" TargetMode="External"/><Relationship Id="rId25" Type="http://schemas.openxmlformats.org/officeDocument/2006/relationships/hyperlink" Target="https://www.moulinspharma.com/" TargetMode="External"/><Relationship Id="rId328" Type="http://schemas.openxmlformats.org/officeDocument/2006/relationships/hyperlink" Target="https://www.moulinspharma.com/" TargetMode="External"/><Relationship Id="rId535" Type="http://schemas.openxmlformats.org/officeDocument/2006/relationships/hyperlink" Target="https://drive.google.com/file/d/1rQ4-MI9-uVerkeV06kXuEjZlXfaD1fCd/view?usp=sharing" TargetMode="External"/><Relationship Id="rId174" Type="http://schemas.openxmlformats.org/officeDocument/2006/relationships/hyperlink" Target="https://www.moulinspharma.com/" TargetMode="External"/><Relationship Id="rId381" Type="http://schemas.openxmlformats.org/officeDocument/2006/relationships/hyperlink" Target="https://www.moulinspharma.com/" TargetMode="External"/><Relationship Id="rId602" Type="http://schemas.openxmlformats.org/officeDocument/2006/relationships/hyperlink" Target="https://drive.google.com/file/d/12cqtU6VSEXhk6FzeigQGjYODAnpTF1iT/view?usp=sharing" TargetMode="External"/><Relationship Id="rId241" Type="http://schemas.openxmlformats.org/officeDocument/2006/relationships/hyperlink" Target="https://www.moulinspharma.com/" TargetMode="External"/><Relationship Id="rId479" Type="http://schemas.openxmlformats.org/officeDocument/2006/relationships/hyperlink" Target="https://drive.google.com/file/d/1YHYLliuRNpaK_M0vCb6nqldM4THxcpja/view?usp=sharing" TargetMode="External"/><Relationship Id="rId686" Type="http://schemas.openxmlformats.org/officeDocument/2006/relationships/hyperlink" Target="https://drive.google.com/file/d/1GOJ6Bq-QH4RYlV8wPyxMbn_OmU86odQF/view?usp=sharing" TargetMode="External"/><Relationship Id="rId36" Type="http://schemas.openxmlformats.org/officeDocument/2006/relationships/hyperlink" Target="https://www.moulinspharma.com/" TargetMode="External"/><Relationship Id="rId339" Type="http://schemas.openxmlformats.org/officeDocument/2006/relationships/hyperlink" Target="https://www.moulinspharma.com/" TargetMode="External"/><Relationship Id="rId546" Type="http://schemas.openxmlformats.org/officeDocument/2006/relationships/hyperlink" Target="https://drive.google.com/file/d/1lqhUHJ4f6zVrh926VFLuB4DkUjDNgYrv/view?usp=sharing" TargetMode="External"/><Relationship Id="rId101" Type="http://schemas.openxmlformats.org/officeDocument/2006/relationships/hyperlink" Target="https://www.moulinspharma.com/" TargetMode="External"/><Relationship Id="rId185" Type="http://schemas.openxmlformats.org/officeDocument/2006/relationships/hyperlink" Target="https://www.moulinspharma.com/" TargetMode="External"/><Relationship Id="rId406" Type="http://schemas.openxmlformats.org/officeDocument/2006/relationships/hyperlink" Target="https://drive.google.com/file/d/1Lhk7HhCwIVFdc8uZ0LarPn4NEUpIFmKi/view?usp=sharing" TargetMode="External"/><Relationship Id="rId392" Type="http://schemas.openxmlformats.org/officeDocument/2006/relationships/hyperlink" Target="https://drive.google.com/file/d/18HlO0Ona5vwOGcjIgdUVSJlHx2P_EGUP/view?usp=sharing" TargetMode="External"/><Relationship Id="rId613" Type="http://schemas.openxmlformats.org/officeDocument/2006/relationships/hyperlink" Target="https://drive.google.com/file/d/169httnxRedRYaJLpG3XzP0bZ1KSwynmY/view?usp=sharing" TargetMode="External"/><Relationship Id="rId252" Type="http://schemas.openxmlformats.org/officeDocument/2006/relationships/hyperlink" Target="https://www.moulinspharma.com/" TargetMode="External"/><Relationship Id="rId47" Type="http://schemas.openxmlformats.org/officeDocument/2006/relationships/hyperlink" Target="https://www.moulinspharma.com/" TargetMode="External"/><Relationship Id="rId112" Type="http://schemas.openxmlformats.org/officeDocument/2006/relationships/hyperlink" Target="https://www.moulinspharma.com/" TargetMode="External"/><Relationship Id="rId557" Type="http://schemas.openxmlformats.org/officeDocument/2006/relationships/hyperlink" Target="https://drive.google.com/file/d/110HhmVB_VRoPyOB7K53u5gKaGuyWgVFZ/view?usp=sharing" TargetMode="External"/><Relationship Id="rId196" Type="http://schemas.openxmlformats.org/officeDocument/2006/relationships/hyperlink" Target="https://www.moulinspharma.com/" TargetMode="External"/><Relationship Id="rId417" Type="http://schemas.openxmlformats.org/officeDocument/2006/relationships/hyperlink" Target="https://drive.google.com/file/d/11_xZG1R681tHqRW9mjD6NtcEyatC_242/view?usp=sharing" TargetMode="External"/><Relationship Id="rId624" Type="http://schemas.openxmlformats.org/officeDocument/2006/relationships/hyperlink" Target="https://drive.google.com/file/d/1okEPtdkxRQm6dGF2ILbYvrkOYKkwLErJ/view?usp=sharing" TargetMode="External"/><Relationship Id="rId263" Type="http://schemas.openxmlformats.org/officeDocument/2006/relationships/hyperlink" Target="https://www.moulinspharma.com/" TargetMode="External"/><Relationship Id="rId470" Type="http://schemas.openxmlformats.org/officeDocument/2006/relationships/hyperlink" Target="https://drive.google.com/file/d/1DYzH0IOHdVwuP1JzPLaEUIWEX_Q9E5mQ/view?usp=sharing" TargetMode="External"/><Relationship Id="rId58" Type="http://schemas.openxmlformats.org/officeDocument/2006/relationships/hyperlink" Target="https://www.moulinspharma.com/" TargetMode="External"/><Relationship Id="rId123" Type="http://schemas.openxmlformats.org/officeDocument/2006/relationships/hyperlink" Target="https://www.moulinspharma.com/" TargetMode="External"/><Relationship Id="rId330" Type="http://schemas.openxmlformats.org/officeDocument/2006/relationships/hyperlink" Target="https://www.moulinspharma.com/" TargetMode="External"/><Relationship Id="rId568" Type="http://schemas.openxmlformats.org/officeDocument/2006/relationships/hyperlink" Target="https://drive.google.com/file/d/1970uu0DKJFk3O3ebWnYMTBRqn3QVEe9F/view?usp=sharing" TargetMode="External"/><Relationship Id="rId428" Type="http://schemas.openxmlformats.org/officeDocument/2006/relationships/hyperlink" Target="https://drive.google.com/file/d/10-3pBNic8BHlcev4Qrnjc56Q3Vchw5TU/view?usp=sharing" TargetMode="External"/><Relationship Id="rId635" Type="http://schemas.openxmlformats.org/officeDocument/2006/relationships/hyperlink" Target="https://drive.google.com/file/d/1H0kj2gCByfJaVHKnSiEd5iO9JDCaHuxI/view?usp=sharing" TargetMode="External"/><Relationship Id="rId274" Type="http://schemas.openxmlformats.org/officeDocument/2006/relationships/hyperlink" Target="https://www.moulinspharma.com/" TargetMode="External"/><Relationship Id="rId481" Type="http://schemas.openxmlformats.org/officeDocument/2006/relationships/hyperlink" Target="https://drive.google.com/file/d/1IU-7onWE2HBevF20yQZuw9VMvzcvz89K/view?usp=sharing" TargetMode="External"/><Relationship Id="rId69" Type="http://schemas.openxmlformats.org/officeDocument/2006/relationships/hyperlink" Target="https://www.moulinspharma.com/" TargetMode="External"/><Relationship Id="rId134" Type="http://schemas.openxmlformats.org/officeDocument/2006/relationships/hyperlink" Target="https://www.moulinspharma.com/" TargetMode="External"/><Relationship Id="rId579" Type="http://schemas.openxmlformats.org/officeDocument/2006/relationships/hyperlink" Target="https://drive.google.com/file/d/1gJzVDTK_o9Qxg3T_pD3m-XUlcxSa37kz/view?usp=sharing" TargetMode="External"/><Relationship Id="rId341" Type="http://schemas.openxmlformats.org/officeDocument/2006/relationships/hyperlink" Target="https://www.moulinspharma.com/" TargetMode="External"/><Relationship Id="rId439" Type="http://schemas.openxmlformats.org/officeDocument/2006/relationships/hyperlink" Target="https://drive.google.com/file/d/1AKqZr-yJiQEgKds5W570TmeYNP5CpH5t/view?usp=sharing" TargetMode="External"/><Relationship Id="rId646" Type="http://schemas.openxmlformats.org/officeDocument/2006/relationships/hyperlink" Target="https://drive.google.com/file/d/1u7aJWaD5eHGDSOX-5aNAbe_VquaCWDbK/view?usp=sharing" TargetMode="External"/><Relationship Id="rId201" Type="http://schemas.openxmlformats.org/officeDocument/2006/relationships/hyperlink" Target="https://www.moulinspharma.com/" TargetMode="External"/><Relationship Id="rId285" Type="http://schemas.openxmlformats.org/officeDocument/2006/relationships/hyperlink" Target="https://www.moulinspharma.com/" TargetMode="External"/><Relationship Id="rId506" Type="http://schemas.openxmlformats.org/officeDocument/2006/relationships/hyperlink" Target="https://drive.google.com/file/d/1-MX7lcoUYa3cnCqg46QnNgIEvqA3PLM9/view?usp=sharing" TargetMode="External"/><Relationship Id="rId492" Type="http://schemas.openxmlformats.org/officeDocument/2006/relationships/hyperlink" Target="https://drive.google.com/file/d/1O4Fk5Q-sHirtoUrtRGwOWcKK7zcacA_F/view?usp=sharing" TargetMode="External"/><Relationship Id="rId145" Type="http://schemas.openxmlformats.org/officeDocument/2006/relationships/hyperlink" Target="https://www.moulinspharma.com/" TargetMode="External"/><Relationship Id="rId352" Type="http://schemas.openxmlformats.org/officeDocument/2006/relationships/hyperlink" Target="https://www.moulinspharma.com/" TargetMode="External"/><Relationship Id="rId212" Type="http://schemas.openxmlformats.org/officeDocument/2006/relationships/hyperlink" Target="https://www.moulinspharma.com/" TargetMode="External"/><Relationship Id="rId657" Type="http://schemas.openxmlformats.org/officeDocument/2006/relationships/hyperlink" Target="https://drive.google.com/file/d/1wDT1GwDGRHirvWni6f9lM-pOzH8W4Aeo/view?usp=sharing" TargetMode="External"/><Relationship Id="rId49" Type="http://schemas.openxmlformats.org/officeDocument/2006/relationships/hyperlink" Target="https://www.moulinspharma.com/" TargetMode="External"/><Relationship Id="rId114" Type="http://schemas.openxmlformats.org/officeDocument/2006/relationships/hyperlink" Target="https://www.moulinspharma.com/" TargetMode="External"/><Relationship Id="rId296" Type="http://schemas.openxmlformats.org/officeDocument/2006/relationships/hyperlink" Target="https://www.moulinspharma.com/" TargetMode="External"/><Relationship Id="rId461" Type="http://schemas.openxmlformats.org/officeDocument/2006/relationships/hyperlink" Target="https://drive.google.com/file/d/1kMZcg58VXtx-GIrcc_6q5YhNVwL9YeDv/view?usp=sharing" TargetMode="External"/><Relationship Id="rId517" Type="http://schemas.openxmlformats.org/officeDocument/2006/relationships/hyperlink" Target="https://drive.google.com/file/d/1if77HgcciC0pthVk84zAG_68sQVxzJvj/view?usp=sharing" TargetMode="External"/><Relationship Id="rId559" Type="http://schemas.openxmlformats.org/officeDocument/2006/relationships/hyperlink" Target="https://drive.google.com/file/d/1x1nhH2k10wrzbvCCE7ECEp3r3mWSoQkZ/view?usp=sharing" TargetMode="External"/><Relationship Id="rId60" Type="http://schemas.openxmlformats.org/officeDocument/2006/relationships/hyperlink" Target="https://www.moulinspharma.com/" TargetMode="External"/><Relationship Id="rId156" Type="http://schemas.openxmlformats.org/officeDocument/2006/relationships/hyperlink" Target="https://www.moulinspharma.com/" TargetMode="External"/><Relationship Id="rId198" Type="http://schemas.openxmlformats.org/officeDocument/2006/relationships/hyperlink" Target="https://www.moulinspharma.com/" TargetMode="External"/><Relationship Id="rId321" Type="http://schemas.openxmlformats.org/officeDocument/2006/relationships/hyperlink" Target="https://www.moulinspharma.com/" TargetMode="External"/><Relationship Id="rId363" Type="http://schemas.openxmlformats.org/officeDocument/2006/relationships/hyperlink" Target="https://www.moulinspharma.com/" TargetMode="External"/><Relationship Id="rId419" Type="http://schemas.openxmlformats.org/officeDocument/2006/relationships/hyperlink" Target="https://drive.google.com/file/d/1VYzdHTnCodomtmwZwreof_-ML59A4PZt/view?usp=sharing" TargetMode="External"/><Relationship Id="rId570" Type="http://schemas.openxmlformats.org/officeDocument/2006/relationships/hyperlink" Target="https://drive.google.com/file/d/1V_OxBhU4ueqxG2QGvPbZQkBptGBXM3ps/view?usp=sharing" TargetMode="External"/><Relationship Id="rId626" Type="http://schemas.openxmlformats.org/officeDocument/2006/relationships/hyperlink" Target="https://drive.google.com/file/d/1Og8BZKBr-pNEUjpeQNZX5DFkao7PQRgX/view?usp=sharing" TargetMode="External"/><Relationship Id="rId223" Type="http://schemas.openxmlformats.org/officeDocument/2006/relationships/hyperlink" Target="https://www.moulinspharma.com/" TargetMode="External"/><Relationship Id="rId430" Type="http://schemas.openxmlformats.org/officeDocument/2006/relationships/hyperlink" Target="https://drive.google.com/file/d/1_UsPsUoSKbN7ScuJ8uZTPZGYw3SjBGFp/view?usp=sharing" TargetMode="External"/><Relationship Id="rId668" Type="http://schemas.openxmlformats.org/officeDocument/2006/relationships/hyperlink" Target="https://drive.google.com/file/d/1vJnsS6r8tRodVtkTSSFzhQ-WLZgurd5H/view?usp=sharing" TargetMode="External"/><Relationship Id="rId18" Type="http://schemas.openxmlformats.org/officeDocument/2006/relationships/hyperlink" Target="https://www.moulinspharma.com/" TargetMode="External"/><Relationship Id="rId265" Type="http://schemas.openxmlformats.org/officeDocument/2006/relationships/hyperlink" Target="https://www.moulinspharma.com/" TargetMode="External"/><Relationship Id="rId472" Type="http://schemas.openxmlformats.org/officeDocument/2006/relationships/hyperlink" Target="https://drive.google.com/file/d/1-4bKAgtoUoBx5qSgSRWijF3meZPIROte/view?usp=sharing" TargetMode="External"/><Relationship Id="rId528" Type="http://schemas.openxmlformats.org/officeDocument/2006/relationships/hyperlink" Target="https://drive.google.com/file/d/13YC-_nK9kLj95wm7FgJfk8w6C75AQsCE/view?usp=sharing" TargetMode="External"/><Relationship Id="rId125" Type="http://schemas.openxmlformats.org/officeDocument/2006/relationships/hyperlink" Target="https://www.moulinspharma.com/" TargetMode="External"/><Relationship Id="rId167" Type="http://schemas.openxmlformats.org/officeDocument/2006/relationships/hyperlink" Target="https://www.moulinspharma.com/" TargetMode="External"/><Relationship Id="rId332" Type="http://schemas.openxmlformats.org/officeDocument/2006/relationships/hyperlink" Target="https://www.moulinspharma.com/" TargetMode="External"/><Relationship Id="rId374" Type="http://schemas.openxmlformats.org/officeDocument/2006/relationships/hyperlink" Target="https://www.moulinspharma.com/" TargetMode="External"/><Relationship Id="rId581" Type="http://schemas.openxmlformats.org/officeDocument/2006/relationships/hyperlink" Target="https://drive.google.com/file/d/1_VJmyBLapMsYtABpZSa7pld0A4CsWNmB/view?usp=sharing" TargetMode="External"/><Relationship Id="rId71" Type="http://schemas.openxmlformats.org/officeDocument/2006/relationships/hyperlink" Target="https://www.moulinspharma.com/" TargetMode="External"/><Relationship Id="rId234" Type="http://schemas.openxmlformats.org/officeDocument/2006/relationships/hyperlink" Target="https://www.moulinspharma.com/" TargetMode="External"/><Relationship Id="rId637" Type="http://schemas.openxmlformats.org/officeDocument/2006/relationships/hyperlink" Target="https://drive.google.com/file/d/1wLHGu8bAsQdyX_EFocJxgDDn1cJsBOvf/view?usp=sharing" TargetMode="External"/><Relationship Id="rId679" Type="http://schemas.openxmlformats.org/officeDocument/2006/relationships/hyperlink" Target="https://drive.google.com/file/d/1wft0MT-FuIIKd1-o1aGhzFZUHTw7EUon/view?usp=sharing" TargetMode="External"/><Relationship Id="rId2" Type="http://schemas.openxmlformats.org/officeDocument/2006/relationships/hyperlink" Target="https://www.moulinspharma.com/" TargetMode="External"/><Relationship Id="rId29" Type="http://schemas.openxmlformats.org/officeDocument/2006/relationships/hyperlink" Target="https://www.moulinspharma.com/" TargetMode="External"/><Relationship Id="rId276" Type="http://schemas.openxmlformats.org/officeDocument/2006/relationships/hyperlink" Target="https://www.moulinspharma.com/" TargetMode="External"/><Relationship Id="rId441" Type="http://schemas.openxmlformats.org/officeDocument/2006/relationships/hyperlink" Target="https://drive.google.com/file/d/1VZTALC9NDyXBCsmE0hL3E4LzW5otYKvP/view?usp=sharing" TargetMode="External"/><Relationship Id="rId483" Type="http://schemas.openxmlformats.org/officeDocument/2006/relationships/hyperlink" Target="https://drive.google.com/file/d/1tGS-efPQYVkD8PRFd5gG7RNo145QH1Ou/view?usp=sharing" TargetMode="External"/><Relationship Id="rId539" Type="http://schemas.openxmlformats.org/officeDocument/2006/relationships/hyperlink" Target="https://drive.google.com/file/d/17yiMNw5h5UXupS2h4kWzR2iVCRCMaoq5/view?usp=sharing" TargetMode="External"/><Relationship Id="rId690" Type="http://schemas.openxmlformats.org/officeDocument/2006/relationships/hyperlink" Target="https://drive.google.com/file/d/1fsk7FtmUEBmnR-GxHHrfX-tzK0SrDSMO/view?usp=sharing" TargetMode="External"/><Relationship Id="rId40" Type="http://schemas.openxmlformats.org/officeDocument/2006/relationships/hyperlink" Target="https://www.moulinspharma.com/" TargetMode="External"/><Relationship Id="rId136" Type="http://schemas.openxmlformats.org/officeDocument/2006/relationships/hyperlink" Target="https://www.moulinspharma.com/" TargetMode="External"/><Relationship Id="rId178" Type="http://schemas.openxmlformats.org/officeDocument/2006/relationships/hyperlink" Target="https://www.moulinspharma.com/" TargetMode="External"/><Relationship Id="rId301" Type="http://schemas.openxmlformats.org/officeDocument/2006/relationships/hyperlink" Target="https://www.moulinspharma.com/" TargetMode="External"/><Relationship Id="rId343" Type="http://schemas.openxmlformats.org/officeDocument/2006/relationships/hyperlink" Target="https://www.moulinspharma.com/" TargetMode="External"/><Relationship Id="rId550" Type="http://schemas.openxmlformats.org/officeDocument/2006/relationships/hyperlink" Target="https://drive.google.com/file/d/1TALS3fGOw0A79xnVn-1P60tt_zyFE7Qu/view?usp=sharing" TargetMode="External"/><Relationship Id="rId82" Type="http://schemas.openxmlformats.org/officeDocument/2006/relationships/hyperlink" Target="https://www.moulinspharma.com/" TargetMode="External"/><Relationship Id="rId203" Type="http://schemas.openxmlformats.org/officeDocument/2006/relationships/hyperlink" Target="https://www.moulinspharma.com/" TargetMode="External"/><Relationship Id="rId385" Type="http://schemas.openxmlformats.org/officeDocument/2006/relationships/hyperlink" Target="https://www.moulinspharma.com/" TargetMode="External"/><Relationship Id="rId592" Type="http://schemas.openxmlformats.org/officeDocument/2006/relationships/hyperlink" Target="https://drive.google.com/file/d/1-ScUc878iQCDWG0KM1n96sgU5r3hYejG/view?usp=sharing" TargetMode="External"/><Relationship Id="rId606" Type="http://schemas.openxmlformats.org/officeDocument/2006/relationships/hyperlink" Target="https://drive.google.com/file/d/1yXnQfNcJ_ME4fpQ5b65j17heT1U-GIo6/view?usp=sharing" TargetMode="External"/><Relationship Id="rId648" Type="http://schemas.openxmlformats.org/officeDocument/2006/relationships/hyperlink" Target="https://drive.google.com/file/d/138mXJps_FXtlOE3lCMvzj5iZ_uxW1a2j/view?usp=sharing" TargetMode="External"/><Relationship Id="rId245" Type="http://schemas.openxmlformats.org/officeDocument/2006/relationships/hyperlink" Target="https://www.moulinspharma.com/" TargetMode="External"/><Relationship Id="rId287" Type="http://schemas.openxmlformats.org/officeDocument/2006/relationships/hyperlink" Target="https://www.moulinspharma.com/" TargetMode="External"/><Relationship Id="rId410" Type="http://schemas.openxmlformats.org/officeDocument/2006/relationships/hyperlink" Target="https://drive.google.com/file/d/1bSfs9WE8BdqV0kDm8pjrqKIbSXpgbKi-/view?usp=sharing" TargetMode="External"/><Relationship Id="rId452" Type="http://schemas.openxmlformats.org/officeDocument/2006/relationships/hyperlink" Target="https://drive.google.com/file/d/1TzXFlxFQ8OUo8CSLv6q6loyCznbFuFJx/view?usp=sharing" TargetMode="External"/><Relationship Id="rId494" Type="http://schemas.openxmlformats.org/officeDocument/2006/relationships/hyperlink" Target="https://drive.google.com/file/d/19RV8AR8IBPuQtyd2fhc5KDeq3liB7MCq/view?usp=sharing" TargetMode="External"/><Relationship Id="rId508" Type="http://schemas.openxmlformats.org/officeDocument/2006/relationships/hyperlink" Target="https://drive.google.com/file/d/1yuS8wBU7U7r4d_WKP1yIMzlSuFEb6BDL/view?usp=sharing" TargetMode="External"/><Relationship Id="rId105" Type="http://schemas.openxmlformats.org/officeDocument/2006/relationships/hyperlink" Target="https://www.moulinspharma.com/" TargetMode="External"/><Relationship Id="rId147" Type="http://schemas.openxmlformats.org/officeDocument/2006/relationships/hyperlink" Target="https://www.moulinspharma.com/" TargetMode="External"/><Relationship Id="rId312" Type="http://schemas.openxmlformats.org/officeDocument/2006/relationships/hyperlink" Target="https://www.moulinspharma.com/" TargetMode="External"/><Relationship Id="rId354" Type="http://schemas.openxmlformats.org/officeDocument/2006/relationships/hyperlink" Target="https://www.moulinspharma.com/" TargetMode="External"/><Relationship Id="rId51" Type="http://schemas.openxmlformats.org/officeDocument/2006/relationships/hyperlink" Target="https://www.moulinspharma.com/" TargetMode="External"/><Relationship Id="rId93" Type="http://schemas.openxmlformats.org/officeDocument/2006/relationships/hyperlink" Target="https://www.moulinspharma.com/" TargetMode="External"/><Relationship Id="rId189" Type="http://schemas.openxmlformats.org/officeDocument/2006/relationships/hyperlink" Target="https://www.moulinspharma.com/" TargetMode="External"/><Relationship Id="rId396" Type="http://schemas.openxmlformats.org/officeDocument/2006/relationships/hyperlink" Target="https://drive.google.com/file/d/1R-x5i9nWZE8CESdGoAKwh-8PegOAJw-4/view?usp=sharing" TargetMode="External"/><Relationship Id="rId561" Type="http://schemas.openxmlformats.org/officeDocument/2006/relationships/hyperlink" Target="https://drive.google.com/file/d/1CoBzPbTIMRl_K7dZlonhBuNXdbn5dyul/view?usp=sharing" TargetMode="External"/><Relationship Id="rId617" Type="http://schemas.openxmlformats.org/officeDocument/2006/relationships/hyperlink" Target="https://drive.google.com/file/d/156K8B3Pr6drOCA-3OP6V9BzSntRCABnZ/view?usp=sharing" TargetMode="External"/><Relationship Id="rId659" Type="http://schemas.openxmlformats.org/officeDocument/2006/relationships/hyperlink" Target="https://drive.google.com/file/d/1JWbfG3nGKPWP-OEu6dgdfw_g3U2ckoO1/view?usp=sharing" TargetMode="External"/><Relationship Id="rId214" Type="http://schemas.openxmlformats.org/officeDocument/2006/relationships/hyperlink" Target="https://www.moulinspharma.com/" TargetMode="External"/><Relationship Id="rId256" Type="http://schemas.openxmlformats.org/officeDocument/2006/relationships/hyperlink" Target="https://www.moulinspharma.com/" TargetMode="External"/><Relationship Id="rId298" Type="http://schemas.openxmlformats.org/officeDocument/2006/relationships/hyperlink" Target="https://www.moulinspharma.com/" TargetMode="External"/><Relationship Id="rId421" Type="http://schemas.openxmlformats.org/officeDocument/2006/relationships/hyperlink" Target="https://drive.google.com/file/d/1lgJZGlMJoJPy-4EwHzTMLwHMewwshr6R/view?usp=sharing" TargetMode="External"/><Relationship Id="rId463" Type="http://schemas.openxmlformats.org/officeDocument/2006/relationships/hyperlink" Target="https://drive.google.com/file/d/107JO-ck2qEreB3ubPLcxdEJMGWgU_k74/view?usp=sharing" TargetMode="External"/><Relationship Id="rId519" Type="http://schemas.openxmlformats.org/officeDocument/2006/relationships/hyperlink" Target="https://drive.google.com/file/d/1lpDcbrUoftXhQHg76mIqcw2zfE9O4zOI/view?usp=sharing" TargetMode="External"/><Relationship Id="rId670" Type="http://schemas.openxmlformats.org/officeDocument/2006/relationships/hyperlink" Target="https://drive.google.com/file/d/1mYjheXsPYs6Mw_RyJ8oxFAbKZKtH6HaZ/view?usp=sharing" TargetMode="External"/><Relationship Id="rId116" Type="http://schemas.openxmlformats.org/officeDocument/2006/relationships/hyperlink" Target="https://www.moulinspharma.com/" TargetMode="External"/><Relationship Id="rId158" Type="http://schemas.openxmlformats.org/officeDocument/2006/relationships/hyperlink" Target="https://www.moulinspharma.com/" TargetMode="External"/><Relationship Id="rId323" Type="http://schemas.openxmlformats.org/officeDocument/2006/relationships/hyperlink" Target="https://www.moulinspharma.com/" TargetMode="External"/><Relationship Id="rId530" Type="http://schemas.openxmlformats.org/officeDocument/2006/relationships/hyperlink" Target="https://drive.google.com/file/d/14DFmT_x-xHrevP3WfneUxSTTe8RpyIai/view?usp=sharing" TargetMode="External"/><Relationship Id="rId20" Type="http://schemas.openxmlformats.org/officeDocument/2006/relationships/hyperlink" Target="https://www.moulinspharma.com/" TargetMode="External"/><Relationship Id="rId62" Type="http://schemas.openxmlformats.org/officeDocument/2006/relationships/hyperlink" Target="https://www.moulinspharma.com/" TargetMode="External"/><Relationship Id="rId365" Type="http://schemas.openxmlformats.org/officeDocument/2006/relationships/hyperlink" Target="https://www.moulinspharma.com/" TargetMode="External"/><Relationship Id="rId572" Type="http://schemas.openxmlformats.org/officeDocument/2006/relationships/hyperlink" Target="https://drive.google.com/file/d/1ckFuLAJ1BaJxcCHFM5rMBdDBm4_h6G3R/view?usp=sharing" TargetMode="External"/><Relationship Id="rId628" Type="http://schemas.openxmlformats.org/officeDocument/2006/relationships/hyperlink" Target="https://drive.google.com/file/d/1SlhAUl2YjVpqYnbF30MQvQYWCKV-adiA/view?usp=sharing" TargetMode="External"/><Relationship Id="rId225" Type="http://schemas.openxmlformats.org/officeDocument/2006/relationships/hyperlink" Target="https://www.moulinspharma.com/" TargetMode="External"/><Relationship Id="rId267" Type="http://schemas.openxmlformats.org/officeDocument/2006/relationships/hyperlink" Target="https://www.moulinspharma.com/" TargetMode="External"/><Relationship Id="rId432" Type="http://schemas.openxmlformats.org/officeDocument/2006/relationships/hyperlink" Target="https://drive.google.com/file/d/1ijeGe1ATEEdvCszX1HK87_eC5NSMbxNf/view?usp=sharing" TargetMode="External"/><Relationship Id="rId474" Type="http://schemas.openxmlformats.org/officeDocument/2006/relationships/hyperlink" Target="https://drive.google.com/file/d/1jXMNjoLMpb4W2Ee9Q_WoP427dCc7Ogo3/view?usp=sharing" TargetMode="External"/><Relationship Id="rId127" Type="http://schemas.openxmlformats.org/officeDocument/2006/relationships/hyperlink" Target="https://www.moulinspharma.com/" TargetMode="External"/><Relationship Id="rId681" Type="http://schemas.openxmlformats.org/officeDocument/2006/relationships/hyperlink" Target="https://drive.google.com/file/d/1Nebf7Cho1LjbC2mfr9B1CEXzW1eT0DtS/view?usp=sharing" TargetMode="External"/><Relationship Id="rId31" Type="http://schemas.openxmlformats.org/officeDocument/2006/relationships/hyperlink" Target="https://www.moulinspharma.com/" TargetMode="External"/><Relationship Id="rId73" Type="http://schemas.openxmlformats.org/officeDocument/2006/relationships/hyperlink" Target="https://www.moulinspharma.com/" TargetMode="External"/><Relationship Id="rId169" Type="http://schemas.openxmlformats.org/officeDocument/2006/relationships/hyperlink" Target="https://www.moulinspharma.com/" TargetMode="External"/><Relationship Id="rId334" Type="http://schemas.openxmlformats.org/officeDocument/2006/relationships/hyperlink" Target="https://www.moulinspharma.com/" TargetMode="External"/><Relationship Id="rId376" Type="http://schemas.openxmlformats.org/officeDocument/2006/relationships/hyperlink" Target="https://www.moulinspharma.com/" TargetMode="External"/><Relationship Id="rId541" Type="http://schemas.openxmlformats.org/officeDocument/2006/relationships/hyperlink" Target="https://drive.google.com/file/d/1MZWClCFh8wHwPxLH22bmsG8URklIFIeP/view?usp=sharing" TargetMode="External"/><Relationship Id="rId583" Type="http://schemas.openxmlformats.org/officeDocument/2006/relationships/hyperlink" Target="https://drive.google.com/file/d/1eROxr0FlkNTJZq8ROl5XQzo-bOnSSlYx/view?usp=sharing" TargetMode="External"/><Relationship Id="rId639" Type="http://schemas.openxmlformats.org/officeDocument/2006/relationships/hyperlink" Target="https://drive.google.com/file/d/1UIcWefklMnRPPLaV4WKeE177TPZ6Fmx6/view?usp=sharing" TargetMode="External"/><Relationship Id="rId4" Type="http://schemas.openxmlformats.org/officeDocument/2006/relationships/hyperlink" Target="https://www.moulinspharma.com/" TargetMode="External"/><Relationship Id="rId180" Type="http://schemas.openxmlformats.org/officeDocument/2006/relationships/hyperlink" Target="https://www.moulinspharma.com/" TargetMode="External"/><Relationship Id="rId236" Type="http://schemas.openxmlformats.org/officeDocument/2006/relationships/hyperlink" Target="https://www.moulinspharma.com/" TargetMode="External"/><Relationship Id="rId278" Type="http://schemas.openxmlformats.org/officeDocument/2006/relationships/hyperlink" Target="https://www.moulinspharma.com/" TargetMode="External"/><Relationship Id="rId401" Type="http://schemas.openxmlformats.org/officeDocument/2006/relationships/hyperlink" Target="https://drive.google.com/file/d/1lMLxPd4jaJI1G3QIJ5DcFNEMwv6vHUe5/view?usp=sharing" TargetMode="External"/><Relationship Id="rId443" Type="http://schemas.openxmlformats.org/officeDocument/2006/relationships/hyperlink" Target="https://drive.google.com/file/d/1BHiCa_-3c3MP2lAkOOGkeErUb2aDJ-R3/view?usp=sharing" TargetMode="External"/><Relationship Id="rId650" Type="http://schemas.openxmlformats.org/officeDocument/2006/relationships/hyperlink" Target="https://drive.google.com/file/d/14nGFfTGRTR3cPq1KgYU4-P6sQh-U2pJk/view?usp=sharing" TargetMode="External"/><Relationship Id="rId303" Type="http://schemas.openxmlformats.org/officeDocument/2006/relationships/hyperlink" Target="https://www.moulinspharma.com/" TargetMode="External"/><Relationship Id="rId485" Type="http://schemas.openxmlformats.org/officeDocument/2006/relationships/hyperlink" Target="https://drive.google.com/file/d/1ezT8eLCE_eZVm8PlIpIDy8_pkxGsHHEU/view?usp=sharing" TargetMode="External"/><Relationship Id="rId42" Type="http://schemas.openxmlformats.org/officeDocument/2006/relationships/hyperlink" Target="https://www.moulinspharma.com/" TargetMode="External"/><Relationship Id="rId84" Type="http://schemas.openxmlformats.org/officeDocument/2006/relationships/hyperlink" Target="https://www.moulinspharma.com/" TargetMode="External"/><Relationship Id="rId138" Type="http://schemas.openxmlformats.org/officeDocument/2006/relationships/hyperlink" Target="https://www.moulinspharma.com/" TargetMode="External"/><Relationship Id="rId345" Type="http://schemas.openxmlformats.org/officeDocument/2006/relationships/hyperlink" Target="https://www.moulinspharma.com/" TargetMode="External"/><Relationship Id="rId387" Type="http://schemas.openxmlformats.org/officeDocument/2006/relationships/hyperlink" Target="https://www.moulinspharma.com/" TargetMode="External"/><Relationship Id="rId510" Type="http://schemas.openxmlformats.org/officeDocument/2006/relationships/hyperlink" Target="https://drive.google.com/file/d/1PDymHBR_JGpByR6vhERyVBACc9fWQ_fM/view?usp=sharing" TargetMode="External"/><Relationship Id="rId552" Type="http://schemas.openxmlformats.org/officeDocument/2006/relationships/hyperlink" Target="https://drive.google.com/file/d/1slfDpEQBLVgO2H1iJqOUx36UG17JlloI/view?usp=sharing" TargetMode="External"/><Relationship Id="rId594" Type="http://schemas.openxmlformats.org/officeDocument/2006/relationships/hyperlink" Target="https://drive.google.com/file/d/1L3vOxFdT026wCyJWw0o9xns1DUCUqSmV/view?usp=sharing" TargetMode="External"/><Relationship Id="rId608" Type="http://schemas.openxmlformats.org/officeDocument/2006/relationships/hyperlink" Target="https://drive.google.com/file/d/1DjMmCHi1vMShXxrBYq3Xk4JVfbh4Chit/view?usp=sharing" TargetMode="External"/><Relationship Id="rId191" Type="http://schemas.openxmlformats.org/officeDocument/2006/relationships/hyperlink" Target="https://www.moulinspharma.com/" TargetMode="External"/><Relationship Id="rId205" Type="http://schemas.openxmlformats.org/officeDocument/2006/relationships/hyperlink" Target="https://www.moulinspharma.com/" TargetMode="External"/><Relationship Id="rId247" Type="http://schemas.openxmlformats.org/officeDocument/2006/relationships/hyperlink" Target="https://www.moulinspharma.com/" TargetMode="External"/><Relationship Id="rId412" Type="http://schemas.openxmlformats.org/officeDocument/2006/relationships/hyperlink" Target="https://drive.google.com/file/d/1J_bDZAtrpvnYp--rZvMU6DJmWNmdISNQ/view?usp=sharing5" TargetMode="External"/><Relationship Id="rId107" Type="http://schemas.openxmlformats.org/officeDocument/2006/relationships/hyperlink" Target="https://www.moulinspharma.com/" TargetMode="External"/><Relationship Id="rId289" Type="http://schemas.openxmlformats.org/officeDocument/2006/relationships/hyperlink" Target="https://www.moulinspharma.com/" TargetMode="External"/><Relationship Id="rId454" Type="http://schemas.openxmlformats.org/officeDocument/2006/relationships/hyperlink" Target="https://drive.google.com/file/d/1u0qekCi1yfSO5nJR-lgS1MFaIRSSn6v-/view?usp=sharing" TargetMode="External"/><Relationship Id="rId496" Type="http://schemas.openxmlformats.org/officeDocument/2006/relationships/hyperlink" Target="https://drive.google.com/file/d/1w14V9VrG3ZEM_jpLV34dBEyZYtqls-gT/view?usp=sharing" TargetMode="External"/><Relationship Id="rId661" Type="http://schemas.openxmlformats.org/officeDocument/2006/relationships/hyperlink" Target="https://drive.google.com/file/d/14sgONN9JT1eF5509sIhq2IR5kYHCEo_W/view?usp=sharing" TargetMode="External"/><Relationship Id="rId11" Type="http://schemas.openxmlformats.org/officeDocument/2006/relationships/hyperlink" Target="https://www.moulinspharma.com/" TargetMode="External"/><Relationship Id="rId53" Type="http://schemas.openxmlformats.org/officeDocument/2006/relationships/hyperlink" Target="https://www.moulinspharma.com/" TargetMode="External"/><Relationship Id="rId149" Type="http://schemas.openxmlformats.org/officeDocument/2006/relationships/hyperlink" Target="https://www.moulinspharma.com/" TargetMode="External"/><Relationship Id="rId314" Type="http://schemas.openxmlformats.org/officeDocument/2006/relationships/hyperlink" Target="https://www.moulinspharma.com/" TargetMode="External"/><Relationship Id="rId356" Type="http://schemas.openxmlformats.org/officeDocument/2006/relationships/hyperlink" Target="https://www.moulinspharma.com/" TargetMode="External"/><Relationship Id="rId398" Type="http://schemas.openxmlformats.org/officeDocument/2006/relationships/hyperlink" Target="https://drive.google.com/file/d/1meJ36GEDB94du6CDHxrAg9MxziGN1_X3/view?usp=sharing" TargetMode="External"/><Relationship Id="rId521" Type="http://schemas.openxmlformats.org/officeDocument/2006/relationships/hyperlink" Target="https://drive.google.com/file/d/1N9P786qvqqmgSLFIrHRWIqzztE0z1imO/view?usp=sharing" TargetMode="External"/><Relationship Id="rId563" Type="http://schemas.openxmlformats.org/officeDocument/2006/relationships/hyperlink" Target="https://drive.google.com/file/d/1QkE-1DXKfyh-wgqgLFMYtZ8hUxSQBras/view?usp=sharing" TargetMode="External"/><Relationship Id="rId619" Type="http://schemas.openxmlformats.org/officeDocument/2006/relationships/hyperlink" Target="https://drive.google.com/file/d/16dIcPBQWshABTkdYtk2Y1-0gM2OOqTru/view?usp=sharing" TargetMode="External"/><Relationship Id="rId95" Type="http://schemas.openxmlformats.org/officeDocument/2006/relationships/hyperlink" Target="https://www.moulinspharma.com/" TargetMode="External"/><Relationship Id="rId160" Type="http://schemas.openxmlformats.org/officeDocument/2006/relationships/hyperlink" Target="https://www.moulinspharma.com/" TargetMode="External"/><Relationship Id="rId216" Type="http://schemas.openxmlformats.org/officeDocument/2006/relationships/hyperlink" Target="https://www.moulinspharma.com/" TargetMode="External"/><Relationship Id="rId423" Type="http://schemas.openxmlformats.org/officeDocument/2006/relationships/hyperlink" Target="https://drive.google.com/file/d/1yZ_dAnw4jYWBg-d_IR6O2fR3AQwU2Pzs/view?usp=sharing" TargetMode="External"/><Relationship Id="rId258" Type="http://schemas.openxmlformats.org/officeDocument/2006/relationships/hyperlink" Target="https://www.moulinspharma.com/" TargetMode="External"/><Relationship Id="rId465" Type="http://schemas.openxmlformats.org/officeDocument/2006/relationships/hyperlink" Target="https://drive.google.com/file/d/1fZL3eQMC7tnyuPxHh8dnVKqyZ5o4dk-L/view?usp=sharing" TargetMode="External"/><Relationship Id="rId630" Type="http://schemas.openxmlformats.org/officeDocument/2006/relationships/hyperlink" Target="https://drive.google.com/file/d/1ES8muEidh3Z6c1IesnUdmObftY2Xg7FB/view?usp=sharing" TargetMode="External"/><Relationship Id="rId672" Type="http://schemas.openxmlformats.org/officeDocument/2006/relationships/hyperlink" Target="https://drive.google.com/file/d/1H_Zz1gyw8i2-r1DVIB102DpuvwIZUPYn/view?usp=sharing" TargetMode="External"/><Relationship Id="rId22" Type="http://schemas.openxmlformats.org/officeDocument/2006/relationships/hyperlink" Target="https://www.moulinspharma.com/" TargetMode="External"/><Relationship Id="rId64" Type="http://schemas.openxmlformats.org/officeDocument/2006/relationships/hyperlink" Target="https://www.moulinspharma.com/" TargetMode="External"/><Relationship Id="rId118" Type="http://schemas.openxmlformats.org/officeDocument/2006/relationships/hyperlink" Target="https://www.moulinspharma.com/" TargetMode="External"/><Relationship Id="rId325" Type="http://schemas.openxmlformats.org/officeDocument/2006/relationships/hyperlink" Target="https://www.moulinspharma.com/" TargetMode="External"/><Relationship Id="rId367" Type="http://schemas.openxmlformats.org/officeDocument/2006/relationships/hyperlink" Target="https://www.moulinspharma.com/" TargetMode="External"/><Relationship Id="rId532" Type="http://schemas.openxmlformats.org/officeDocument/2006/relationships/hyperlink" Target="https://drive.google.com/file/d/18TdqlMtfKtWlN6E0jMZacCbiA4toWBC3/view?usp=sharing" TargetMode="External"/><Relationship Id="rId574" Type="http://schemas.openxmlformats.org/officeDocument/2006/relationships/hyperlink" Target="https://drive.google.com/file/d/19lCjF1qPFMMGxRxXhI1vif2CoB9nnNst/view?usp=sharing" TargetMode="External"/><Relationship Id="rId171" Type="http://schemas.openxmlformats.org/officeDocument/2006/relationships/hyperlink" Target="https://www.moulinspharma.com/" TargetMode="External"/><Relationship Id="rId227" Type="http://schemas.openxmlformats.org/officeDocument/2006/relationships/hyperlink" Target="https://www.moulinspharma.com/" TargetMode="External"/><Relationship Id="rId269" Type="http://schemas.openxmlformats.org/officeDocument/2006/relationships/hyperlink" Target="https://www.moulinspharma.com/" TargetMode="External"/><Relationship Id="rId434" Type="http://schemas.openxmlformats.org/officeDocument/2006/relationships/hyperlink" Target="https://drive.google.com/file/d/170VmVCvaoUxYrCKx-RY43gGy1qFuiZzW/view?usp=sharing" TargetMode="External"/><Relationship Id="rId476" Type="http://schemas.openxmlformats.org/officeDocument/2006/relationships/hyperlink" Target="https://drive.google.com/file/d/1NyDnY6ZFPYxWG-ul0VhU2FR3otCO6skc/view?usp=sharing" TargetMode="External"/><Relationship Id="rId641" Type="http://schemas.openxmlformats.org/officeDocument/2006/relationships/hyperlink" Target="https://drive.google.com/file/d/1Rh-ZfzpyAa6-EwXfE_5BpKLrtQu3ZjKU/view?usp=sharing" TargetMode="External"/><Relationship Id="rId683" Type="http://schemas.openxmlformats.org/officeDocument/2006/relationships/hyperlink" Target="https://drive.google.com/file/d/1YOQrS6X3wFAeDcdH17NxWxE559RSNm86/view?usp=sharing" TargetMode="External"/><Relationship Id="rId33" Type="http://schemas.openxmlformats.org/officeDocument/2006/relationships/hyperlink" Target="https://www.moulinspharma.com/" TargetMode="External"/><Relationship Id="rId129" Type="http://schemas.openxmlformats.org/officeDocument/2006/relationships/hyperlink" Target="https://www.moulinspharma.com/" TargetMode="External"/><Relationship Id="rId280" Type="http://schemas.openxmlformats.org/officeDocument/2006/relationships/hyperlink" Target="https://www.moulinspharma.com/" TargetMode="External"/><Relationship Id="rId336" Type="http://schemas.openxmlformats.org/officeDocument/2006/relationships/hyperlink" Target="https://www.moulinspharma.com/" TargetMode="External"/><Relationship Id="rId501" Type="http://schemas.openxmlformats.org/officeDocument/2006/relationships/hyperlink" Target="https://drive.google.com/file/d/1e8CO139qBGh_MNuddmXPqrJfYzRVb4vx/view?usp=sharing" TargetMode="External"/><Relationship Id="rId543" Type="http://schemas.openxmlformats.org/officeDocument/2006/relationships/hyperlink" Target="https://drive.google.com/file/d/1Y_52Jb7cXH1NQXbpS0XjFXlTpYyUF4PC/view?usp=sharing" TargetMode="External"/><Relationship Id="rId75" Type="http://schemas.openxmlformats.org/officeDocument/2006/relationships/hyperlink" Target="https://www.moulinspharma.com/" TargetMode="External"/><Relationship Id="rId140" Type="http://schemas.openxmlformats.org/officeDocument/2006/relationships/hyperlink" Target="https://www.moulinspharma.com/" TargetMode="External"/><Relationship Id="rId182" Type="http://schemas.openxmlformats.org/officeDocument/2006/relationships/hyperlink" Target="https://www.moulinspharma.com/" TargetMode="External"/><Relationship Id="rId378" Type="http://schemas.openxmlformats.org/officeDocument/2006/relationships/hyperlink" Target="https://www.moulinspharma.com/" TargetMode="External"/><Relationship Id="rId403" Type="http://schemas.openxmlformats.org/officeDocument/2006/relationships/hyperlink" Target="https://drive.google.com/file/d/1K5SGInxa8-OLrKRefgL-82Yq9B7iGgnJ/view?usp=sharing" TargetMode="External"/><Relationship Id="rId585" Type="http://schemas.openxmlformats.org/officeDocument/2006/relationships/hyperlink" Target="https://drive.google.com/file/d/1oo3_2DRE8_arCyj6rtXE_Y81xeoDDwwH/view?usp=sharing" TargetMode="External"/><Relationship Id="rId6" Type="http://schemas.openxmlformats.org/officeDocument/2006/relationships/hyperlink" Target="https://www.moulinspharma.com/" TargetMode="External"/><Relationship Id="rId238" Type="http://schemas.openxmlformats.org/officeDocument/2006/relationships/hyperlink" Target="https://www.moulinspharma.com/" TargetMode="External"/><Relationship Id="rId445" Type="http://schemas.openxmlformats.org/officeDocument/2006/relationships/hyperlink" Target="https://drive.google.com/file/d/1vtHs7s5RNURF6nPcFG0T8fYWk2OuP6gY/view?usp=sharing" TargetMode="External"/><Relationship Id="rId487" Type="http://schemas.openxmlformats.org/officeDocument/2006/relationships/hyperlink" Target="https://drive.google.com/file/d/1cQFxS2nmYbNYuLxv4HKUGYQWU9l1B4Ky/view?usp=sharing" TargetMode="External"/><Relationship Id="rId610" Type="http://schemas.openxmlformats.org/officeDocument/2006/relationships/hyperlink" Target="https://drive.google.com/file/d/11XK-mT7e3Wy9wTSqOoz04kTVQDxD0KWD/view?usp=sharing" TargetMode="External"/><Relationship Id="rId652" Type="http://schemas.openxmlformats.org/officeDocument/2006/relationships/hyperlink" Target="https://drive.google.com/file/d/1un4xupvz0M5T6wfWHupnrOymVC-LCyy5/view?usp=sharing" TargetMode="External"/><Relationship Id="rId291" Type="http://schemas.openxmlformats.org/officeDocument/2006/relationships/hyperlink" Target="https://www.moulinspharma.com/" TargetMode="External"/><Relationship Id="rId305" Type="http://schemas.openxmlformats.org/officeDocument/2006/relationships/hyperlink" Target="https://www.moulinspharma.com/" TargetMode="External"/><Relationship Id="rId347" Type="http://schemas.openxmlformats.org/officeDocument/2006/relationships/hyperlink" Target="https://www.moulinspharma.com/" TargetMode="External"/><Relationship Id="rId512" Type="http://schemas.openxmlformats.org/officeDocument/2006/relationships/hyperlink" Target="https://drive.google.com/file/d/1nPVK92WjdivNPXmvaWnZJH2dFGSO1pYU/view?usp=sharing" TargetMode="External"/><Relationship Id="rId44" Type="http://schemas.openxmlformats.org/officeDocument/2006/relationships/hyperlink" Target="https://www.moulinspharma.com/" TargetMode="External"/><Relationship Id="rId86" Type="http://schemas.openxmlformats.org/officeDocument/2006/relationships/hyperlink" Target="https://www.moulinspharma.com/" TargetMode="External"/><Relationship Id="rId151" Type="http://schemas.openxmlformats.org/officeDocument/2006/relationships/hyperlink" Target="https://www.moulinspharma.com/" TargetMode="External"/><Relationship Id="rId389" Type="http://schemas.openxmlformats.org/officeDocument/2006/relationships/hyperlink" Target="https://drive.google.com/file/d/1tdbZx4YK7D_Boc-2K9xwp631XnbmMHIo/view?usp=sharing" TargetMode="External"/><Relationship Id="rId554" Type="http://schemas.openxmlformats.org/officeDocument/2006/relationships/hyperlink" Target="https://drive.google.com/file/d/1wMu-D_AtUBEifWCUmvd5n1Ub8l7PLu9C/view?usp=sharing" TargetMode="External"/><Relationship Id="rId596" Type="http://schemas.openxmlformats.org/officeDocument/2006/relationships/hyperlink" Target="https://drive.google.com/file/d/1kc3WhAn-KgAyQt2TK6t1RYMXm7aO7TuY/view?usp=sharing" TargetMode="External"/><Relationship Id="rId193" Type="http://schemas.openxmlformats.org/officeDocument/2006/relationships/hyperlink" Target="https://www.moulinspharma.com/" TargetMode="External"/><Relationship Id="rId207" Type="http://schemas.openxmlformats.org/officeDocument/2006/relationships/hyperlink" Target="https://www.moulinspharma.com/" TargetMode="External"/><Relationship Id="rId249" Type="http://schemas.openxmlformats.org/officeDocument/2006/relationships/hyperlink" Target="https://www.moulinspharma.com/" TargetMode="External"/><Relationship Id="rId414" Type="http://schemas.openxmlformats.org/officeDocument/2006/relationships/hyperlink" Target="https://drive.google.com/file/d/1bjksN6R1CoMzinXigTMvqSJ4ssOEWs3A/view?usp=sharing" TargetMode="External"/><Relationship Id="rId456" Type="http://schemas.openxmlformats.org/officeDocument/2006/relationships/hyperlink" Target="https://drive.google.com/file/d/1uZDhll0mPygwVKNeywMVc7c-vgF0dd-_/view?usp=sharing" TargetMode="External"/><Relationship Id="rId498" Type="http://schemas.openxmlformats.org/officeDocument/2006/relationships/hyperlink" Target="https://drive.google.com/file/d/1a4eIqT3QMmznU77llU-WYaci0hVUdSez/view?usp=sharing" TargetMode="External"/><Relationship Id="rId621" Type="http://schemas.openxmlformats.org/officeDocument/2006/relationships/hyperlink" Target="https://drive.google.com/file/d/1i8tOuugjtMr_wQlscTH6HJysHU00kH6u/view?usp=sharing" TargetMode="External"/><Relationship Id="rId663" Type="http://schemas.openxmlformats.org/officeDocument/2006/relationships/hyperlink" Target="https://drive.google.com/file/d/1hrKy6S2ZH2ZFewx6fzYgTN2RWYTJezY7/view?usp=sharing" TargetMode="External"/><Relationship Id="rId13" Type="http://schemas.openxmlformats.org/officeDocument/2006/relationships/hyperlink" Target="https://www.moulinspharma.com/" TargetMode="External"/><Relationship Id="rId109" Type="http://schemas.openxmlformats.org/officeDocument/2006/relationships/hyperlink" Target="https://www.moulinspharma.com/" TargetMode="External"/><Relationship Id="rId260" Type="http://schemas.openxmlformats.org/officeDocument/2006/relationships/hyperlink" Target="https://www.moulinspharma.com/" TargetMode="External"/><Relationship Id="rId316" Type="http://schemas.openxmlformats.org/officeDocument/2006/relationships/hyperlink" Target="https://www.moulinspharma.com/" TargetMode="External"/><Relationship Id="rId523" Type="http://schemas.openxmlformats.org/officeDocument/2006/relationships/hyperlink" Target="https://drive.google.com/file/d/193aqUNPQyDYHgVt7xfJ5AortHC42ZQOp/view?usp=sharing" TargetMode="External"/><Relationship Id="rId55" Type="http://schemas.openxmlformats.org/officeDocument/2006/relationships/hyperlink" Target="https://www.moulinspharma.com/" TargetMode="External"/><Relationship Id="rId97" Type="http://schemas.openxmlformats.org/officeDocument/2006/relationships/hyperlink" Target="https://www.moulinspharma.com/" TargetMode="External"/><Relationship Id="rId120" Type="http://schemas.openxmlformats.org/officeDocument/2006/relationships/hyperlink" Target="https://www.moulinspharma.com/" TargetMode="External"/><Relationship Id="rId358" Type="http://schemas.openxmlformats.org/officeDocument/2006/relationships/hyperlink" Target="https://www.moulinspharma.com/" TargetMode="External"/><Relationship Id="rId565" Type="http://schemas.openxmlformats.org/officeDocument/2006/relationships/hyperlink" Target="https://drive.google.com/file/d/181swWwCkeSANTK1rA3lCk0iIY1VDFmer/view?usp=sharing" TargetMode="External"/><Relationship Id="rId162" Type="http://schemas.openxmlformats.org/officeDocument/2006/relationships/hyperlink" Target="https://www.moulinspharma.com/" TargetMode="External"/><Relationship Id="rId218" Type="http://schemas.openxmlformats.org/officeDocument/2006/relationships/hyperlink" Target="https://www.moulinspharma.com/" TargetMode="External"/><Relationship Id="rId425" Type="http://schemas.openxmlformats.org/officeDocument/2006/relationships/hyperlink" Target="https://drive.google.com/file/d/1RntJT2eDd0p29FNMf8zjsSqizQLLWUzn/view?usp=sharing" TargetMode="External"/><Relationship Id="rId467" Type="http://schemas.openxmlformats.org/officeDocument/2006/relationships/hyperlink" Target="https://drive.google.com/file/d/1yKodk-ZCBjmvlHmgXoHYpXT5NHNfIb8g/view?usp=sharing" TargetMode="External"/><Relationship Id="rId632" Type="http://schemas.openxmlformats.org/officeDocument/2006/relationships/hyperlink" Target="https://drive.google.com/file/d/1wM_CfiY4Gx4uhFH5dzbIzqDlA2hubu54/view?usp=sharing" TargetMode="External"/><Relationship Id="rId271" Type="http://schemas.openxmlformats.org/officeDocument/2006/relationships/hyperlink" Target="https://www.moulinspharma.com/" TargetMode="External"/><Relationship Id="rId674" Type="http://schemas.openxmlformats.org/officeDocument/2006/relationships/hyperlink" Target="https://drive.google.com/file/d/10InO5AKLhRebjbSU2KqMzpDFaZu26ZOC/view?usp=sharing" TargetMode="External"/><Relationship Id="rId24" Type="http://schemas.openxmlformats.org/officeDocument/2006/relationships/hyperlink" Target="https://www.moulinspharma.com/" TargetMode="External"/><Relationship Id="rId66" Type="http://schemas.openxmlformats.org/officeDocument/2006/relationships/hyperlink" Target="https://www.moulinspharma.com/" TargetMode="External"/><Relationship Id="rId131" Type="http://schemas.openxmlformats.org/officeDocument/2006/relationships/hyperlink" Target="https://www.moulinspharma.com/" TargetMode="External"/><Relationship Id="rId327" Type="http://schemas.openxmlformats.org/officeDocument/2006/relationships/hyperlink" Target="https://www.moulinspharma.com/" TargetMode="External"/><Relationship Id="rId369" Type="http://schemas.openxmlformats.org/officeDocument/2006/relationships/hyperlink" Target="https://www.moulinspharma.com/" TargetMode="External"/><Relationship Id="rId534" Type="http://schemas.openxmlformats.org/officeDocument/2006/relationships/hyperlink" Target="https://drive.google.com/file/d/1X5ECnN_phS1y3QfAxeqRrdJR7a3zLxv8/view?usp=sharing" TargetMode="External"/><Relationship Id="rId576" Type="http://schemas.openxmlformats.org/officeDocument/2006/relationships/hyperlink" Target="https://drive.google.com/file/d/1jVgaXglfdId1wGOnxrhOMFc5KjKY3oNs/view?usp=sharing" TargetMode="External"/><Relationship Id="rId173" Type="http://schemas.openxmlformats.org/officeDocument/2006/relationships/hyperlink" Target="https://www.moulinspharma.com/" TargetMode="External"/><Relationship Id="rId229" Type="http://schemas.openxmlformats.org/officeDocument/2006/relationships/hyperlink" Target="https://www.moulinspharma.com/" TargetMode="External"/><Relationship Id="rId380" Type="http://schemas.openxmlformats.org/officeDocument/2006/relationships/hyperlink" Target="https://www.moulinspharma.com/" TargetMode="External"/><Relationship Id="rId436" Type="http://schemas.openxmlformats.org/officeDocument/2006/relationships/hyperlink" Target="https://drive.google.com/file/d/1MLK8MX_K3jH-YvqkYndmhcKP9Pv5xpf_/view?usp=sharing" TargetMode="External"/><Relationship Id="rId601" Type="http://schemas.openxmlformats.org/officeDocument/2006/relationships/hyperlink" Target="https://drive.google.com/file/d/1-k-V457b2D6qrdSdw61w5A_RgxBsxGYI/view?usp=sharing" TargetMode="External"/><Relationship Id="rId643" Type="http://schemas.openxmlformats.org/officeDocument/2006/relationships/hyperlink" Target="https://drive.google.com/file/d/1Sqxh_pzrfFfv8qj5tKWkWHK-kwbVmac_/view?usp=sharing" TargetMode="External"/><Relationship Id="rId240" Type="http://schemas.openxmlformats.org/officeDocument/2006/relationships/hyperlink" Target="https://www.moulinspharma.com/" TargetMode="External"/><Relationship Id="rId478" Type="http://schemas.openxmlformats.org/officeDocument/2006/relationships/hyperlink" Target="https://drive.google.com/file/d/1s826hZkkUrvXhvVrmxVzPExgaFpWHOD1/view?usp=sharing" TargetMode="External"/><Relationship Id="rId685" Type="http://schemas.openxmlformats.org/officeDocument/2006/relationships/hyperlink" Target="https://drive.google.com/file/d/1NsnwWxE72MaTAOd5qVoA9Z2Y8RukFBKu/view?usp=sharing" TargetMode="External"/><Relationship Id="rId35" Type="http://schemas.openxmlformats.org/officeDocument/2006/relationships/hyperlink" Target="https://www.moulinspharma.com/" TargetMode="External"/><Relationship Id="rId77" Type="http://schemas.openxmlformats.org/officeDocument/2006/relationships/hyperlink" Target="https://www.moulinspharma.com/" TargetMode="External"/><Relationship Id="rId100" Type="http://schemas.openxmlformats.org/officeDocument/2006/relationships/hyperlink" Target="https://www.moulinspharma.com/" TargetMode="External"/><Relationship Id="rId282" Type="http://schemas.openxmlformats.org/officeDocument/2006/relationships/hyperlink" Target="https://www.moulinspharma.com/" TargetMode="External"/><Relationship Id="rId338" Type="http://schemas.openxmlformats.org/officeDocument/2006/relationships/hyperlink" Target="https://www.moulinspharma.com/" TargetMode="External"/><Relationship Id="rId503" Type="http://schemas.openxmlformats.org/officeDocument/2006/relationships/hyperlink" Target="https://drive.google.com/file/d/16KiNws5gfu4s6K8jh_ye-izR0SmOTsvS/view?usp=sharing" TargetMode="External"/><Relationship Id="rId545" Type="http://schemas.openxmlformats.org/officeDocument/2006/relationships/hyperlink" Target="https://drive.google.com/file/d/1Q2jDBVPuFGfc2jvTz8qXp7R-kVdWTNGa/view?usp=sharing" TargetMode="External"/><Relationship Id="rId587" Type="http://schemas.openxmlformats.org/officeDocument/2006/relationships/hyperlink" Target="https://drive.google.com/file/d/1IDNQhqZt4zN7HHPWX1qKCjt0uXQOhTt_/view?usp=sharing" TargetMode="External"/><Relationship Id="rId8" Type="http://schemas.openxmlformats.org/officeDocument/2006/relationships/hyperlink" Target="https://www.moulinspharma.com/" TargetMode="External"/><Relationship Id="rId142" Type="http://schemas.openxmlformats.org/officeDocument/2006/relationships/hyperlink" Target="https://www.moulinspharma.com/" TargetMode="External"/><Relationship Id="rId184" Type="http://schemas.openxmlformats.org/officeDocument/2006/relationships/hyperlink" Target="https://www.moulinspharma.com/" TargetMode="External"/><Relationship Id="rId391" Type="http://schemas.openxmlformats.org/officeDocument/2006/relationships/hyperlink" Target="https://drive.google.com/file/d/17iWXXrq6Yjb5-MlwJkEbiZtbx6Tw2DBh/view?usp=sharing" TargetMode="External"/><Relationship Id="rId405" Type="http://schemas.openxmlformats.org/officeDocument/2006/relationships/hyperlink" Target="https://drive.google.com/file/d/1bA_tiQIN_p2KJOZl021TWKGFwzOlBqty/view?usp=sharing" TargetMode="External"/><Relationship Id="rId447" Type="http://schemas.openxmlformats.org/officeDocument/2006/relationships/hyperlink" Target="https://drive.google.com/file/d/1ZgRrrcNVAxOAUK8lfwNoJ5mQKsa6PKVY/view?usp=sharing" TargetMode="External"/><Relationship Id="rId612" Type="http://schemas.openxmlformats.org/officeDocument/2006/relationships/hyperlink" Target="https://drive.google.com/file/d/1CjmKyXyIS2RAxG7IXGCn-qt3hU214u7r/view?usp=sharing" TargetMode="External"/><Relationship Id="rId251" Type="http://schemas.openxmlformats.org/officeDocument/2006/relationships/hyperlink" Target="https://www.moulinspharma.com/" TargetMode="External"/><Relationship Id="rId489" Type="http://schemas.openxmlformats.org/officeDocument/2006/relationships/hyperlink" Target="https://drive.google.com/file/d/1zAiTa2CEG5yxL3ChXdwoLaJiP9d3ogbf/view?usp=sharing" TargetMode="External"/><Relationship Id="rId654" Type="http://schemas.openxmlformats.org/officeDocument/2006/relationships/hyperlink" Target="https://drive.google.com/file/d/1rlEEHU1oQmLILCOmXu5rRddKpt1M8dCw/view?usp=sharing" TargetMode="External"/><Relationship Id="rId46" Type="http://schemas.openxmlformats.org/officeDocument/2006/relationships/hyperlink" Target="https://www.moulinspharma.com/" TargetMode="External"/><Relationship Id="rId293" Type="http://schemas.openxmlformats.org/officeDocument/2006/relationships/hyperlink" Target="https://www.moulinspharma.com/" TargetMode="External"/><Relationship Id="rId307" Type="http://schemas.openxmlformats.org/officeDocument/2006/relationships/hyperlink" Target="https://www.moulinspharma.com/" TargetMode="External"/><Relationship Id="rId349" Type="http://schemas.openxmlformats.org/officeDocument/2006/relationships/hyperlink" Target="https://www.moulinspharma.com/" TargetMode="External"/><Relationship Id="rId514" Type="http://schemas.openxmlformats.org/officeDocument/2006/relationships/hyperlink" Target="https://drive.google.com/file/d/1ljvV1aYRbBwa6DuC7RL7gUUbfgbdcwJ1/view?usp=sharing" TargetMode="External"/><Relationship Id="rId556" Type="http://schemas.openxmlformats.org/officeDocument/2006/relationships/hyperlink" Target="https://drive.google.com/file/d/1pmUZgpwZAFFHvyFKEJOuXRdlyw3WGzpM/view?usp=sharing" TargetMode="External"/><Relationship Id="rId88" Type="http://schemas.openxmlformats.org/officeDocument/2006/relationships/hyperlink" Target="https://www.moulinspharma.com/" TargetMode="External"/><Relationship Id="rId111" Type="http://schemas.openxmlformats.org/officeDocument/2006/relationships/hyperlink" Target="https://www.moulinspharma.com/" TargetMode="External"/><Relationship Id="rId153" Type="http://schemas.openxmlformats.org/officeDocument/2006/relationships/hyperlink" Target="https://www.moulinspharma.com/" TargetMode="External"/><Relationship Id="rId195" Type="http://schemas.openxmlformats.org/officeDocument/2006/relationships/hyperlink" Target="https://www.moulinspharma.com/" TargetMode="External"/><Relationship Id="rId209" Type="http://schemas.openxmlformats.org/officeDocument/2006/relationships/hyperlink" Target="https://www.moulinspharma.com/" TargetMode="External"/><Relationship Id="rId360" Type="http://schemas.openxmlformats.org/officeDocument/2006/relationships/hyperlink" Target="https://www.moulinspharma.com/" TargetMode="External"/><Relationship Id="rId416" Type="http://schemas.openxmlformats.org/officeDocument/2006/relationships/hyperlink" Target="https://drive.google.com/file/d/17kf6LiUtJrr679UfSvcPdV7EpEx0mUNJ/view?usp=sharing" TargetMode="External"/><Relationship Id="rId598" Type="http://schemas.openxmlformats.org/officeDocument/2006/relationships/hyperlink" Target="https://drive.google.com/file/d/1_7LEGU5mFI6aCugvgvFmY4rkKiuh93dG/view?usp=sharing" TargetMode="External"/><Relationship Id="rId220" Type="http://schemas.openxmlformats.org/officeDocument/2006/relationships/hyperlink" Target="https://www.moulinspharma.com/" TargetMode="External"/><Relationship Id="rId458" Type="http://schemas.openxmlformats.org/officeDocument/2006/relationships/hyperlink" Target="https://drive.google.com/file/d/1Uo8PUUPKiSWYWXDS3wwa2LzzrrJ_UY6v/view?usp=sharing" TargetMode="External"/><Relationship Id="rId623" Type="http://schemas.openxmlformats.org/officeDocument/2006/relationships/hyperlink" Target="https://drive.google.com/file/d/14jpqjQ4s_6w7BCCf6FQdsulSyiSQ6jPF/view?usp=sharing" TargetMode="External"/><Relationship Id="rId665" Type="http://schemas.openxmlformats.org/officeDocument/2006/relationships/hyperlink" Target="https://drive.google.com/file/d/1fZWsyN-KTIC6s_jIjgS81yhaPDM3irH3/view?usp=sharing" TargetMode="External"/><Relationship Id="rId15" Type="http://schemas.openxmlformats.org/officeDocument/2006/relationships/hyperlink" Target="https://www.moulinspharma.com/" TargetMode="External"/><Relationship Id="rId57" Type="http://schemas.openxmlformats.org/officeDocument/2006/relationships/hyperlink" Target="https://www.moulinspharma.com/" TargetMode="External"/><Relationship Id="rId262" Type="http://schemas.openxmlformats.org/officeDocument/2006/relationships/hyperlink" Target="https://www.moulinspharma.com/" TargetMode="External"/><Relationship Id="rId318" Type="http://schemas.openxmlformats.org/officeDocument/2006/relationships/hyperlink" Target="https://www.moulinspharma.com/" TargetMode="External"/><Relationship Id="rId525" Type="http://schemas.openxmlformats.org/officeDocument/2006/relationships/hyperlink" Target="https://drive.google.com/file/d/19OuOiFQd-4MdErFQ8ZVK2glLYi8jSquK/view?usp=sharing" TargetMode="External"/><Relationship Id="rId567" Type="http://schemas.openxmlformats.org/officeDocument/2006/relationships/hyperlink" Target="https://drive.google.com/file/d/1XqDMzM9RHoB-l9Owec9vy0upneReihcH/view?usp=sharing" TargetMode="External"/><Relationship Id="rId99" Type="http://schemas.openxmlformats.org/officeDocument/2006/relationships/hyperlink" Target="https://www.moulinspharma.com/" TargetMode="External"/><Relationship Id="rId122" Type="http://schemas.openxmlformats.org/officeDocument/2006/relationships/hyperlink" Target="https://www.moulinspharma.com/" TargetMode="External"/><Relationship Id="rId164" Type="http://schemas.openxmlformats.org/officeDocument/2006/relationships/hyperlink" Target="https://www.moulinspharma.com/" TargetMode="External"/><Relationship Id="rId371" Type="http://schemas.openxmlformats.org/officeDocument/2006/relationships/hyperlink" Target="https://www.moulinspharma.com/" TargetMode="External"/><Relationship Id="rId427" Type="http://schemas.openxmlformats.org/officeDocument/2006/relationships/hyperlink" Target="https://drive.google.com/file/d/1j55F8wqpB4L5yzKSFoVrc_ai6k7kAhUm/view?usp=sharing" TargetMode="External"/><Relationship Id="rId469" Type="http://schemas.openxmlformats.org/officeDocument/2006/relationships/hyperlink" Target="https://drive.google.com/file/d/1GjMynhAqGD7Gg56uPgJ2DZZKCBYDIapi/view?usp=sharing" TargetMode="External"/><Relationship Id="rId634" Type="http://schemas.openxmlformats.org/officeDocument/2006/relationships/hyperlink" Target="https://drive.google.com/file/d/10OLzbyeYC-HJ9BsWKHMYv7SAGSzXY7IF/view?usp=sharing" TargetMode="External"/><Relationship Id="rId676" Type="http://schemas.openxmlformats.org/officeDocument/2006/relationships/hyperlink" Target="https://drive.google.com/file/d/1_gpmnso2TJz1WNS4NZnuxTvlFeJ_sSCo/view?usp=sharing" TargetMode="External"/><Relationship Id="rId26" Type="http://schemas.openxmlformats.org/officeDocument/2006/relationships/hyperlink" Target="https://www.moulinspharma.com/" TargetMode="External"/><Relationship Id="rId231" Type="http://schemas.openxmlformats.org/officeDocument/2006/relationships/hyperlink" Target="https://www.moulinspharma.com/" TargetMode="External"/><Relationship Id="rId273" Type="http://schemas.openxmlformats.org/officeDocument/2006/relationships/hyperlink" Target="https://www.moulinspharma.com/" TargetMode="External"/><Relationship Id="rId329" Type="http://schemas.openxmlformats.org/officeDocument/2006/relationships/hyperlink" Target="https://www.moulinspharma.com/" TargetMode="External"/><Relationship Id="rId480" Type="http://schemas.openxmlformats.org/officeDocument/2006/relationships/hyperlink" Target="https://drive.google.com/file/d/1nAy09QWhjHgiV6IbLbnMcM_iTGE_s24I/view?usp=sharing" TargetMode="External"/><Relationship Id="rId536" Type="http://schemas.openxmlformats.org/officeDocument/2006/relationships/hyperlink" Target="https://drive.google.com/file/d/1RhE1CDx4dK6dF6OTiEskW77MWda7BHDI/view?usp=sharing" TargetMode="External"/><Relationship Id="rId68" Type="http://schemas.openxmlformats.org/officeDocument/2006/relationships/hyperlink" Target="https://www.moulinspharma.com/" TargetMode="External"/><Relationship Id="rId133" Type="http://schemas.openxmlformats.org/officeDocument/2006/relationships/hyperlink" Target="https://www.moulinspharma.com/" TargetMode="External"/><Relationship Id="rId175" Type="http://schemas.openxmlformats.org/officeDocument/2006/relationships/hyperlink" Target="https://www.moulinspharma.com/" TargetMode="External"/><Relationship Id="rId340" Type="http://schemas.openxmlformats.org/officeDocument/2006/relationships/hyperlink" Target="https://www.moulinspharma.com/" TargetMode="External"/><Relationship Id="rId578" Type="http://schemas.openxmlformats.org/officeDocument/2006/relationships/hyperlink" Target="https://drive.google.com/file/d/1jzuRWj_BqOYIqEffgWuqHEHdsTmLF2Mm/view?usp=sharing" TargetMode="External"/><Relationship Id="rId200" Type="http://schemas.openxmlformats.org/officeDocument/2006/relationships/hyperlink" Target="https://www.moulinspharma.com/" TargetMode="External"/><Relationship Id="rId382" Type="http://schemas.openxmlformats.org/officeDocument/2006/relationships/hyperlink" Target="https://www.moulinspharma.com/" TargetMode="External"/><Relationship Id="rId438" Type="http://schemas.openxmlformats.org/officeDocument/2006/relationships/hyperlink" Target="https://drive.google.com/file/d/1xCZePL8AFGg7_Be2aHgdMkqAVyjRIdMR/view?usp=sharing" TargetMode="External"/><Relationship Id="rId603" Type="http://schemas.openxmlformats.org/officeDocument/2006/relationships/hyperlink" Target="https://drive.google.com/file/d/1hO05xdvBiqharrdBzJIjt4Ajo6wpTq47/view?usp=sharing" TargetMode="External"/><Relationship Id="rId645" Type="http://schemas.openxmlformats.org/officeDocument/2006/relationships/hyperlink" Target="https://drive.google.com/file/d/1CZ1YPO0ruqPz4mT13I80oIA_i4FC4G7g/view?usp=sharing" TargetMode="External"/><Relationship Id="rId687" Type="http://schemas.openxmlformats.org/officeDocument/2006/relationships/hyperlink" Target="https://drive.google.com/file/d/1aRTCzV_1P18U8pIbUtk0ZeB-HwufKqQO/view?usp=sharing" TargetMode="External"/><Relationship Id="rId242" Type="http://schemas.openxmlformats.org/officeDocument/2006/relationships/hyperlink" Target="https://www.moulinspharma.com/" TargetMode="External"/><Relationship Id="rId284" Type="http://schemas.openxmlformats.org/officeDocument/2006/relationships/hyperlink" Target="https://www.moulinspharma.com/" TargetMode="External"/><Relationship Id="rId491" Type="http://schemas.openxmlformats.org/officeDocument/2006/relationships/hyperlink" Target="https://drive.google.com/file/d/1w6U683ITIUxS95PTuwJtIfOy7Gy-aQn6/view?usp=sharing" TargetMode="External"/><Relationship Id="rId505" Type="http://schemas.openxmlformats.org/officeDocument/2006/relationships/hyperlink" Target="https://drive.google.com/file/d/1ppYp183YvRthkuvgGhp4-ldb2C7TL0xE/view?usp=sharing" TargetMode="External"/><Relationship Id="rId37" Type="http://schemas.openxmlformats.org/officeDocument/2006/relationships/hyperlink" Target="https://www.moulinspharma.com/" TargetMode="External"/><Relationship Id="rId79" Type="http://schemas.openxmlformats.org/officeDocument/2006/relationships/hyperlink" Target="https://www.moulinspharma.com/" TargetMode="External"/><Relationship Id="rId102" Type="http://schemas.openxmlformats.org/officeDocument/2006/relationships/hyperlink" Target="https://www.moulinspharma.com/" TargetMode="External"/><Relationship Id="rId144" Type="http://schemas.openxmlformats.org/officeDocument/2006/relationships/hyperlink" Target="https://www.moulinspharma.com/" TargetMode="External"/><Relationship Id="rId547" Type="http://schemas.openxmlformats.org/officeDocument/2006/relationships/hyperlink" Target="https://drive.google.com/file/d/14IvFT9A5DQmCLeM3J3zun2wPf-SqAkpY/view?usp=sharing" TargetMode="External"/><Relationship Id="rId589" Type="http://schemas.openxmlformats.org/officeDocument/2006/relationships/hyperlink" Target="https://drive.google.com/file/d/1x8RR8O8UU479BTgQm0_WZfzlomlfo5o4/view?usp=sharing" TargetMode="External"/><Relationship Id="rId90" Type="http://schemas.openxmlformats.org/officeDocument/2006/relationships/hyperlink" Target="https://www.moulinspharma.com/" TargetMode="External"/><Relationship Id="rId186" Type="http://schemas.openxmlformats.org/officeDocument/2006/relationships/hyperlink" Target="https://www.moulinspharma.com/" TargetMode="External"/><Relationship Id="rId351" Type="http://schemas.openxmlformats.org/officeDocument/2006/relationships/hyperlink" Target="https://www.moulinspharma.com/" TargetMode="External"/><Relationship Id="rId393" Type="http://schemas.openxmlformats.org/officeDocument/2006/relationships/hyperlink" Target="https://drive.google.com/file/d/1CQ8sRoCBrZur-Q8PeobAfjJxQVpxDaO_/view?usp=sharing" TargetMode="External"/><Relationship Id="rId407" Type="http://schemas.openxmlformats.org/officeDocument/2006/relationships/hyperlink" Target="https://drive.google.com/file/d/18_ST9h7z97LLx96hZ4fDV5fcR9lXWInz/view?usp=sharing" TargetMode="External"/><Relationship Id="rId449" Type="http://schemas.openxmlformats.org/officeDocument/2006/relationships/hyperlink" Target="https://drive.google.com/file/d/1jlcP8XDi4OUWXTHKkEl_KRAWehXJm5k6/view?usp=sharing" TargetMode="External"/><Relationship Id="rId614" Type="http://schemas.openxmlformats.org/officeDocument/2006/relationships/hyperlink" Target="https://drive.google.com/file/d/1sN43zRVBtqGBb4DL2G6nDIFwj8Hniv5x/view?usp=sharing" TargetMode="External"/><Relationship Id="rId656" Type="http://schemas.openxmlformats.org/officeDocument/2006/relationships/hyperlink" Target="https://drive.google.com/file/d/1oBl9JUAx_NWemmpBCJbV1JcV9_-Babr2/view?usp=sharing" TargetMode="External"/><Relationship Id="rId211" Type="http://schemas.openxmlformats.org/officeDocument/2006/relationships/hyperlink" Target="https://www.moulinspharma.com/" TargetMode="External"/><Relationship Id="rId253" Type="http://schemas.openxmlformats.org/officeDocument/2006/relationships/hyperlink" Target="https://www.moulinspharma.com/" TargetMode="External"/><Relationship Id="rId295" Type="http://schemas.openxmlformats.org/officeDocument/2006/relationships/hyperlink" Target="https://www.moulinspharma.com/" TargetMode="External"/><Relationship Id="rId309" Type="http://schemas.openxmlformats.org/officeDocument/2006/relationships/hyperlink" Target="https://www.moulinspharma.com/" TargetMode="External"/><Relationship Id="rId460" Type="http://schemas.openxmlformats.org/officeDocument/2006/relationships/hyperlink" Target="https://drive.google.com/file/d/1FkyqM90MvKC_5qj2PbcymCOsaGAXUztI/view?usp=sharing" TargetMode="External"/><Relationship Id="rId516" Type="http://schemas.openxmlformats.org/officeDocument/2006/relationships/hyperlink" Target="https://drive.google.com/file/d/1tkOOIrc3TC094StzJhxfDtXOuM-g3o9s/view?usp=sharing" TargetMode="External"/><Relationship Id="rId48" Type="http://schemas.openxmlformats.org/officeDocument/2006/relationships/hyperlink" Target="https://www.moulinspharma.com/" TargetMode="External"/><Relationship Id="rId113" Type="http://schemas.openxmlformats.org/officeDocument/2006/relationships/hyperlink" Target="https://www.moulinspharma.com/" TargetMode="External"/><Relationship Id="rId320" Type="http://schemas.openxmlformats.org/officeDocument/2006/relationships/hyperlink" Target="https://www.moulinspharma.com/" TargetMode="External"/><Relationship Id="rId558" Type="http://schemas.openxmlformats.org/officeDocument/2006/relationships/hyperlink" Target="https://drive.google.com/file/d/17TenNL7pW9zDF9y4Xl87uEsP1MTvDEre/view?usp=sharing" TargetMode="External"/><Relationship Id="rId155" Type="http://schemas.openxmlformats.org/officeDocument/2006/relationships/hyperlink" Target="https://www.moulinspharma.com/" TargetMode="External"/><Relationship Id="rId197" Type="http://schemas.openxmlformats.org/officeDocument/2006/relationships/hyperlink" Target="https://www.moulinspharma.com/" TargetMode="External"/><Relationship Id="rId362" Type="http://schemas.openxmlformats.org/officeDocument/2006/relationships/hyperlink" Target="https://www.moulinspharma.com/" TargetMode="External"/><Relationship Id="rId418" Type="http://schemas.openxmlformats.org/officeDocument/2006/relationships/hyperlink" Target="https://drive.google.com/file/d/17xyWJ6tOTGXa1dTq6JmoyiR204UQwsd2/view?usp=sharing" TargetMode="External"/><Relationship Id="rId625" Type="http://schemas.openxmlformats.org/officeDocument/2006/relationships/hyperlink" Target="https://drive.google.com/file/d/1SIB4WgnbrpNTdv5-wb-DDBpr72zwEFVg/view?usp=sharing" TargetMode="External"/><Relationship Id="rId222" Type="http://schemas.openxmlformats.org/officeDocument/2006/relationships/hyperlink" Target="https://www.moulinspharma.com/" TargetMode="External"/><Relationship Id="rId264" Type="http://schemas.openxmlformats.org/officeDocument/2006/relationships/hyperlink" Target="https://www.moulinspharma.com/" TargetMode="External"/><Relationship Id="rId471" Type="http://schemas.openxmlformats.org/officeDocument/2006/relationships/hyperlink" Target="https://drive.google.com/file/d/1_8acXns5bjhIAQ5HEiZaiBNpsFz9KmrG/view?usp=sharing" TargetMode="External"/><Relationship Id="rId667" Type="http://schemas.openxmlformats.org/officeDocument/2006/relationships/hyperlink" Target="https://drive.google.com/file/d/1m7_LfE2W3kusrsih4MUWUHWwS_c02z36/view?usp=sharing" TargetMode="External"/><Relationship Id="rId17" Type="http://schemas.openxmlformats.org/officeDocument/2006/relationships/hyperlink" Target="https://www.moulinspharma.com/" TargetMode="External"/><Relationship Id="rId59" Type="http://schemas.openxmlformats.org/officeDocument/2006/relationships/hyperlink" Target="https://www.moulinspharma.com/" TargetMode="External"/><Relationship Id="rId124" Type="http://schemas.openxmlformats.org/officeDocument/2006/relationships/hyperlink" Target="https://www.moulinspharma.com/" TargetMode="External"/><Relationship Id="rId527" Type="http://schemas.openxmlformats.org/officeDocument/2006/relationships/hyperlink" Target="https://drive.google.com/file/d/17zbymF_UYp3agl6fQVlKW6cfOoA2i5_3/view?usp=sharing" TargetMode="External"/><Relationship Id="rId569" Type="http://schemas.openxmlformats.org/officeDocument/2006/relationships/hyperlink" Target="https://drive.google.com/file/d/1Jqcidkywol9D-uO8IHF6lwBy2v94IKhq/view?usp=sharing" TargetMode="External"/><Relationship Id="rId70" Type="http://schemas.openxmlformats.org/officeDocument/2006/relationships/hyperlink" Target="https://www.moulinspharma.com/" TargetMode="External"/><Relationship Id="rId166" Type="http://schemas.openxmlformats.org/officeDocument/2006/relationships/hyperlink" Target="https://www.moulinspharma.com/" TargetMode="External"/><Relationship Id="rId331" Type="http://schemas.openxmlformats.org/officeDocument/2006/relationships/hyperlink" Target="https://www.moulinspharma.com/" TargetMode="External"/><Relationship Id="rId373" Type="http://schemas.openxmlformats.org/officeDocument/2006/relationships/hyperlink" Target="https://www.moulinspharma.com/" TargetMode="External"/><Relationship Id="rId429" Type="http://schemas.openxmlformats.org/officeDocument/2006/relationships/hyperlink" Target="https://drive.google.com/file/d/1ENAw07r-9KrUKoKi3XI0XQfrr34NupOC/view?usp=sharing" TargetMode="External"/><Relationship Id="rId580" Type="http://schemas.openxmlformats.org/officeDocument/2006/relationships/hyperlink" Target="https://drive.google.com/file/d/1-9hghOeAirseNjz_x1wHXsG9QYrhooyB/view?usp=sharing" TargetMode="External"/><Relationship Id="rId636" Type="http://schemas.openxmlformats.org/officeDocument/2006/relationships/hyperlink" Target="https://drive.google.com/file/d/1KMhld6TKGvLE6BjU9DZniKl5p7qZl0AJ/view?usp=sharing" TargetMode="External"/><Relationship Id="rId1" Type="http://schemas.openxmlformats.org/officeDocument/2006/relationships/hyperlink" Target="https://www.moulinspharma.com/" TargetMode="External"/><Relationship Id="rId233" Type="http://schemas.openxmlformats.org/officeDocument/2006/relationships/hyperlink" Target="https://www.moulinspharma.com/" TargetMode="External"/><Relationship Id="rId440" Type="http://schemas.openxmlformats.org/officeDocument/2006/relationships/hyperlink" Target="https://drive.google.com/file/d/1KDGGwBWLtAY78xn5iZU07G45smf9zjDo/view?usp=sharing" TargetMode="External"/><Relationship Id="rId678" Type="http://schemas.openxmlformats.org/officeDocument/2006/relationships/hyperlink" Target="https://drive.google.com/file/d/1WSzDcXVl4PmCYreKdR_Koo8orsyshsjP/view?usp=sharing" TargetMode="External"/><Relationship Id="rId28" Type="http://schemas.openxmlformats.org/officeDocument/2006/relationships/hyperlink" Target="https://www.moulinspharma.com/" TargetMode="External"/><Relationship Id="rId275" Type="http://schemas.openxmlformats.org/officeDocument/2006/relationships/hyperlink" Target="https://www.moulinspharma.com/" TargetMode="External"/><Relationship Id="rId300" Type="http://schemas.openxmlformats.org/officeDocument/2006/relationships/hyperlink" Target="https://www.moulinspharma.com/" TargetMode="External"/><Relationship Id="rId482" Type="http://schemas.openxmlformats.org/officeDocument/2006/relationships/hyperlink" Target="https://drive.google.com/file/d/1qkjhCypZlyyzOEgeVtpp5j-7xO0CH3eu/view?usp=sharing" TargetMode="External"/><Relationship Id="rId538" Type="http://schemas.openxmlformats.org/officeDocument/2006/relationships/hyperlink" Target="https://drive.google.com/file/d/1DBrsAFkdKeveZEHFVIxxScRmJamGcAEv/view?usp=sharing" TargetMode="External"/><Relationship Id="rId81" Type="http://schemas.openxmlformats.org/officeDocument/2006/relationships/hyperlink" Target="https://www.moulinspharma.com/" TargetMode="External"/><Relationship Id="rId135" Type="http://schemas.openxmlformats.org/officeDocument/2006/relationships/hyperlink" Target="https://www.moulinspharma.com/" TargetMode="External"/><Relationship Id="rId177" Type="http://schemas.openxmlformats.org/officeDocument/2006/relationships/hyperlink" Target="https://www.moulinspharma.com/" TargetMode="External"/><Relationship Id="rId342" Type="http://schemas.openxmlformats.org/officeDocument/2006/relationships/hyperlink" Target="https://www.moulinspharma.com/" TargetMode="External"/><Relationship Id="rId384" Type="http://schemas.openxmlformats.org/officeDocument/2006/relationships/hyperlink" Target="https://www.moulinspharma.com/" TargetMode="External"/><Relationship Id="rId591" Type="http://schemas.openxmlformats.org/officeDocument/2006/relationships/hyperlink" Target="https://drive.google.com/file/d/1lzE1MvO8Jog1oq8YteRrTmg8yMa1dj1c/view?usp=sharing" TargetMode="External"/><Relationship Id="rId605" Type="http://schemas.openxmlformats.org/officeDocument/2006/relationships/hyperlink" Target="https://drive.google.com/file/d/1JDB4Cd083VijbPKkBhc2xfEreYa1j1TR/view?usp=sharing" TargetMode="External"/><Relationship Id="rId202" Type="http://schemas.openxmlformats.org/officeDocument/2006/relationships/hyperlink" Target="https://www.moulinspharma.com/" TargetMode="External"/><Relationship Id="rId244" Type="http://schemas.openxmlformats.org/officeDocument/2006/relationships/hyperlink" Target="https://www.moulinspharma.com/" TargetMode="External"/><Relationship Id="rId647" Type="http://schemas.openxmlformats.org/officeDocument/2006/relationships/hyperlink" Target="https://drive.google.com/file/d/1JKG288N_rcKL6hwwr2mjBx59ld0lV4B1/view?usp=sharing" TargetMode="External"/><Relationship Id="rId689" Type="http://schemas.openxmlformats.org/officeDocument/2006/relationships/hyperlink" Target="https://drive.google.com/file/d/1GFhPaR0hgtAt8tL1-LcozgpaSuxHLSYu/view?usp=sharing" TargetMode="External"/><Relationship Id="rId39" Type="http://schemas.openxmlformats.org/officeDocument/2006/relationships/hyperlink" Target="https://www.moulinspharma.com/" TargetMode="External"/><Relationship Id="rId286" Type="http://schemas.openxmlformats.org/officeDocument/2006/relationships/hyperlink" Target="https://www.moulinspharma.com/" TargetMode="External"/><Relationship Id="rId451" Type="http://schemas.openxmlformats.org/officeDocument/2006/relationships/hyperlink" Target="https://drive.google.com/file/d/1UlhSSogciAswu0jBpVOTRN9NdhE7BDyk/view?usp=sharing" TargetMode="External"/><Relationship Id="rId493" Type="http://schemas.openxmlformats.org/officeDocument/2006/relationships/hyperlink" Target="https://drive.google.com/file/d/1TgVkHTPV2gyMlG5qDvm6TlIpNUcNnuSg/view?usp=sharing" TargetMode="External"/><Relationship Id="rId507" Type="http://schemas.openxmlformats.org/officeDocument/2006/relationships/hyperlink" Target="https://drive.google.com/file/d/1YK3RHaBz9bHueMiUG7ZCOUk5bVqqDO4v/view?usp=sharing" TargetMode="External"/><Relationship Id="rId549" Type="http://schemas.openxmlformats.org/officeDocument/2006/relationships/hyperlink" Target="https://drive.google.com/file/d/15SmoCVB_x6uwKM0GQkw-1OEoRn0F1eap/view?usp=sharing" TargetMode="External"/><Relationship Id="rId50" Type="http://schemas.openxmlformats.org/officeDocument/2006/relationships/hyperlink" Target="https://www.moulinspharma.com/" TargetMode="External"/><Relationship Id="rId104" Type="http://schemas.openxmlformats.org/officeDocument/2006/relationships/hyperlink" Target="https://www.moulinspharma.com/" TargetMode="External"/><Relationship Id="rId146" Type="http://schemas.openxmlformats.org/officeDocument/2006/relationships/hyperlink" Target="https://www.moulinspharma.com/" TargetMode="External"/><Relationship Id="rId188" Type="http://schemas.openxmlformats.org/officeDocument/2006/relationships/hyperlink" Target="https://www.moulinspharma.com/" TargetMode="External"/><Relationship Id="rId311" Type="http://schemas.openxmlformats.org/officeDocument/2006/relationships/hyperlink" Target="https://www.moulinspharma.com/" TargetMode="External"/><Relationship Id="rId353" Type="http://schemas.openxmlformats.org/officeDocument/2006/relationships/hyperlink" Target="https://www.moulinspharma.com/" TargetMode="External"/><Relationship Id="rId395" Type="http://schemas.openxmlformats.org/officeDocument/2006/relationships/hyperlink" Target="https://drive.google.com/file/d/1_TNndiY4sgjVbpfWuMfe04Bf9hQ7q3Ju/view?usp=sharing" TargetMode="External"/><Relationship Id="rId409" Type="http://schemas.openxmlformats.org/officeDocument/2006/relationships/hyperlink" Target="https://drive.google.com/file/d/1RNxgRnoPKGGEoKgLdjhNvegsVEy8w5jk/view?usp=sharing" TargetMode="External"/><Relationship Id="rId560" Type="http://schemas.openxmlformats.org/officeDocument/2006/relationships/hyperlink" Target="https://drive.google.com/file/d/11Tw6p12EukL99MkfTih0xbHeJeaPoZIC/view?usp=sharing" TargetMode="External"/><Relationship Id="rId92" Type="http://schemas.openxmlformats.org/officeDocument/2006/relationships/hyperlink" Target="https://www.moulinspharma.com/" TargetMode="External"/><Relationship Id="rId213" Type="http://schemas.openxmlformats.org/officeDocument/2006/relationships/hyperlink" Target="https://www.moulinspharma.com/" TargetMode="External"/><Relationship Id="rId420" Type="http://schemas.openxmlformats.org/officeDocument/2006/relationships/hyperlink" Target="https://drive.google.com/file/d/1pwHz0QTw4bNwVRYZHEqukyuwPQwnEKjc/view?usp=sharing" TargetMode="External"/><Relationship Id="rId616" Type="http://schemas.openxmlformats.org/officeDocument/2006/relationships/hyperlink" Target="https://drive.google.com/file/d/1XmeBTOi-jDk22uFK7CdV7skr9iS4xM3Q/view?usp=sharing" TargetMode="External"/><Relationship Id="rId658" Type="http://schemas.openxmlformats.org/officeDocument/2006/relationships/hyperlink" Target="https://drive.google.com/file/d/1A7a05gK4BaSYOG5GhxpS6rNFHjKMVR8f/view?usp=sharing" TargetMode="External"/><Relationship Id="rId255" Type="http://schemas.openxmlformats.org/officeDocument/2006/relationships/hyperlink" Target="https://www.moulinspharma.com/" TargetMode="External"/><Relationship Id="rId297" Type="http://schemas.openxmlformats.org/officeDocument/2006/relationships/hyperlink" Target="https://www.moulinspharma.com/" TargetMode="External"/><Relationship Id="rId462" Type="http://schemas.openxmlformats.org/officeDocument/2006/relationships/hyperlink" Target="https://drive.google.com/file/d/1AsGRzJkJ35BaOvEUUkHFwETGm37Zgg2_/view?usp=sharing" TargetMode="External"/><Relationship Id="rId518" Type="http://schemas.openxmlformats.org/officeDocument/2006/relationships/hyperlink" Target="https://drive.google.com/file/d/151H7B7eSYePwuZCQPmQ4pAQqwPgfQxKi/view?usp=sharing" TargetMode="External"/><Relationship Id="rId115" Type="http://schemas.openxmlformats.org/officeDocument/2006/relationships/hyperlink" Target="https://www.moulinspharma.com/" TargetMode="External"/><Relationship Id="rId157" Type="http://schemas.openxmlformats.org/officeDocument/2006/relationships/hyperlink" Target="https://www.moulinspharma.com/" TargetMode="External"/><Relationship Id="rId322" Type="http://schemas.openxmlformats.org/officeDocument/2006/relationships/hyperlink" Target="https://www.moulinspharma.com/" TargetMode="External"/><Relationship Id="rId364" Type="http://schemas.openxmlformats.org/officeDocument/2006/relationships/hyperlink" Target="https://www.moulinspharma.com/" TargetMode="External"/><Relationship Id="rId61" Type="http://schemas.openxmlformats.org/officeDocument/2006/relationships/hyperlink" Target="https://www.moulinspharma.com/" TargetMode="External"/><Relationship Id="rId199" Type="http://schemas.openxmlformats.org/officeDocument/2006/relationships/hyperlink" Target="https://www.moulinspharma.com/" TargetMode="External"/><Relationship Id="rId571" Type="http://schemas.openxmlformats.org/officeDocument/2006/relationships/hyperlink" Target="https://drive.google.com/file/d/1DpLaK96aDmvd1GEF1zoDH349RLA3vmlE/view?usp=sharing" TargetMode="External"/><Relationship Id="rId627" Type="http://schemas.openxmlformats.org/officeDocument/2006/relationships/hyperlink" Target="https://drive.google.com/file/d/1uLgojQjb45U_rVoGLCg5_XfUl_fKS1VU/view?usp=sharing" TargetMode="External"/><Relationship Id="rId669" Type="http://schemas.openxmlformats.org/officeDocument/2006/relationships/hyperlink" Target="https://drive.google.com/file/d/15UJYbc0fwlmkZ0b3jeRzELBPjtDWcyRN/view?usp=sharing" TargetMode="External"/><Relationship Id="rId19" Type="http://schemas.openxmlformats.org/officeDocument/2006/relationships/hyperlink" Target="https://www.moulinspharma.com/" TargetMode="External"/><Relationship Id="rId224" Type="http://schemas.openxmlformats.org/officeDocument/2006/relationships/hyperlink" Target="https://www.moulinspharma.com/" TargetMode="External"/><Relationship Id="rId266" Type="http://schemas.openxmlformats.org/officeDocument/2006/relationships/hyperlink" Target="https://www.moulinspharma.com/" TargetMode="External"/><Relationship Id="rId431" Type="http://schemas.openxmlformats.org/officeDocument/2006/relationships/hyperlink" Target="https://drive.google.com/file/d/1zuLviMGQr9EeqnEp41KnSOFm143mb2OI/view?usp=sharing" TargetMode="External"/><Relationship Id="rId473" Type="http://schemas.openxmlformats.org/officeDocument/2006/relationships/hyperlink" Target="https://drive.google.com/file/d/1Qryln85d8kpW7YaJdIdtoZO91Cjdx4Na/view?usp=sharing" TargetMode="External"/><Relationship Id="rId529" Type="http://schemas.openxmlformats.org/officeDocument/2006/relationships/hyperlink" Target="https://drive.google.com/file/d/1n4uTCaaekGK-4mCrRQj9TfVTW3m_4Okq/view?usp=sharing" TargetMode="External"/><Relationship Id="rId680" Type="http://schemas.openxmlformats.org/officeDocument/2006/relationships/hyperlink" Target="https://drive.google.com/file/d/1BGU6EryUtQt9jbs-rwEXfaWcHQAs2gEr/view?usp=sharing" TargetMode="External"/><Relationship Id="rId30" Type="http://schemas.openxmlformats.org/officeDocument/2006/relationships/hyperlink" Target="https://www.moulinspharma.com/" TargetMode="External"/><Relationship Id="rId126" Type="http://schemas.openxmlformats.org/officeDocument/2006/relationships/hyperlink" Target="https://www.moulinspharma.com/" TargetMode="External"/><Relationship Id="rId168" Type="http://schemas.openxmlformats.org/officeDocument/2006/relationships/hyperlink" Target="https://www.moulinspharma.com/" TargetMode="External"/><Relationship Id="rId333" Type="http://schemas.openxmlformats.org/officeDocument/2006/relationships/hyperlink" Target="https://www.moulinspharma.com/" TargetMode="External"/><Relationship Id="rId540" Type="http://schemas.openxmlformats.org/officeDocument/2006/relationships/hyperlink" Target="https://drive.google.com/file/d/1g52wIoVvudZDQvNujXyYnvQUQMjJublW/view?usp=sharing" TargetMode="External"/><Relationship Id="rId72" Type="http://schemas.openxmlformats.org/officeDocument/2006/relationships/hyperlink" Target="https://www.moulinspharma.com/" TargetMode="External"/><Relationship Id="rId375" Type="http://schemas.openxmlformats.org/officeDocument/2006/relationships/hyperlink" Target="https://www.moulinspharma.com/" TargetMode="External"/><Relationship Id="rId582" Type="http://schemas.openxmlformats.org/officeDocument/2006/relationships/hyperlink" Target="https://drive.google.com/file/d/1OHdXG_U1Udp1EUaHvui4dn9u10oRUoSO/view?usp=sharing" TargetMode="External"/><Relationship Id="rId638" Type="http://schemas.openxmlformats.org/officeDocument/2006/relationships/hyperlink" Target="https://drive.google.com/file/d/19hJuSYpAxrg9PLrwUPJbfBSncUuRiGEM/view?usp=sharing" TargetMode="External"/><Relationship Id="rId3" Type="http://schemas.openxmlformats.org/officeDocument/2006/relationships/hyperlink" Target="https://www.moulinspharma.com/" TargetMode="External"/><Relationship Id="rId235" Type="http://schemas.openxmlformats.org/officeDocument/2006/relationships/hyperlink" Target="https://www.moulinspharma.com/" TargetMode="External"/><Relationship Id="rId277" Type="http://schemas.openxmlformats.org/officeDocument/2006/relationships/hyperlink" Target="https://www.moulinspharma.com/" TargetMode="External"/><Relationship Id="rId400" Type="http://schemas.openxmlformats.org/officeDocument/2006/relationships/hyperlink" Target="https://drive.google.com/file/d/1FdamlJJZ9jl49nVcA-jgIEru7BPN4304/view?usp=sharing" TargetMode="External"/><Relationship Id="rId442" Type="http://schemas.openxmlformats.org/officeDocument/2006/relationships/hyperlink" Target="https://drive.google.com/file/d/1ika-AcuGEcG8jp70Gwyx4yEhbvJyHb0-/view?usp=sharing" TargetMode="External"/><Relationship Id="rId484" Type="http://schemas.openxmlformats.org/officeDocument/2006/relationships/hyperlink" Target="https://drive.google.com/file/d/1v4-l5KYVgTzeUNTu8gG9BVEj_9_4Y2aI/view?usp=sharing" TargetMode="External"/><Relationship Id="rId137" Type="http://schemas.openxmlformats.org/officeDocument/2006/relationships/hyperlink" Target="https://www.moulinspharma.com/" TargetMode="External"/><Relationship Id="rId302" Type="http://schemas.openxmlformats.org/officeDocument/2006/relationships/hyperlink" Target="https://www.moulinspharma.com/" TargetMode="External"/><Relationship Id="rId344" Type="http://schemas.openxmlformats.org/officeDocument/2006/relationships/hyperlink" Target="https://www.moulinspharma.com/" TargetMode="External"/><Relationship Id="rId691" Type="http://schemas.openxmlformats.org/officeDocument/2006/relationships/printerSettings" Target="../printerSettings/printerSettings1.bin"/><Relationship Id="rId41" Type="http://schemas.openxmlformats.org/officeDocument/2006/relationships/hyperlink" Target="https://www.moulinspharma.com/" TargetMode="External"/><Relationship Id="rId83" Type="http://schemas.openxmlformats.org/officeDocument/2006/relationships/hyperlink" Target="https://www.moulinspharma.com/" TargetMode="External"/><Relationship Id="rId179" Type="http://schemas.openxmlformats.org/officeDocument/2006/relationships/hyperlink" Target="https://www.moulinspharma.com/" TargetMode="External"/><Relationship Id="rId386" Type="http://schemas.openxmlformats.org/officeDocument/2006/relationships/hyperlink" Target="https://www.moulinspharma.com/" TargetMode="External"/><Relationship Id="rId551" Type="http://schemas.openxmlformats.org/officeDocument/2006/relationships/hyperlink" Target="https://drive.google.com/file/d/1eHyyL6l4lfrdpabK6YzVpC1V4fWgkxYk/view?usp=sharing" TargetMode="External"/><Relationship Id="rId593" Type="http://schemas.openxmlformats.org/officeDocument/2006/relationships/hyperlink" Target="https://drive.google.com/file/d/1ZW5dZrxdxqbAPLVOVv73tS1kKV660KUo/view?usp=sharing" TargetMode="External"/><Relationship Id="rId607" Type="http://schemas.openxmlformats.org/officeDocument/2006/relationships/hyperlink" Target="https://drive.google.com/file/d/1bICu-nJ09Z2Hfb1xwnLWVL5XTpIIRQ9L/view?usp=sharing" TargetMode="External"/><Relationship Id="rId649" Type="http://schemas.openxmlformats.org/officeDocument/2006/relationships/hyperlink" Target="https://drive.google.com/file/d/1MhsxTTdix4YO1ajMLMzoTtTFl13lhq4H/view?usp=sharing" TargetMode="External"/><Relationship Id="rId190" Type="http://schemas.openxmlformats.org/officeDocument/2006/relationships/hyperlink" Target="https://www.moulinspharma.com/" TargetMode="External"/><Relationship Id="rId204" Type="http://schemas.openxmlformats.org/officeDocument/2006/relationships/hyperlink" Target="https://www.moulinspharma.com/" TargetMode="External"/><Relationship Id="rId246" Type="http://schemas.openxmlformats.org/officeDocument/2006/relationships/hyperlink" Target="https://www.moulinspharma.com/" TargetMode="External"/><Relationship Id="rId288" Type="http://schemas.openxmlformats.org/officeDocument/2006/relationships/hyperlink" Target="https://www.moulinspharma.com/" TargetMode="External"/><Relationship Id="rId411" Type="http://schemas.openxmlformats.org/officeDocument/2006/relationships/hyperlink" Target="https://drive.google.com/file/d/15hmBbuq_m2gztW1GUp5sGyq7HhEoKekm/view?usp=sharing" TargetMode="External"/><Relationship Id="rId453" Type="http://schemas.openxmlformats.org/officeDocument/2006/relationships/hyperlink" Target="https://drive.google.com/file/d/18Wg_ozbo3djq819ixDK9wMPY5b3ybIkv/view?usp=sharing" TargetMode="External"/><Relationship Id="rId509" Type="http://schemas.openxmlformats.org/officeDocument/2006/relationships/hyperlink" Target="https://drive.google.com/file/d/1QRkQoMrIyrDbaBMwFAAOP6sQs1Tl1I8l/view?usp=sharing" TargetMode="External"/><Relationship Id="rId660" Type="http://schemas.openxmlformats.org/officeDocument/2006/relationships/hyperlink" Target="https://drive.google.com/file/d/1mSBC8l4goIF5rOMKlyOLg-7lc5tH6I8S/view?usp=sharing" TargetMode="External"/><Relationship Id="rId106" Type="http://schemas.openxmlformats.org/officeDocument/2006/relationships/hyperlink" Target="https://www.moulinspharma.com/" TargetMode="External"/><Relationship Id="rId313" Type="http://schemas.openxmlformats.org/officeDocument/2006/relationships/hyperlink" Target="https://www.moulinspharma.com/" TargetMode="External"/><Relationship Id="rId495" Type="http://schemas.openxmlformats.org/officeDocument/2006/relationships/hyperlink" Target="https://drive.google.com/file/d/1BGyHLbK4Axp1K0cucODoVrZfw9clF27c/view?usp=sharing" TargetMode="External"/><Relationship Id="rId10" Type="http://schemas.openxmlformats.org/officeDocument/2006/relationships/hyperlink" Target="https://www.moulinspharma.com/" TargetMode="External"/><Relationship Id="rId52" Type="http://schemas.openxmlformats.org/officeDocument/2006/relationships/hyperlink" Target="https://www.moulinspharma.com/" TargetMode="External"/><Relationship Id="rId94" Type="http://schemas.openxmlformats.org/officeDocument/2006/relationships/hyperlink" Target="https://www.moulinspharma.com/" TargetMode="External"/><Relationship Id="rId148" Type="http://schemas.openxmlformats.org/officeDocument/2006/relationships/hyperlink" Target="https://www.moulinspharma.com/" TargetMode="External"/><Relationship Id="rId355" Type="http://schemas.openxmlformats.org/officeDocument/2006/relationships/hyperlink" Target="https://www.moulinspharma.com/" TargetMode="External"/><Relationship Id="rId397" Type="http://schemas.openxmlformats.org/officeDocument/2006/relationships/hyperlink" Target="https://drive.google.com/file/d/1nIZk1epQ3LTjJOVBl08wSHD-5BtG8dYJ/view?usp=sharing" TargetMode="External"/><Relationship Id="rId520" Type="http://schemas.openxmlformats.org/officeDocument/2006/relationships/hyperlink" Target="https://drive.google.com/file/d/1Ot21Yuv0Xclxce4tSxMnd8WoKFvKqDl5/view?usp=sharing" TargetMode="External"/><Relationship Id="rId562" Type="http://schemas.openxmlformats.org/officeDocument/2006/relationships/hyperlink" Target="https://drive.google.com/file/d/1S1wG_IVOrpXVAUedLPFxCwcRU6ijoE20/view?usp=sharing" TargetMode="External"/><Relationship Id="rId618" Type="http://schemas.openxmlformats.org/officeDocument/2006/relationships/hyperlink" Target="https://drive.google.com/file/d/14xPLn9JEZ-m-2bVYZ7X0vGfPBa30Fv15/view?usp=sharing" TargetMode="External"/><Relationship Id="rId215" Type="http://schemas.openxmlformats.org/officeDocument/2006/relationships/hyperlink" Target="https://www.moulinspharma.com/" TargetMode="External"/><Relationship Id="rId257" Type="http://schemas.openxmlformats.org/officeDocument/2006/relationships/hyperlink" Target="https://www.moulinspharma.com/" TargetMode="External"/><Relationship Id="rId422" Type="http://schemas.openxmlformats.org/officeDocument/2006/relationships/hyperlink" Target="https://drive.google.com/file/d/1jEfCZpnxTWfErr0iKO9Wc89t9mQdXv1O/view?usp=sharing" TargetMode="External"/><Relationship Id="rId464" Type="http://schemas.openxmlformats.org/officeDocument/2006/relationships/hyperlink" Target="https://drive.google.com/file/d/1V_IYoSdVxMsUUe9evHXxIZYRn4d-tkw5/view?usp=sharing" TargetMode="External"/><Relationship Id="rId299" Type="http://schemas.openxmlformats.org/officeDocument/2006/relationships/hyperlink" Target="https://www.moulinspharma.com/" TargetMode="External"/><Relationship Id="rId63" Type="http://schemas.openxmlformats.org/officeDocument/2006/relationships/hyperlink" Target="https://www.moulinspharma.com/" TargetMode="External"/><Relationship Id="rId159" Type="http://schemas.openxmlformats.org/officeDocument/2006/relationships/hyperlink" Target="https://www.moulinspharma.com/" TargetMode="External"/><Relationship Id="rId366" Type="http://schemas.openxmlformats.org/officeDocument/2006/relationships/hyperlink" Target="https://www.moulinspharma.com/" TargetMode="External"/><Relationship Id="rId573" Type="http://schemas.openxmlformats.org/officeDocument/2006/relationships/hyperlink" Target="https://drive.google.com/file/d/1-5ffiSLsyZcZeXBfTGUxVlwOJq9GR3_A/view?usp=sharing" TargetMode="External"/><Relationship Id="rId226" Type="http://schemas.openxmlformats.org/officeDocument/2006/relationships/hyperlink" Target="https://www.moulinspharma.com/" TargetMode="External"/><Relationship Id="rId433" Type="http://schemas.openxmlformats.org/officeDocument/2006/relationships/hyperlink" Target="https://drive.google.com/file/d/1X6kR03RHmAa0ow47J4sdFaPrDSfTEKDJ/view?usp=sharing" TargetMode="External"/><Relationship Id="rId640" Type="http://schemas.openxmlformats.org/officeDocument/2006/relationships/hyperlink" Target="https://drive.google.com/file/d/1wttpkbFaYG2E_QgVtCtqgbp7yvM0YzqJ/view?usp=sharing" TargetMode="External"/><Relationship Id="rId74" Type="http://schemas.openxmlformats.org/officeDocument/2006/relationships/hyperlink" Target="https://www.moulinspharma.com/" TargetMode="External"/><Relationship Id="rId377" Type="http://schemas.openxmlformats.org/officeDocument/2006/relationships/hyperlink" Target="https://www.moulinspharma.com/" TargetMode="External"/><Relationship Id="rId500" Type="http://schemas.openxmlformats.org/officeDocument/2006/relationships/hyperlink" Target="https://drive.google.com/file/d/1sKBR8ymM_3cxhYyqpHg4TB8S-Auj4hSB/view?usp=sharing" TargetMode="External"/><Relationship Id="rId584" Type="http://schemas.openxmlformats.org/officeDocument/2006/relationships/hyperlink" Target="https://drive.google.com/file/d/1ZyqJ-iTKNpoWtYldy9gQXvzQc2c38Zq-/view?usp=sharing" TargetMode="External"/><Relationship Id="rId5" Type="http://schemas.openxmlformats.org/officeDocument/2006/relationships/hyperlink" Target="https://www.moulinspharma.com/" TargetMode="External"/><Relationship Id="rId237" Type="http://schemas.openxmlformats.org/officeDocument/2006/relationships/hyperlink" Target="https://www.moulinspharma.com/" TargetMode="External"/><Relationship Id="rId444" Type="http://schemas.openxmlformats.org/officeDocument/2006/relationships/hyperlink" Target="https://drive.google.com/file/d/1D1y3orPGM7tG_qlJNMdC6hy2QZOKblFM/view?usp=sharing" TargetMode="External"/><Relationship Id="rId651" Type="http://schemas.openxmlformats.org/officeDocument/2006/relationships/hyperlink" Target="https://drive.google.com/file/d/1TNjO-7aZSF1HDNITv0vZok1uGO4ghwxh/view?usp=sharing" TargetMode="External"/><Relationship Id="rId290" Type="http://schemas.openxmlformats.org/officeDocument/2006/relationships/hyperlink" Target="https://www.moulinspharma.com/" TargetMode="External"/><Relationship Id="rId304" Type="http://schemas.openxmlformats.org/officeDocument/2006/relationships/hyperlink" Target="https://www.moulinspharma.com/" TargetMode="External"/><Relationship Id="rId388" Type="http://schemas.openxmlformats.org/officeDocument/2006/relationships/hyperlink" Target="https://www.moulinspharma.com/" TargetMode="External"/><Relationship Id="rId511" Type="http://schemas.openxmlformats.org/officeDocument/2006/relationships/hyperlink" Target="https://drive.google.com/file/d/1JxWfMnygYa_KDjH-CO-2ec-peFRuoF4o/view?usp=sharing" TargetMode="External"/><Relationship Id="rId609" Type="http://schemas.openxmlformats.org/officeDocument/2006/relationships/hyperlink" Target="https://drive.google.com/file/d/1bwsnEvhE-207-eqJ-qLyTPMDDyKQj-y2/view?usp=sharing" TargetMode="External"/><Relationship Id="rId85" Type="http://schemas.openxmlformats.org/officeDocument/2006/relationships/hyperlink" Target="https://www.moulinspharma.com/" TargetMode="External"/><Relationship Id="rId150" Type="http://schemas.openxmlformats.org/officeDocument/2006/relationships/hyperlink" Target="https://www.moulinspharma.com/" TargetMode="External"/><Relationship Id="rId595" Type="http://schemas.openxmlformats.org/officeDocument/2006/relationships/hyperlink" Target="https://drive.google.com/file/d/1k9XJsn1Js24-g0kzXJblO9WvMHsGS0Pf/view?usp=sharing" TargetMode="External"/><Relationship Id="rId248" Type="http://schemas.openxmlformats.org/officeDocument/2006/relationships/hyperlink" Target="https://www.moulinspharma.com/" TargetMode="External"/><Relationship Id="rId455" Type="http://schemas.openxmlformats.org/officeDocument/2006/relationships/hyperlink" Target="https://drive.google.com/file/d/1n0IKK-7RPkaRAVl2kUuM1uw8uAeF9c_f/view?usp=sharing" TargetMode="External"/><Relationship Id="rId662" Type="http://schemas.openxmlformats.org/officeDocument/2006/relationships/hyperlink" Target="https://drive.google.com/file/d/13hFxPMFvuLughNhPrp1Cq7rVbqz1Nnd9/view?usp=sharing" TargetMode="External"/><Relationship Id="rId12" Type="http://schemas.openxmlformats.org/officeDocument/2006/relationships/hyperlink" Target="https://www.moulinspharma.com/" TargetMode="External"/><Relationship Id="rId108" Type="http://schemas.openxmlformats.org/officeDocument/2006/relationships/hyperlink" Target="https://www.moulinspharma.com/" TargetMode="External"/><Relationship Id="rId315" Type="http://schemas.openxmlformats.org/officeDocument/2006/relationships/hyperlink" Target="https://www.moulinspharma.com/" TargetMode="External"/><Relationship Id="rId522" Type="http://schemas.openxmlformats.org/officeDocument/2006/relationships/hyperlink" Target="https://drive.google.com/file/d/18g4SKukVwoXHAldSkxIGNb44bvQS8iWA/view?usp=sharing" TargetMode="External"/><Relationship Id="rId96" Type="http://schemas.openxmlformats.org/officeDocument/2006/relationships/hyperlink" Target="https://www.moulinspharma.com/" TargetMode="External"/><Relationship Id="rId161" Type="http://schemas.openxmlformats.org/officeDocument/2006/relationships/hyperlink" Target="https://www.moulinspharma.com/" TargetMode="External"/><Relationship Id="rId399" Type="http://schemas.openxmlformats.org/officeDocument/2006/relationships/hyperlink" Target="https://drive.google.com/file/d/1oEVeVmdR-T2nQz225C2k2SgaS8KPbT9G/view?usp=sharing" TargetMode="External"/><Relationship Id="rId259" Type="http://schemas.openxmlformats.org/officeDocument/2006/relationships/hyperlink" Target="https://www.moulinspharma.com/" TargetMode="External"/><Relationship Id="rId466" Type="http://schemas.openxmlformats.org/officeDocument/2006/relationships/hyperlink" Target="https://drive.google.com/file/d/1_h4J9SNfzdqyLJhBPzYFT3OxDAYvZGP-/view?usp=sharing" TargetMode="External"/><Relationship Id="rId673" Type="http://schemas.openxmlformats.org/officeDocument/2006/relationships/hyperlink" Target="https://drive.google.com/file/d/14xt1F1uDoUOQ7VbRjSEuzOJBSRDHVtjl/view?usp=sharing" TargetMode="External"/><Relationship Id="rId23" Type="http://schemas.openxmlformats.org/officeDocument/2006/relationships/hyperlink" Target="https://www.moulinspharma.com/" TargetMode="External"/><Relationship Id="rId119" Type="http://schemas.openxmlformats.org/officeDocument/2006/relationships/hyperlink" Target="https://www.moulinspharma.com/" TargetMode="External"/><Relationship Id="rId326" Type="http://schemas.openxmlformats.org/officeDocument/2006/relationships/hyperlink" Target="https://www.moulinspharma.com/" TargetMode="External"/><Relationship Id="rId533" Type="http://schemas.openxmlformats.org/officeDocument/2006/relationships/hyperlink" Target="https://drive.google.com/file/d/1saefqa77pFFnieuyvtd_WiF8HBAGj-rm/view?usp=sharing" TargetMode="External"/><Relationship Id="rId172" Type="http://schemas.openxmlformats.org/officeDocument/2006/relationships/hyperlink" Target="https://www.moulinspharma.com/" TargetMode="External"/><Relationship Id="rId477" Type="http://schemas.openxmlformats.org/officeDocument/2006/relationships/hyperlink" Target="https://drive.google.com/file/d/1-N6FId0D6ewLUaLO2f8016MXRfV-JTyU/view?usp=sharing" TargetMode="External"/><Relationship Id="rId600" Type="http://schemas.openxmlformats.org/officeDocument/2006/relationships/hyperlink" Target="https://drive.google.com/file/d/1PvzWSpMC9C104-32lWFW8kpAa4E_rL2w/view?usp=sharing" TargetMode="External"/><Relationship Id="rId684" Type="http://schemas.openxmlformats.org/officeDocument/2006/relationships/hyperlink" Target="https://drive.google.com/file/d/1QbYnmkVqZbJy-HqXhPFD0EmUMp5JWeZd/view?usp=sharing" TargetMode="External"/><Relationship Id="rId337" Type="http://schemas.openxmlformats.org/officeDocument/2006/relationships/hyperlink" Target="https://www.moulinspharma.com/" TargetMode="External"/><Relationship Id="rId34" Type="http://schemas.openxmlformats.org/officeDocument/2006/relationships/hyperlink" Target="https://www.moulinspharma.com/" TargetMode="External"/><Relationship Id="rId544" Type="http://schemas.openxmlformats.org/officeDocument/2006/relationships/hyperlink" Target="https://drive.google.com/file/d/1pdCXuk3NZAPQov00WqtrK5eHsLPIXfI9/view?usp=sharing" TargetMode="External"/><Relationship Id="rId183" Type="http://schemas.openxmlformats.org/officeDocument/2006/relationships/hyperlink" Target="https://www.moulinspharma.com/" TargetMode="External"/><Relationship Id="rId390" Type="http://schemas.openxmlformats.org/officeDocument/2006/relationships/hyperlink" Target="https://drive.google.com/file/d/1DoFLr5QpKEhjqqS01eXnwV9cs7bFR7V_/view?usp=sharing" TargetMode="External"/><Relationship Id="rId404" Type="http://schemas.openxmlformats.org/officeDocument/2006/relationships/hyperlink" Target="https://drive.google.com/file/d/1AlP7FoNZSfkJAqh2IsJf-V1Dw_OgWc0D/view?usp=sharing" TargetMode="External"/><Relationship Id="rId611" Type="http://schemas.openxmlformats.org/officeDocument/2006/relationships/hyperlink" Target="https://drive.google.com/file/d/1n1AK1luqRCkyDL4kV4RdWiSoMZr6vxfd/view?usp=sharing" TargetMode="External"/><Relationship Id="rId250" Type="http://schemas.openxmlformats.org/officeDocument/2006/relationships/hyperlink" Target="https://www.moulinspharma.com/" TargetMode="External"/><Relationship Id="rId488" Type="http://schemas.openxmlformats.org/officeDocument/2006/relationships/hyperlink" Target="https://drive.google.com/file/d/12pQb0ujHmaDdbOv3YR-ycnDNrgzjFH17/view?usp=sharing" TargetMode="External"/><Relationship Id="rId45" Type="http://schemas.openxmlformats.org/officeDocument/2006/relationships/hyperlink" Target="https://www.moulinspharma.com/" TargetMode="External"/><Relationship Id="rId110" Type="http://schemas.openxmlformats.org/officeDocument/2006/relationships/hyperlink" Target="https://www.moulinspharma.com/" TargetMode="External"/><Relationship Id="rId348" Type="http://schemas.openxmlformats.org/officeDocument/2006/relationships/hyperlink" Target="https://www.moulinspharma.com/" TargetMode="External"/><Relationship Id="rId555" Type="http://schemas.openxmlformats.org/officeDocument/2006/relationships/hyperlink" Target="https://drive.google.com/file/d/1v27_wS9lifKu_cJI48iD9P6HlcQjE1g3/view?usp=sharing" TargetMode="External"/><Relationship Id="rId194" Type="http://schemas.openxmlformats.org/officeDocument/2006/relationships/hyperlink" Target="https://www.moulinspharma.com/" TargetMode="External"/><Relationship Id="rId208" Type="http://schemas.openxmlformats.org/officeDocument/2006/relationships/hyperlink" Target="https://www.moulinspharma.com/" TargetMode="External"/><Relationship Id="rId415" Type="http://schemas.openxmlformats.org/officeDocument/2006/relationships/hyperlink" Target="https://drive.google.com/file/d/1yLFBLfPESDpBaHq5xBJkKg0e8_w_pgux/view?usp=sharing" TargetMode="External"/><Relationship Id="rId622" Type="http://schemas.openxmlformats.org/officeDocument/2006/relationships/hyperlink" Target="https://drive.google.com/file/d/1mPVP6nFCRPo3VMRLknaFQx66oyD6kw5S/view?usp=sharing" TargetMode="External"/><Relationship Id="rId261" Type="http://schemas.openxmlformats.org/officeDocument/2006/relationships/hyperlink" Target="https://www.moulinspharma.com/" TargetMode="External"/><Relationship Id="rId499" Type="http://schemas.openxmlformats.org/officeDocument/2006/relationships/hyperlink" Target="https://drive.google.com/file/d/1RcZwVETR9MB4Hsse7qqykSIFPyG4xXfZ/view?usp=sharing" TargetMode="External"/><Relationship Id="rId56" Type="http://schemas.openxmlformats.org/officeDocument/2006/relationships/hyperlink" Target="https://www.moulinspharma.com/" TargetMode="External"/><Relationship Id="rId359" Type="http://schemas.openxmlformats.org/officeDocument/2006/relationships/hyperlink" Target="https://www.moulinspharma.com/" TargetMode="External"/><Relationship Id="rId566" Type="http://schemas.openxmlformats.org/officeDocument/2006/relationships/hyperlink" Target="https://drive.google.com/file/d/1s2ki8S_WZ6A9akdc4odDADi-sAh7f02D/view?usp=sharing" TargetMode="External"/><Relationship Id="rId121" Type="http://schemas.openxmlformats.org/officeDocument/2006/relationships/hyperlink" Target="https://www.moulinspharma.com/" TargetMode="External"/><Relationship Id="rId219" Type="http://schemas.openxmlformats.org/officeDocument/2006/relationships/hyperlink" Target="https://www.moulinspharma.com/" TargetMode="External"/><Relationship Id="rId426" Type="http://schemas.openxmlformats.org/officeDocument/2006/relationships/hyperlink" Target="https://drive.google.com/file/d/17P92N9H1-V7A3xBaYCNnrW7cfvmAemvr/view?usp=sharing" TargetMode="External"/><Relationship Id="rId633" Type="http://schemas.openxmlformats.org/officeDocument/2006/relationships/hyperlink" Target="https://drive.google.com/file/d/1i12UyJeNeW_qjzs3sS0JZWDwDsNte1to/view?usp=sharing" TargetMode="External"/><Relationship Id="rId67" Type="http://schemas.openxmlformats.org/officeDocument/2006/relationships/hyperlink" Target="https://www.moulinspharma.com/" TargetMode="External"/><Relationship Id="rId272" Type="http://schemas.openxmlformats.org/officeDocument/2006/relationships/hyperlink" Target="https://www.moulinspharma.com/" TargetMode="External"/><Relationship Id="rId577" Type="http://schemas.openxmlformats.org/officeDocument/2006/relationships/hyperlink" Target="https://drive.google.com/file/d/144jSfLnxrp3HGx6v7R0iDbbhFHIuBcID/view?usp=sharing" TargetMode="External"/><Relationship Id="rId132" Type="http://schemas.openxmlformats.org/officeDocument/2006/relationships/hyperlink" Target="https://www.moulinspharma.com/" TargetMode="External"/><Relationship Id="rId437" Type="http://schemas.openxmlformats.org/officeDocument/2006/relationships/hyperlink" Target="https://drive.google.com/file/d/1m2dcCA2O-rPS6M9F_dafwJrtikHcipzl/view?usp=sharing" TargetMode="External"/><Relationship Id="rId644" Type="http://schemas.openxmlformats.org/officeDocument/2006/relationships/hyperlink" Target="https://drive.google.com/file/d/1mNxZFKdHdpvD9r2MEGVhUDi8bG5N_5te/view?usp=sharing" TargetMode="External"/><Relationship Id="rId283" Type="http://schemas.openxmlformats.org/officeDocument/2006/relationships/hyperlink" Target="https://www.moulinspharma.com/" TargetMode="External"/><Relationship Id="rId490" Type="http://schemas.openxmlformats.org/officeDocument/2006/relationships/hyperlink" Target="https://drive.google.com/file/d/1z1rhJEiqWMWX7rYU4zHYTRY-1ZgcPB1W/view?usp=sharing" TargetMode="External"/><Relationship Id="rId504" Type="http://schemas.openxmlformats.org/officeDocument/2006/relationships/hyperlink" Target="https://drive.google.com/file/d/1xG0TliiyesME_sit5s7z8VZSDWdRVKly/view?usp=sharing" TargetMode="External"/><Relationship Id="rId78" Type="http://schemas.openxmlformats.org/officeDocument/2006/relationships/hyperlink" Target="https://www.moulinspharma.com/" TargetMode="External"/><Relationship Id="rId143" Type="http://schemas.openxmlformats.org/officeDocument/2006/relationships/hyperlink" Target="https://www.moulinspharma.com/" TargetMode="External"/><Relationship Id="rId350" Type="http://schemas.openxmlformats.org/officeDocument/2006/relationships/hyperlink" Target="https://www.moulinspharma.com/" TargetMode="External"/><Relationship Id="rId588" Type="http://schemas.openxmlformats.org/officeDocument/2006/relationships/hyperlink" Target="https://drive.google.com/file/d/1svo87GJ7TkGKnoGUF_w-fGG8ksoZlVqI/view?usp=sharing" TargetMode="External"/><Relationship Id="rId9" Type="http://schemas.openxmlformats.org/officeDocument/2006/relationships/hyperlink" Target="https://www.moulinspharma.com/" TargetMode="External"/><Relationship Id="rId210" Type="http://schemas.openxmlformats.org/officeDocument/2006/relationships/hyperlink" Target="https://www.moulinspharma.com/" TargetMode="External"/><Relationship Id="rId448" Type="http://schemas.openxmlformats.org/officeDocument/2006/relationships/hyperlink" Target="https://drive.google.com/file/d/1008I2X3LeME18I0BnSNv8IuH4jFwxi0o/view?usp=sharing" TargetMode="External"/><Relationship Id="rId655" Type="http://schemas.openxmlformats.org/officeDocument/2006/relationships/hyperlink" Target="https://drive.google.com/file/d/1LxQXDF-F9alxe9q-R1Sw4P5fxWd-Cr63/view?usp=sharing" TargetMode="External"/><Relationship Id="rId294" Type="http://schemas.openxmlformats.org/officeDocument/2006/relationships/hyperlink" Target="https://www.moulinspharma.com/" TargetMode="External"/><Relationship Id="rId308" Type="http://schemas.openxmlformats.org/officeDocument/2006/relationships/hyperlink" Target="https://www.moulinspharma.com/" TargetMode="External"/><Relationship Id="rId515" Type="http://schemas.openxmlformats.org/officeDocument/2006/relationships/hyperlink" Target="https://drive.google.com/file/d/1-ONIP6Nj3Pmnz17xjE2BJmlNWv42mYSx/view?usp=sharing" TargetMode="External"/><Relationship Id="rId89" Type="http://schemas.openxmlformats.org/officeDocument/2006/relationships/hyperlink" Target="https://www.moulinspharma.com/" TargetMode="External"/><Relationship Id="rId154" Type="http://schemas.openxmlformats.org/officeDocument/2006/relationships/hyperlink" Target="https://www.moulinspharma.com/" TargetMode="External"/><Relationship Id="rId361" Type="http://schemas.openxmlformats.org/officeDocument/2006/relationships/hyperlink" Target="https://www.moulinspharma.com/" TargetMode="External"/><Relationship Id="rId599" Type="http://schemas.openxmlformats.org/officeDocument/2006/relationships/hyperlink" Target="https://drive.google.com/file/d/1WVvaOD8x7pGQ6aQXTNAtlP8ZZOyaj6-n/view?usp=sharing" TargetMode="External"/><Relationship Id="rId459" Type="http://schemas.openxmlformats.org/officeDocument/2006/relationships/hyperlink" Target="https://drive.google.com/file/d/1rPbrbIq4bQWvNLtHBBm8j0p06a6fPgs0/view?usp=sharing" TargetMode="External"/><Relationship Id="rId666" Type="http://schemas.openxmlformats.org/officeDocument/2006/relationships/hyperlink" Target="https://drive.google.com/file/d/1wOA3sOWMbFa9bhptiHk6C06vT03uzYPx/view?usp=sharing" TargetMode="External"/><Relationship Id="rId16" Type="http://schemas.openxmlformats.org/officeDocument/2006/relationships/hyperlink" Target="https://www.moulinspharma.com/" TargetMode="External"/><Relationship Id="rId221" Type="http://schemas.openxmlformats.org/officeDocument/2006/relationships/hyperlink" Target="https://www.moulinspharma.com/" TargetMode="External"/><Relationship Id="rId319" Type="http://schemas.openxmlformats.org/officeDocument/2006/relationships/hyperlink" Target="https://www.moulinspharma.com/" TargetMode="External"/><Relationship Id="rId526" Type="http://schemas.openxmlformats.org/officeDocument/2006/relationships/hyperlink" Target="https://drive.google.com/file/d/1BXDBuwqxKJi5pU0egHWy_6L5G9T3b-fx/view?usp=sharing" TargetMode="External"/><Relationship Id="rId165" Type="http://schemas.openxmlformats.org/officeDocument/2006/relationships/hyperlink" Target="https://www.moulinspharma.com/" TargetMode="External"/><Relationship Id="rId372" Type="http://schemas.openxmlformats.org/officeDocument/2006/relationships/hyperlink" Target="https://www.moulinspharma.com/" TargetMode="External"/><Relationship Id="rId677" Type="http://schemas.openxmlformats.org/officeDocument/2006/relationships/hyperlink" Target="https://drive.google.com/file/d/1_zMuGnvCXVLO5DrNnssqrCQ3jpQPqvFe/view?usp=sharing" TargetMode="External"/><Relationship Id="rId232" Type="http://schemas.openxmlformats.org/officeDocument/2006/relationships/hyperlink" Target="https://www.moulinspharma.com/" TargetMode="External"/><Relationship Id="rId27" Type="http://schemas.openxmlformats.org/officeDocument/2006/relationships/hyperlink" Target="https://www.moulinspharma.com/" TargetMode="External"/><Relationship Id="rId537" Type="http://schemas.openxmlformats.org/officeDocument/2006/relationships/hyperlink" Target="https://drive.google.com/file/d/1AVO9cUDc-d3_msyQr_gIvy9nynQcMr2o/view?usp=sharing" TargetMode="External"/><Relationship Id="rId80" Type="http://schemas.openxmlformats.org/officeDocument/2006/relationships/hyperlink" Target="https://www.moulinspharma.com/" TargetMode="External"/><Relationship Id="rId176" Type="http://schemas.openxmlformats.org/officeDocument/2006/relationships/hyperlink" Target="https://www.moulinspharma.com/" TargetMode="External"/><Relationship Id="rId383" Type="http://schemas.openxmlformats.org/officeDocument/2006/relationships/hyperlink" Target="https://www.moulinspharma.com/" TargetMode="External"/><Relationship Id="rId590" Type="http://schemas.openxmlformats.org/officeDocument/2006/relationships/hyperlink" Target="https://drive.google.com/file/d/1upIuo8EWtFgBG6vqHfPe_trrC7V3MBW_/view?usp=sharing" TargetMode="External"/><Relationship Id="rId604" Type="http://schemas.openxmlformats.org/officeDocument/2006/relationships/hyperlink" Target="https://drive.google.com/file/d/1sGefug0vWQ25N3cBY0e8_kdjX_COGF4w/view?usp=sharing" TargetMode="External"/><Relationship Id="rId243" Type="http://schemas.openxmlformats.org/officeDocument/2006/relationships/hyperlink" Target="https://www.moulinspharma.com/" TargetMode="External"/><Relationship Id="rId450" Type="http://schemas.openxmlformats.org/officeDocument/2006/relationships/hyperlink" Target="https://drive.google.com/file/d/140i0oPnW6yTE3VtJQc0KkscQkWtXOMgA/view?usp=sharing" TargetMode="External"/><Relationship Id="rId688" Type="http://schemas.openxmlformats.org/officeDocument/2006/relationships/hyperlink" Target="https://drive.google.com/file/d/1BUf2DsSahqxvU3uTjmJ6q0PWJo0XBSFP/view?usp=sharing" TargetMode="External"/><Relationship Id="rId38" Type="http://schemas.openxmlformats.org/officeDocument/2006/relationships/hyperlink" Target="https://www.moulinspharma.com/" TargetMode="External"/><Relationship Id="rId103" Type="http://schemas.openxmlformats.org/officeDocument/2006/relationships/hyperlink" Target="https://www.moulinspharma.com/" TargetMode="External"/><Relationship Id="rId310" Type="http://schemas.openxmlformats.org/officeDocument/2006/relationships/hyperlink" Target="https://www.moulinspharma.com/" TargetMode="External"/><Relationship Id="rId548" Type="http://schemas.openxmlformats.org/officeDocument/2006/relationships/hyperlink" Target="https://drive.google.com/file/d/1PJaYPITpb6g1Akz0H7o--9KjGqJ6JqXp/view?usp=sharing" TargetMode="External"/><Relationship Id="rId91" Type="http://schemas.openxmlformats.org/officeDocument/2006/relationships/hyperlink" Target="https://www.moulinspharma.com/" TargetMode="External"/><Relationship Id="rId187" Type="http://schemas.openxmlformats.org/officeDocument/2006/relationships/hyperlink" Target="https://www.moulinspharma.com/" TargetMode="External"/><Relationship Id="rId394" Type="http://schemas.openxmlformats.org/officeDocument/2006/relationships/hyperlink" Target="https://drive.google.com/file/d/19gERGkUhlrhaOLIbh5UBYKjRyjyrIgtr/view?usp=sharing" TargetMode="External"/><Relationship Id="rId408" Type="http://schemas.openxmlformats.org/officeDocument/2006/relationships/hyperlink" Target="https://drive.google.com/file/d/1C27d027kFPyIdzkaObOa-U8-PZiEFymO/view?usp=sharing" TargetMode="External"/><Relationship Id="rId615" Type="http://schemas.openxmlformats.org/officeDocument/2006/relationships/hyperlink" Target="https://drive.google.com/file/d/1lURxvOm6Z_QNCRGWzsgVFMQ8mVtZtN2U/view?usp=sharing" TargetMode="External"/><Relationship Id="rId254" Type="http://schemas.openxmlformats.org/officeDocument/2006/relationships/hyperlink" Target="https://www.moulinspharma.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BC998"/>
  <sheetViews>
    <sheetView tabSelected="1" zoomScale="110" zoomScaleNormal="110" workbookViewId="0">
      <pane xSplit="3" ySplit="2" topLeftCell="AA3" activePane="bottomRight" state="frozen"/>
      <selection pane="topRight" activeCell="D1" sqref="D1"/>
      <selection pane="bottomLeft" activeCell="A3" sqref="A3"/>
      <selection pane="bottomRight" activeCell="AD44" sqref="AD44"/>
    </sheetView>
  </sheetViews>
  <sheetFormatPr defaultColWidth="14.41796875" defaultRowHeight="15" customHeight="1"/>
  <cols>
    <col min="1" max="1" width="13.578125" customWidth="1"/>
    <col min="2" max="2" width="23.15625" customWidth="1"/>
    <col min="3" max="3" width="41" customWidth="1"/>
    <col min="4" max="4" width="36.83984375" customWidth="1"/>
    <col min="5" max="5" width="26.83984375" customWidth="1"/>
    <col min="6" max="6" width="63.26171875" customWidth="1"/>
    <col min="7" max="7" width="33.26171875" customWidth="1"/>
    <col min="8" max="9" width="19.15625" customWidth="1"/>
    <col min="10" max="10" width="17.26171875" customWidth="1"/>
    <col min="11" max="15" width="13.578125" customWidth="1"/>
    <col min="16" max="16" width="4.578125" customWidth="1"/>
    <col min="17" max="17" width="14.83984375" customWidth="1"/>
    <col min="18" max="23" width="13.578125" customWidth="1"/>
    <col min="24" max="24" width="28" customWidth="1"/>
    <col min="25" max="25" width="59.41796875" customWidth="1"/>
    <col min="26" max="26" width="57.578125" customWidth="1"/>
    <col min="27" max="29" width="13.578125" customWidth="1"/>
    <col min="30" max="30" width="14.41796875" customWidth="1"/>
    <col min="31" max="31" width="13.578125" customWidth="1"/>
    <col min="32" max="32" width="17.41796875" customWidth="1"/>
    <col min="33" max="33" width="26.83984375" customWidth="1"/>
    <col min="34" max="34" width="7.15625" customWidth="1"/>
    <col min="35" max="35" width="46.41796875" customWidth="1"/>
    <col min="36" max="36" width="25.578125" customWidth="1"/>
    <col min="37" max="37" width="13.578125" customWidth="1"/>
    <col min="38" max="38" width="21.26171875" customWidth="1"/>
    <col min="39" max="39" width="7.83984375" customWidth="1"/>
    <col min="40" max="40" width="52.15625" customWidth="1"/>
    <col min="41" max="41" width="3.83984375" customWidth="1"/>
    <col min="42" max="42" width="13.578125" customWidth="1"/>
    <col min="43" max="43" width="3.83984375" customWidth="1"/>
    <col min="44" max="44" width="86.68359375" style="52" customWidth="1"/>
    <col min="45" max="45" width="62.41796875" customWidth="1"/>
    <col min="46" max="46" width="62.41796875" style="52" customWidth="1"/>
    <col min="47" max="47" width="16.68359375" customWidth="1"/>
    <col min="48" max="48" width="13.578125" customWidth="1"/>
    <col min="49" max="49" width="14.41796875" customWidth="1"/>
    <col min="50" max="50" width="28.578125" customWidth="1"/>
  </cols>
  <sheetData>
    <row r="1" spans="1:50" ht="14.4">
      <c r="A1" s="1"/>
      <c r="B1" s="1"/>
      <c r="C1" s="69" t="s">
        <v>0</v>
      </c>
      <c r="D1" s="70"/>
      <c r="E1" s="70"/>
      <c r="F1" s="70"/>
      <c r="G1" s="70"/>
      <c r="H1" s="70"/>
      <c r="I1" s="70"/>
      <c r="J1" s="70"/>
      <c r="K1" s="70"/>
      <c r="L1" s="70"/>
      <c r="M1" s="70"/>
      <c r="N1" s="70"/>
      <c r="O1" s="2"/>
      <c r="P1" s="1"/>
      <c r="Q1" s="71" t="s">
        <v>1</v>
      </c>
      <c r="R1" s="72"/>
      <c r="S1" s="72"/>
      <c r="T1" s="72"/>
      <c r="U1" s="72"/>
      <c r="V1" s="72"/>
      <c r="W1" s="72"/>
      <c r="X1" s="72"/>
      <c r="Y1" s="72"/>
      <c r="Z1" s="72"/>
      <c r="AA1" s="72"/>
      <c r="AB1" s="72"/>
      <c r="AC1" s="72"/>
      <c r="AD1" s="72"/>
      <c r="AE1" s="72"/>
      <c r="AF1" s="72"/>
      <c r="AG1" s="73"/>
      <c r="AH1" s="1"/>
      <c r="AI1" s="74" t="s">
        <v>2</v>
      </c>
      <c r="AJ1" s="70"/>
      <c r="AK1" s="70"/>
      <c r="AL1" s="70"/>
      <c r="AM1" s="7"/>
      <c r="AN1" s="16" t="s">
        <v>0</v>
      </c>
      <c r="AO1" s="7"/>
      <c r="AP1" s="7"/>
      <c r="AQ1" s="7"/>
      <c r="AR1" s="75" t="s">
        <v>3</v>
      </c>
      <c r="AS1" s="70"/>
      <c r="AT1" s="70"/>
      <c r="AU1" s="70"/>
      <c r="AV1" s="70"/>
      <c r="AW1" s="70"/>
      <c r="AX1" s="70"/>
    </row>
    <row r="2" spans="1:50" ht="46.5" customHeight="1">
      <c r="A2" s="3"/>
      <c r="B2" s="4" t="s">
        <v>4</v>
      </c>
      <c r="C2" s="4" t="s">
        <v>5</v>
      </c>
      <c r="D2" s="4" t="s">
        <v>6</v>
      </c>
      <c r="E2" s="4" t="s">
        <v>7</v>
      </c>
      <c r="F2" s="4" t="s">
        <v>8</v>
      </c>
      <c r="G2" s="4" t="s">
        <v>9</v>
      </c>
      <c r="H2" s="4" t="s">
        <v>10</v>
      </c>
      <c r="I2" s="4" t="s">
        <v>11</v>
      </c>
      <c r="J2" s="4" t="s">
        <v>12</v>
      </c>
      <c r="K2" s="4" t="s">
        <v>13</v>
      </c>
      <c r="L2" s="4" t="s">
        <v>14</v>
      </c>
      <c r="M2" s="4" t="s">
        <v>15</v>
      </c>
      <c r="N2" s="4" t="s">
        <v>16</v>
      </c>
      <c r="O2" s="12" t="s">
        <v>17</v>
      </c>
      <c r="P2" s="13"/>
      <c r="Q2" s="14" t="s">
        <v>18</v>
      </c>
      <c r="R2" s="14" t="s">
        <v>19</v>
      </c>
      <c r="S2" s="14" t="s">
        <v>20</v>
      </c>
      <c r="T2" s="14" t="s">
        <v>21</v>
      </c>
      <c r="U2" s="14" t="s">
        <v>22</v>
      </c>
      <c r="V2" s="14" t="s">
        <v>23</v>
      </c>
      <c r="W2" s="14" t="s">
        <v>24</v>
      </c>
      <c r="X2" s="14" t="s">
        <v>25</v>
      </c>
      <c r="Y2" s="49" t="s">
        <v>26</v>
      </c>
      <c r="Z2" s="14" t="s">
        <v>27</v>
      </c>
      <c r="AA2" s="14" t="s">
        <v>28</v>
      </c>
      <c r="AB2" s="14" t="s">
        <v>29</v>
      </c>
      <c r="AC2" s="14" t="s">
        <v>30</v>
      </c>
      <c r="AD2" s="14" t="s">
        <v>31</v>
      </c>
      <c r="AE2" s="14" t="s">
        <v>32</v>
      </c>
      <c r="AF2" s="14" t="s">
        <v>33</v>
      </c>
      <c r="AG2" s="14" t="s">
        <v>34</v>
      </c>
      <c r="AH2" s="13"/>
      <c r="AI2" s="68" t="s">
        <v>35</v>
      </c>
      <c r="AJ2" s="15" t="s">
        <v>36</v>
      </c>
      <c r="AK2" s="15" t="s">
        <v>37</v>
      </c>
      <c r="AL2" s="15" t="s">
        <v>38</v>
      </c>
      <c r="AM2" s="13"/>
      <c r="AN2" s="17" t="s">
        <v>39</v>
      </c>
      <c r="AO2" s="13"/>
      <c r="AP2" s="18" t="s">
        <v>40</v>
      </c>
      <c r="AQ2" s="13"/>
      <c r="AR2" s="54" t="s">
        <v>41</v>
      </c>
      <c r="AS2" s="55" t="s">
        <v>42</v>
      </c>
      <c r="AT2" s="54" t="s">
        <v>43</v>
      </c>
      <c r="AU2" s="55" t="s">
        <v>44</v>
      </c>
      <c r="AV2" s="55" t="s">
        <v>45</v>
      </c>
      <c r="AW2" s="55" t="s">
        <v>46</v>
      </c>
      <c r="AX2" s="55" t="s">
        <v>47</v>
      </c>
    </row>
    <row r="3" spans="1:50" ht="116.4" thickBot="1">
      <c r="A3" s="5"/>
      <c r="B3" s="6" t="s">
        <v>48</v>
      </c>
      <c r="C3" s="6" t="s">
        <v>49</v>
      </c>
      <c r="D3" s="6" t="s">
        <v>50</v>
      </c>
      <c r="E3" s="6" t="s">
        <v>51</v>
      </c>
      <c r="F3" s="6" t="s">
        <v>51</v>
      </c>
      <c r="G3" s="6" t="s">
        <v>52</v>
      </c>
      <c r="H3" s="6"/>
      <c r="I3" s="9"/>
      <c r="J3" s="9"/>
      <c r="K3" s="10"/>
      <c r="L3" s="6" t="s">
        <v>53</v>
      </c>
      <c r="M3" s="6" t="s">
        <v>54</v>
      </c>
      <c r="N3" s="6" t="s">
        <v>55</v>
      </c>
      <c r="O3" s="6"/>
      <c r="P3" s="9"/>
      <c r="Q3" s="6" t="s">
        <v>56</v>
      </c>
      <c r="R3" s="6" t="s">
        <v>57</v>
      </c>
      <c r="S3" s="6" t="s">
        <v>58</v>
      </c>
      <c r="T3" s="6" t="s">
        <v>59</v>
      </c>
      <c r="U3" s="31" t="s">
        <v>60</v>
      </c>
      <c r="V3" s="32"/>
      <c r="W3" s="31" t="s">
        <v>61</v>
      </c>
      <c r="X3" s="42" t="s">
        <v>62</v>
      </c>
      <c r="Y3" s="50"/>
      <c r="Z3" s="46"/>
      <c r="AA3" s="31" t="s">
        <v>63</v>
      </c>
      <c r="AB3" s="31"/>
      <c r="AC3" s="31" t="s">
        <v>64</v>
      </c>
      <c r="AD3" s="31" t="s">
        <v>65</v>
      </c>
      <c r="AE3" s="31" t="s">
        <v>66</v>
      </c>
      <c r="AF3" s="31" t="s">
        <v>67</v>
      </c>
      <c r="AG3" s="31" t="s">
        <v>68</v>
      </c>
      <c r="AH3" s="32"/>
      <c r="AI3" s="31" t="s">
        <v>69</v>
      </c>
      <c r="AJ3" s="31" t="s">
        <v>70</v>
      </c>
      <c r="AK3" s="31" t="s">
        <v>64</v>
      </c>
      <c r="AL3" s="31" t="s">
        <v>64</v>
      </c>
      <c r="AM3" s="32"/>
      <c r="AN3" s="32" t="s">
        <v>71</v>
      </c>
      <c r="AO3" s="32"/>
      <c r="AP3" s="32" t="s">
        <v>72</v>
      </c>
      <c r="AQ3" s="53"/>
      <c r="AR3" s="59"/>
      <c r="AS3" s="59"/>
      <c r="AT3" s="50"/>
      <c r="AU3" s="61"/>
      <c r="AV3" s="50"/>
      <c r="AW3" s="65"/>
      <c r="AX3" s="50"/>
    </row>
    <row r="4" spans="1:50" ht="29.1" thickBot="1">
      <c r="A4" s="7"/>
      <c r="B4" s="8">
        <v>1</v>
      </c>
      <c r="C4" s="20" t="s">
        <v>77</v>
      </c>
      <c r="D4" s="20" t="s">
        <v>77</v>
      </c>
      <c r="E4" s="8" t="s">
        <v>74</v>
      </c>
      <c r="F4" s="8" t="s">
        <v>75</v>
      </c>
      <c r="G4" s="19" t="s">
        <v>73</v>
      </c>
      <c r="H4" s="8" t="s">
        <v>76</v>
      </c>
      <c r="I4" s="8"/>
      <c r="J4" s="24">
        <v>30049099</v>
      </c>
      <c r="K4" s="11">
        <v>0.05</v>
      </c>
      <c r="L4" s="21">
        <v>145.31</v>
      </c>
      <c r="M4" s="22">
        <f>L4*0.88</f>
        <v>127.8728</v>
      </c>
      <c r="N4" s="23">
        <f>L4-M4</f>
        <v>17.437200000000004</v>
      </c>
      <c r="O4" s="11">
        <f>N4/L4</f>
        <v>0.12000000000000002</v>
      </c>
      <c r="P4" s="8"/>
      <c r="Q4" s="8" t="s">
        <v>858</v>
      </c>
      <c r="R4" s="8" t="s">
        <v>888</v>
      </c>
      <c r="S4" s="8"/>
      <c r="T4" s="29">
        <v>1</v>
      </c>
      <c r="U4" s="20" t="s">
        <v>465</v>
      </c>
      <c r="V4" s="33"/>
      <c r="W4" s="33" t="s">
        <v>928</v>
      </c>
      <c r="X4" s="43"/>
      <c r="Y4" s="40" t="s">
        <v>894</v>
      </c>
      <c r="Z4" s="40" t="s">
        <v>894</v>
      </c>
      <c r="AA4" s="33"/>
      <c r="AB4" s="33"/>
      <c r="AC4" s="33"/>
      <c r="AD4" s="20"/>
      <c r="AE4" s="33"/>
      <c r="AF4" s="33"/>
      <c r="AG4" s="33"/>
      <c r="AH4" s="33"/>
      <c r="AI4" s="20" t="s">
        <v>1322</v>
      </c>
      <c r="AJ4" s="33"/>
      <c r="AK4" s="33"/>
      <c r="AL4" s="33"/>
      <c r="AM4" s="33"/>
      <c r="AN4" s="34" t="s">
        <v>466</v>
      </c>
      <c r="AO4" s="33"/>
      <c r="AP4" s="33"/>
      <c r="AQ4" s="43"/>
      <c r="AR4" s="58" t="s">
        <v>1264</v>
      </c>
      <c r="AS4" s="40" t="s">
        <v>894</v>
      </c>
      <c r="AT4" s="58" t="s">
        <v>1264</v>
      </c>
      <c r="AU4" s="57"/>
      <c r="AV4" s="56"/>
      <c r="AW4" s="45"/>
      <c r="AX4" s="20"/>
    </row>
    <row r="5" spans="1:50" ht="29.1" thickBot="1">
      <c r="A5" s="7"/>
      <c r="B5" s="8">
        <v>2</v>
      </c>
      <c r="C5" s="20" t="s">
        <v>78</v>
      </c>
      <c r="D5" s="20" t="s">
        <v>78</v>
      </c>
      <c r="E5" s="8" t="s">
        <v>74</v>
      </c>
      <c r="F5" s="8" t="s">
        <v>75</v>
      </c>
      <c r="G5" s="19" t="s">
        <v>73</v>
      </c>
      <c r="H5" s="8" t="s">
        <v>76</v>
      </c>
      <c r="I5" s="8"/>
      <c r="J5" s="24">
        <v>30049099</v>
      </c>
      <c r="K5" s="11">
        <v>0.05</v>
      </c>
      <c r="L5" s="21">
        <v>1828.13</v>
      </c>
      <c r="M5" s="22">
        <f t="shared" ref="M5:M68" si="0">L5*0.88</f>
        <v>1608.7544</v>
      </c>
      <c r="N5" s="23">
        <f t="shared" ref="N5:N68" si="1">L5-M5</f>
        <v>219.37560000000008</v>
      </c>
      <c r="O5" s="11">
        <f t="shared" ref="O5:O68" si="2">N5/L5</f>
        <v>0.12000000000000004</v>
      </c>
      <c r="P5" s="8"/>
      <c r="Q5" s="8" t="s">
        <v>859</v>
      </c>
      <c r="R5" s="8" t="s">
        <v>889</v>
      </c>
      <c r="S5" s="8"/>
      <c r="T5" s="29">
        <v>1</v>
      </c>
      <c r="U5" s="20" t="s">
        <v>589</v>
      </c>
      <c r="V5" s="33"/>
      <c r="W5" s="33" t="s">
        <v>929</v>
      </c>
      <c r="X5" s="43"/>
      <c r="Y5" s="20" t="s">
        <v>893</v>
      </c>
      <c r="Z5" s="20" t="s">
        <v>893</v>
      </c>
      <c r="AA5" s="33"/>
      <c r="AB5" s="33"/>
      <c r="AC5" s="33"/>
      <c r="AD5" s="20" t="s">
        <v>1331</v>
      </c>
      <c r="AE5" s="33"/>
      <c r="AF5" s="33"/>
      <c r="AG5" s="33"/>
      <c r="AH5" s="33"/>
      <c r="AI5" s="20" t="s">
        <v>1323</v>
      </c>
      <c r="AJ5" s="33"/>
      <c r="AK5" s="33"/>
      <c r="AL5" s="33"/>
      <c r="AM5" s="33"/>
      <c r="AN5" s="34" t="s">
        <v>467</v>
      </c>
      <c r="AO5" s="33"/>
      <c r="AP5" s="33"/>
      <c r="AQ5" s="43"/>
      <c r="AR5" s="58" t="s">
        <v>1265</v>
      </c>
      <c r="AS5" s="20" t="s">
        <v>893</v>
      </c>
      <c r="AT5" s="58" t="s">
        <v>1265</v>
      </c>
      <c r="AU5" s="57"/>
      <c r="AV5" s="56"/>
      <c r="AW5" s="45"/>
      <c r="AX5" s="20"/>
    </row>
    <row r="6" spans="1:50" ht="29.1" thickBot="1">
      <c r="A6" s="7"/>
      <c r="B6" s="8">
        <v>3</v>
      </c>
      <c r="C6" s="20" t="s">
        <v>79</v>
      </c>
      <c r="D6" s="20" t="s">
        <v>79</v>
      </c>
      <c r="E6" s="8" t="s">
        <v>74</v>
      </c>
      <c r="F6" s="8" t="s">
        <v>75</v>
      </c>
      <c r="G6" s="19" t="s">
        <v>73</v>
      </c>
      <c r="H6" s="8" t="s">
        <v>76</v>
      </c>
      <c r="I6" s="8"/>
      <c r="J6" s="24">
        <v>30049099</v>
      </c>
      <c r="K6" s="11">
        <v>0.05</v>
      </c>
      <c r="L6" s="21">
        <v>635.63</v>
      </c>
      <c r="M6" s="22">
        <f t="shared" si="0"/>
        <v>559.35440000000006</v>
      </c>
      <c r="N6" s="23">
        <f t="shared" si="1"/>
        <v>76.27559999999994</v>
      </c>
      <c r="O6" s="11">
        <f t="shared" si="2"/>
        <v>0.11999999999999991</v>
      </c>
      <c r="P6" s="8"/>
      <c r="Q6" s="8" t="s">
        <v>860</v>
      </c>
      <c r="R6" s="8" t="s">
        <v>889</v>
      </c>
      <c r="S6" s="8"/>
      <c r="T6" s="29">
        <v>1</v>
      </c>
      <c r="U6" s="20" t="s">
        <v>590</v>
      </c>
      <c r="V6" s="33"/>
      <c r="W6" s="33" t="s">
        <v>930</v>
      </c>
      <c r="X6" s="43"/>
      <c r="Y6" s="20" t="s">
        <v>892</v>
      </c>
      <c r="Z6" s="20" t="s">
        <v>892</v>
      </c>
      <c r="AA6" s="33"/>
      <c r="AB6" s="33"/>
      <c r="AC6" s="33"/>
      <c r="AD6" s="33"/>
      <c r="AE6" s="33"/>
      <c r="AF6" s="33"/>
      <c r="AG6" s="33"/>
      <c r="AH6" s="33"/>
      <c r="AI6" s="20" t="s">
        <v>1324</v>
      </c>
      <c r="AJ6" s="33"/>
      <c r="AK6" s="33"/>
      <c r="AL6" s="33"/>
      <c r="AM6" s="33"/>
      <c r="AN6" s="34" t="s">
        <v>468</v>
      </c>
      <c r="AO6" s="33"/>
      <c r="AP6" s="33"/>
      <c r="AQ6" s="43"/>
      <c r="AR6" s="58" t="s">
        <v>1266</v>
      </c>
      <c r="AS6" s="20" t="s">
        <v>892</v>
      </c>
      <c r="AT6" s="58" t="s">
        <v>1266</v>
      </c>
      <c r="AU6" s="57"/>
      <c r="AV6" s="56"/>
      <c r="AW6" s="45"/>
      <c r="AX6" s="20"/>
    </row>
    <row r="7" spans="1:50" ht="29.1" thickBot="1">
      <c r="A7" s="7"/>
      <c r="B7" s="8">
        <v>4</v>
      </c>
      <c r="C7" s="20" t="s">
        <v>80</v>
      </c>
      <c r="D7" s="20" t="s">
        <v>80</v>
      </c>
      <c r="E7" s="8" t="s">
        <v>74</v>
      </c>
      <c r="F7" s="8" t="s">
        <v>75</v>
      </c>
      <c r="G7" s="19" t="s">
        <v>73</v>
      </c>
      <c r="H7" s="8" t="s">
        <v>76</v>
      </c>
      <c r="I7" s="8"/>
      <c r="J7" s="24">
        <v>30049099</v>
      </c>
      <c r="K7" s="11">
        <v>0.05</v>
      </c>
      <c r="L7" s="21">
        <v>925.78</v>
      </c>
      <c r="M7" s="22">
        <f t="shared" si="0"/>
        <v>814.68639999999994</v>
      </c>
      <c r="N7" s="23">
        <f t="shared" si="1"/>
        <v>111.09360000000004</v>
      </c>
      <c r="O7" s="11">
        <f t="shared" si="2"/>
        <v>0.12000000000000005</v>
      </c>
      <c r="P7" s="8"/>
      <c r="Q7" s="8" t="s">
        <v>860</v>
      </c>
      <c r="R7" s="8" t="s">
        <v>889</v>
      </c>
      <c r="S7" s="8"/>
      <c r="T7" s="29">
        <v>1</v>
      </c>
      <c r="U7" s="20" t="s">
        <v>590</v>
      </c>
      <c r="V7" s="33"/>
      <c r="W7" s="33" t="s">
        <v>930</v>
      </c>
      <c r="X7" s="43"/>
      <c r="Y7" s="40" t="s">
        <v>895</v>
      </c>
      <c r="Z7" s="40" t="s">
        <v>895</v>
      </c>
      <c r="AA7" s="33"/>
      <c r="AB7" s="33"/>
      <c r="AC7" s="33"/>
      <c r="AD7" s="33"/>
      <c r="AE7" s="33"/>
      <c r="AF7" s="33"/>
      <c r="AG7" s="33"/>
      <c r="AH7" s="33"/>
      <c r="AI7" s="20" t="s">
        <v>1324</v>
      </c>
      <c r="AJ7" s="33"/>
      <c r="AK7" s="33"/>
      <c r="AL7" s="33"/>
      <c r="AM7" s="33"/>
      <c r="AN7" s="34" t="s">
        <v>469</v>
      </c>
      <c r="AO7" s="33"/>
      <c r="AP7" s="33"/>
      <c r="AQ7" s="43"/>
      <c r="AR7" s="58" t="s">
        <v>1266</v>
      </c>
      <c r="AS7" s="40" t="s">
        <v>895</v>
      </c>
      <c r="AT7" s="58" t="s">
        <v>1266</v>
      </c>
      <c r="AU7" s="57"/>
      <c r="AV7" s="56"/>
      <c r="AW7" s="45"/>
      <c r="AX7" s="20"/>
    </row>
    <row r="8" spans="1:50" ht="31.5" customHeight="1" thickBot="1">
      <c r="A8" s="7"/>
      <c r="B8" s="8">
        <v>5</v>
      </c>
      <c r="C8" s="20" t="s">
        <v>81</v>
      </c>
      <c r="D8" s="20" t="s">
        <v>81</v>
      </c>
      <c r="E8" s="8" t="s">
        <v>74</v>
      </c>
      <c r="F8" s="8" t="s">
        <v>75</v>
      </c>
      <c r="G8" s="19" t="s">
        <v>73</v>
      </c>
      <c r="H8" s="8" t="s">
        <v>76</v>
      </c>
      <c r="I8" s="27"/>
      <c r="J8" s="24">
        <v>30049099</v>
      </c>
      <c r="K8" s="11">
        <v>0.05</v>
      </c>
      <c r="L8" s="21">
        <v>60.94</v>
      </c>
      <c r="M8" s="22">
        <f t="shared" si="0"/>
        <v>53.627199999999995</v>
      </c>
      <c r="N8" s="23">
        <f t="shared" si="1"/>
        <v>7.3128000000000029</v>
      </c>
      <c r="O8" s="11">
        <f t="shared" si="2"/>
        <v>0.12000000000000005</v>
      </c>
      <c r="P8" s="27"/>
      <c r="Q8" s="27" t="s">
        <v>861</v>
      </c>
      <c r="R8" s="27" t="s">
        <v>889</v>
      </c>
      <c r="S8" s="27"/>
      <c r="T8" s="29">
        <v>1</v>
      </c>
      <c r="U8" s="20" t="s">
        <v>591</v>
      </c>
      <c r="V8" s="33"/>
      <c r="W8" s="33" t="s">
        <v>931</v>
      </c>
      <c r="X8" s="43"/>
      <c r="Y8" s="40" t="s">
        <v>896</v>
      </c>
      <c r="Z8" s="40" t="s">
        <v>896</v>
      </c>
      <c r="AA8" s="33"/>
      <c r="AB8" s="33"/>
      <c r="AC8" s="33"/>
      <c r="AD8" s="33"/>
      <c r="AE8" s="33"/>
      <c r="AF8" s="33"/>
      <c r="AG8" s="33"/>
      <c r="AH8" s="33"/>
      <c r="AI8" s="20" t="s">
        <v>1323</v>
      </c>
      <c r="AJ8" s="33"/>
      <c r="AK8" s="33"/>
      <c r="AL8" s="33"/>
      <c r="AM8" s="33"/>
      <c r="AN8" s="34" t="s">
        <v>470</v>
      </c>
      <c r="AO8" s="33"/>
      <c r="AP8" s="33"/>
      <c r="AQ8" s="43"/>
      <c r="AR8" s="58" t="s">
        <v>1267</v>
      </c>
      <c r="AS8" s="40" t="s">
        <v>896</v>
      </c>
      <c r="AT8" s="58" t="s">
        <v>1267</v>
      </c>
      <c r="AU8" s="57"/>
      <c r="AV8" s="56"/>
      <c r="AW8" s="45"/>
      <c r="AX8" s="20"/>
    </row>
    <row r="9" spans="1:50" ht="29.1" thickBot="1">
      <c r="A9" s="7"/>
      <c r="B9" s="8">
        <v>6</v>
      </c>
      <c r="C9" s="20" t="s">
        <v>82</v>
      </c>
      <c r="D9" s="20" t="s">
        <v>82</v>
      </c>
      <c r="E9" s="8" t="s">
        <v>74</v>
      </c>
      <c r="F9" s="8" t="s">
        <v>75</v>
      </c>
      <c r="G9" s="19" t="s">
        <v>73</v>
      </c>
      <c r="H9" s="29" t="s">
        <v>76</v>
      </c>
      <c r="I9" s="28"/>
      <c r="J9" s="24">
        <v>30049099</v>
      </c>
      <c r="K9" s="11">
        <v>0.05</v>
      </c>
      <c r="L9" s="21">
        <v>73.13</v>
      </c>
      <c r="M9" s="22">
        <f t="shared" si="0"/>
        <v>64.354399999999998</v>
      </c>
      <c r="N9" s="23">
        <f t="shared" si="1"/>
        <v>8.7755999999999972</v>
      </c>
      <c r="O9" s="26">
        <f t="shared" si="2"/>
        <v>0.11999999999999997</v>
      </c>
      <c r="P9" s="28"/>
      <c r="Q9" s="28" t="s">
        <v>862</v>
      </c>
      <c r="R9" s="27" t="s">
        <v>889</v>
      </c>
      <c r="S9" s="28"/>
      <c r="T9" s="30">
        <v>1</v>
      </c>
      <c r="U9" s="20" t="s">
        <v>592</v>
      </c>
      <c r="V9" s="28"/>
      <c r="W9" s="28" t="s">
        <v>931</v>
      </c>
      <c r="X9" s="43"/>
      <c r="Y9" s="40" t="s">
        <v>897</v>
      </c>
      <c r="Z9" s="40" t="s">
        <v>897</v>
      </c>
      <c r="AA9" s="28"/>
      <c r="AB9" s="28"/>
      <c r="AC9" s="28"/>
      <c r="AD9" s="28"/>
      <c r="AE9" s="28"/>
      <c r="AF9" s="28"/>
      <c r="AG9" s="28"/>
      <c r="AH9" s="28"/>
      <c r="AI9" s="20" t="s">
        <v>1323</v>
      </c>
      <c r="AJ9" s="28"/>
      <c r="AK9" s="28"/>
      <c r="AL9" s="28"/>
      <c r="AM9" s="28"/>
      <c r="AN9" s="35" t="s">
        <v>471</v>
      </c>
      <c r="AO9" s="28"/>
      <c r="AP9" s="28"/>
      <c r="AQ9" s="44"/>
      <c r="AR9" s="58" t="s">
        <v>1267</v>
      </c>
      <c r="AS9" s="40" t="s">
        <v>897</v>
      </c>
      <c r="AT9" s="58" t="s">
        <v>1267</v>
      </c>
      <c r="AU9" s="57"/>
      <c r="AV9" s="56"/>
      <c r="AW9" s="45"/>
      <c r="AX9" s="20"/>
    </row>
    <row r="10" spans="1:50" ht="29.1" thickBot="1">
      <c r="A10" s="7"/>
      <c r="B10" s="8">
        <v>7</v>
      </c>
      <c r="C10" s="20" t="s">
        <v>83</v>
      </c>
      <c r="D10" s="20" t="s">
        <v>83</v>
      </c>
      <c r="E10" s="8" t="s">
        <v>74</v>
      </c>
      <c r="F10" s="8" t="s">
        <v>75</v>
      </c>
      <c r="G10" s="19" t="s">
        <v>73</v>
      </c>
      <c r="H10" s="29" t="s">
        <v>76</v>
      </c>
      <c r="I10" s="28"/>
      <c r="J10" s="24">
        <v>30049099</v>
      </c>
      <c r="K10" s="11">
        <v>0.05</v>
      </c>
      <c r="L10" s="21">
        <v>123</v>
      </c>
      <c r="M10" s="22">
        <f t="shared" si="0"/>
        <v>108.24</v>
      </c>
      <c r="N10" s="23">
        <f t="shared" si="1"/>
        <v>14.760000000000005</v>
      </c>
      <c r="O10" s="26">
        <f t="shared" si="2"/>
        <v>0.12000000000000004</v>
      </c>
      <c r="P10" s="28"/>
      <c r="Q10" s="28" t="s">
        <v>862</v>
      </c>
      <c r="R10" s="27" t="s">
        <v>889</v>
      </c>
      <c r="S10" s="28"/>
      <c r="T10" s="30">
        <v>1</v>
      </c>
      <c r="U10" s="20" t="s">
        <v>593</v>
      </c>
      <c r="V10" s="28"/>
      <c r="W10" s="28" t="s">
        <v>931</v>
      </c>
      <c r="X10" s="43"/>
      <c r="Y10" s="40" t="s">
        <v>897</v>
      </c>
      <c r="Z10" s="40" t="s">
        <v>897</v>
      </c>
      <c r="AA10" s="28"/>
      <c r="AB10" s="28"/>
      <c r="AC10" s="28"/>
      <c r="AD10" s="28"/>
      <c r="AE10" s="28"/>
      <c r="AF10" s="28"/>
      <c r="AG10" s="28"/>
      <c r="AH10" s="28"/>
      <c r="AI10" s="20" t="s">
        <v>1323</v>
      </c>
      <c r="AJ10" s="28"/>
      <c r="AK10" s="28"/>
      <c r="AL10" s="28"/>
      <c r="AM10" s="28"/>
      <c r="AN10" s="35" t="s">
        <v>472</v>
      </c>
      <c r="AO10" s="28"/>
      <c r="AP10" s="28"/>
      <c r="AQ10" s="44"/>
      <c r="AR10" s="58" t="s">
        <v>1267</v>
      </c>
      <c r="AS10" s="40" t="s">
        <v>897</v>
      </c>
      <c r="AT10" s="58" t="s">
        <v>1267</v>
      </c>
      <c r="AU10" s="57"/>
      <c r="AV10" s="56"/>
      <c r="AW10" s="45"/>
      <c r="AX10" s="20"/>
    </row>
    <row r="11" spans="1:50" ht="47.25" customHeight="1" thickBot="1">
      <c r="A11" s="7"/>
      <c r="B11" s="8">
        <v>8</v>
      </c>
      <c r="C11" s="20" t="s">
        <v>84</v>
      </c>
      <c r="D11" s="20" t="s">
        <v>84</v>
      </c>
      <c r="E11" s="8" t="s">
        <v>74</v>
      </c>
      <c r="F11" s="8" t="s">
        <v>75</v>
      </c>
      <c r="G11" s="19" t="s">
        <v>73</v>
      </c>
      <c r="H11" s="29" t="s">
        <v>76</v>
      </c>
      <c r="I11" s="28"/>
      <c r="J11" s="24">
        <v>30042064</v>
      </c>
      <c r="K11" s="11">
        <v>0.05</v>
      </c>
      <c r="L11" s="21">
        <v>747.8</v>
      </c>
      <c r="M11" s="22">
        <f t="shared" si="0"/>
        <v>658.06399999999996</v>
      </c>
      <c r="N11" s="23">
        <f t="shared" si="1"/>
        <v>89.73599999999999</v>
      </c>
      <c r="O11" s="26">
        <f t="shared" si="2"/>
        <v>0.12</v>
      </c>
      <c r="P11" s="28"/>
      <c r="Q11" s="28" t="s">
        <v>859</v>
      </c>
      <c r="R11" s="27" t="s">
        <v>889</v>
      </c>
      <c r="S11" s="28"/>
      <c r="T11" s="30">
        <v>1</v>
      </c>
      <c r="U11" s="20" t="s">
        <v>594</v>
      </c>
      <c r="V11" s="28"/>
      <c r="W11" s="28" t="s">
        <v>929</v>
      </c>
      <c r="X11" s="43"/>
      <c r="Y11" s="20" t="s">
        <v>898</v>
      </c>
      <c r="Z11" s="20" t="s">
        <v>898</v>
      </c>
      <c r="AA11" s="28"/>
      <c r="AB11" s="28"/>
      <c r="AC11" s="28"/>
      <c r="AD11" s="20" t="s">
        <v>1331</v>
      </c>
      <c r="AE11" s="28"/>
      <c r="AF11" s="28"/>
      <c r="AG11" s="28"/>
      <c r="AH11" s="28"/>
      <c r="AI11" s="20" t="s">
        <v>1325</v>
      </c>
      <c r="AJ11" s="28"/>
      <c r="AK11" s="28"/>
      <c r="AL11" s="28"/>
      <c r="AM11" s="28"/>
      <c r="AN11" s="35" t="s">
        <v>473</v>
      </c>
      <c r="AO11" s="28"/>
      <c r="AP11" s="28"/>
      <c r="AQ11" s="44"/>
      <c r="AR11" s="58" t="s">
        <v>1268</v>
      </c>
      <c r="AS11" s="20" t="s">
        <v>898</v>
      </c>
      <c r="AT11" s="58" t="s">
        <v>1268</v>
      </c>
      <c r="AU11" s="57"/>
      <c r="AV11" s="20"/>
      <c r="AW11" s="45"/>
      <c r="AX11" s="20"/>
    </row>
    <row r="12" spans="1:50" ht="29.1" thickBot="1">
      <c r="A12" s="7"/>
      <c r="B12" s="8">
        <v>9</v>
      </c>
      <c r="C12" s="20" t="s">
        <v>85</v>
      </c>
      <c r="D12" s="20" t="s">
        <v>85</v>
      </c>
      <c r="E12" s="8" t="s">
        <v>74</v>
      </c>
      <c r="F12" s="8" t="s">
        <v>75</v>
      </c>
      <c r="G12" s="19" t="s">
        <v>73</v>
      </c>
      <c r="H12" s="29" t="s">
        <v>76</v>
      </c>
      <c r="I12" s="28"/>
      <c r="J12" s="24">
        <v>30042064</v>
      </c>
      <c r="K12" s="11">
        <v>0.05</v>
      </c>
      <c r="L12" s="21">
        <v>755.3</v>
      </c>
      <c r="M12" s="22">
        <f t="shared" si="0"/>
        <v>664.66399999999999</v>
      </c>
      <c r="N12" s="23">
        <f t="shared" si="1"/>
        <v>90.635999999999967</v>
      </c>
      <c r="O12" s="26">
        <f t="shared" si="2"/>
        <v>0.11999999999999997</v>
      </c>
      <c r="P12" s="28"/>
      <c r="Q12" s="28" t="s">
        <v>859</v>
      </c>
      <c r="R12" s="27" t="s">
        <v>889</v>
      </c>
      <c r="S12" s="28"/>
      <c r="T12" s="30">
        <v>1</v>
      </c>
      <c r="U12" s="20" t="s">
        <v>595</v>
      </c>
      <c r="V12" s="28"/>
      <c r="W12" s="28" t="s">
        <v>929</v>
      </c>
      <c r="X12" s="43"/>
      <c r="Y12" s="20" t="s">
        <v>899</v>
      </c>
      <c r="Z12" s="20" t="s">
        <v>899</v>
      </c>
      <c r="AA12" s="28"/>
      <c r="AB12" s="28"/>
      <c r="AC12" s="28"/>
      <c r="AD12" s="20" t="s">
        <v>1331</v>
      </c>
      <c r="AE12" s="28"/>
      <c r="AF12" s="28"/>
      <c r="AG12" s="28"/>
      <c r="AH12" s="28"/>
      <c r="AI12" s="20" t="s">
        <v>1325</v>
      </c>
      <c r="AJ12" s="28"/>
      <c r="AK12" s="28"/>
      <c r="AL12" s="28"/>
      <c r="AM12" s="28"/>
      <c r="AN12" s="35" t="s">
        <v>474</v>
      </c>
      <c r="AO12" s="28"/>
      <c r="AP12" s="28"/>
      <c r="AQ12" s="44"/>
      <c r="AR12" s="58" t="s">
        <v>1268</v>
      </c>
      <c r="AS12" s="20" t="s">
        <v>899</v>
      </c>
      <c r="AT12" s="58" t="s">
        <v>1268</v>
      </c>
      <c r="AU12" s="57"/>
      <c r="AV12" s="20"/>
      <c r="AW12" s="45"/>
      <c r="AX12" s="20"/>
    </row>
    <row r="13" spans="1:50" ht="28.8">
      <c r="A13" s="7"/>
      <c r="B13" s="8">
        <v>10</v>
      </c>
      <c r="C13" s="20" t="s">
        <v>86</v>
      </c>
      <c r="D13" s="20" t="s">
        <v>86</v>
      </c>
      <c r="E13" s="8" t="s">
        <v>74</v>
      </c>
      <c r="F13" s="8" t="s">
        <v>75</v>
      </c>
      <c r="G13" s="19" t="s">
        <v>73</v>
      </c>
      <c r="H13" s="29" t="s">
        <v>76</v>
      </c>
      <c r="I13" s="28"/>
      <c r="J13" s="24">
        <v>30049099</v>
      </c>
      <c r="K13" s="11">
        <v>0.05</v>
      </c>
      <c r="L13" s="21">
        <v>84.02</v>
      </c>
      <c r="M13" s="22">
        <f t="shared" si="0"/>
        <v>73.937600000000003</v>
      </c>
      <c r="N13" s="23">
        <f t="shared" si="1"/>
        <v>10.082399999999993</v>
      </c>
      <c r="O13" s="26">
        <f t="shared" si="2"/>
        <v>0.11999999999999991</v>
      </c>
      <c r="P13" s="28"/>
      <c r="Q13" s="28" t="s">
        <v>863</v>
      </c>
      <c r="R13" s="27" t="s">
        <v>889</v>
      </c>
      <c r="S13" s="28"/>
      <c r="T13" s="30">
        <v>1</v>
      </c>
      <c r="U13" s="20" t="s">
        <v>591</v>
      </c>
      <c r="V13" s="28"/>
      <c r="W13" s="28" t="s">
        <v>931</v>
      </c>
      <c r="X13" s="43"/>
      <c r="Y13" s="20" t="s">
        <v>900</v>
      </c>
      <c r="Z13" s="20" t="s">
        <v>900</v>
      </c>
      <c r="AA13" s="28"/>
      <c r="AB13" s="28"/>
      <c r="AC13" s="28"/>
      <c r="AD13" s="28"/>
      <c r="AE13" s="28"/>
      <c r="AF13" s="28"/>
      <c r="AG13" s="28"/>
      <c r="AH13" s="28"/>
      <c r="AI13" s="20" t="s">
        <v>1325</v>
      </c>
      <c r="AJ13" s="28"/>
      <c r="AK13" s="28"/>
      <c r="AL13" s="28"/>
      <c r="AM13" s="28"/>
      <c r="AN13" s="35" t="s">
        <v>475</v>
      </c>
      <c r="AO13" s="28"/>
      <c r="AP13" s="28"/>
      <c r="AQ13" s="44"/>
      <c r="AR13" s="58" t="s">
        <v>1268</v>
      </c>
      <c r="AS13" s="20" t="s">
        <v>900</v>
      </c>
      <c r="AT13" s="58" t="s">
        <v>1268</v>
      </c>
      <c r="AU13" s="47"/>
      <c r="AV13" s="28"/>
      <c r="AW13" s="66"/>
      <c r="AX13" s="36"/>
    </row>
    <row r="14" spans="1:50" ht="28.8">
      <c r="A14" s="7"/>
      <c r="B14" s="8">
        <v>11</v>
      </c>
      <c r="C14" s="20" t="s">
        <v>87</v>
      </c>
      <c r="D14" s="20" t="s">
        <v>87</v>
      </c>
      <c r="E14" s="8" t="s">
        <v>74</v>
      </c>
      <c r="F14" s="8" t="s">
        <v>75</v>
      </c>
      <c r="G14" s="19" t="s">
        <v>73</v>
      </c>
      <c r="H14" s="29" t="s">
        <v>76</v>
      </c>
      <c r="I14" s="28"/>
      <c r="J14" s="24">
        <v>30041090</v>
      </c>
      <c r="K14" s="11">
        <v>0.05</v>
      </c>
      <c r="L14" s="21">
        <v>1162.5</v>
      </c>
      <c r="M14" s="22">
        <f t="shared" si="0"/>
        <v>1023</v>
      </c>
      <c r="N14" s="23">
        <f t="shared" si="1"/>
        <v>139.5</v>
      </c>
      <c r="O14" s="26">
        <f t="shared" si="2"/>
        <v>0.12</v>
      </c>
      <c r="P14" s="28"/>
      <c r="Q14" s="28" t="s">
        <v>859</v>
      </c>
      <c r="R14" s="27" t="s">
        <v>889</v>
      </c>
      <c r="S14" s="28"/>
      <c r="T14" s="30">
        <v>1</v>
      </c>
      <c r="U14" s="20" t="s">
        <v>589</v>
      </c>
      <c r="V14" s="28"/>
      <c r="W14" s="28" t="s">
        <v>929</v>
      </c>
      <c r="X14" s="43"/>
      <c r="Y14" s="20" t="s">
        <v>901</v>
      </c>
      <c r="Z14" s="20" t="s">
        <v>901</v>
      </c>
      <c r="AA14" s="28"/>
      <c r="AB14" s="28"/>
      <c r="AC14" s="28"/>
      <c r="AD14" s="20" t="s">
        <v>1331</v>
      </c>
      <c r="AE14" s="28"/>
      <c r="AF14" s="28"/>
      <c r="AG14" s="28"/>
      <c r="AH14" s="28"/>
      <c r="AI14" s="20" t="s">
        <v>1326</v>
      </c>
      <c r="AJ14" s="28"/>
      <c r="AK14" s="28"/>
      <c r="AL14" s="28"/>
      <c r="AM14" s="28"/>
      <c r="AN14" s="35" t="s">
        <v>476</v>
      </c>
      <c r="AO14" s="28"/>
      <c r="AP14" s="28"/>
      <c r="AQ14" s="44"/>
      <c r="AR14" s="51" t="s">
        <v>1270</v>
      </c>
      <c r="AS14" s="20" t="s">
        <v>901</v>
      </c>
      <c r="AT14" s="51" t="s">
        <v>1270</v>
      </c>
      <c r="AU14" s="47"/>
      <c r="AV14" s="28"/>
      <c r="AW14" s="66"/>
      <c r="AX14" s="36"/>
    </row>
    <row r="15" spans="1:50" ht="28.8">
      <c r="A15" s="7"/>
      <c r="B15" s="8">
        <v>12</v>
      </c>
      <c r="C15" s="20" t="s">
        <v>88</v>
      </c>
      <c r="D15" s="20" t="s">
        <v>88</v>
      </c>
      <c r="E15" s="8" t="s">
        <v>74</v>
      </c>
      <c r="F15" s="8" t="s">
        <v>75</v>
      </c>
      <c r="G15" s="19" t="s">
        <v>73</v>
      </c>
      <c r="H15" s="29" t="s">
        <v>76</v>
      </c>
      <c r="I15" s="28"/>
      <c r="J15" s="24">
        <v>30041090</v>
      </c>
      <c r="K15" s="11">
        <v>0.05</v>
      </c>
      <c r="L15" s="21">
        <v>1687.5</v>
      </c>
      <c r="M15" s="22">
        <f t="shared" si="0"/>
        <v>1485</v>
      </c>
      <c r="N15" s="23">
        <f t="shared" si="1"/>
        <v>202.5</v>
      </c>
      <c r="O15" s="26">
        <f t="shared" si="2"/>
        <v>0.12</v>
      </c>
      <c r="P15" s="28"/>
      <c r="Q15" s="28" t="s">
        <v>859</v>
      </c>
      <c r="R15" s="27" t="s">
        <v>889</v>
      </c>
      <c r="S15" s="28"/>
      <c r="T15" s="30">
        <v>1</v>
      </c>
      <c r="U15" s="20" t="s">
        <v>589</v>
      </c>
      <c r="V15" s="28"/>
      <c r="W15" s="28" t="s">
        <v>929</v>
      </c>
      <c r="X15" s="43"/>
      <c r="Y15" s="20" t="s">
        <v>902</v>
      </c>
      <c r="Z15" s="20" t="s">
        <v>902</v>
      </c>
      <c r="AA15" s="28"/>
      <c r="AB15" s="28"/>
      <c r="AC15" s="28"/>
      <c r="AD15" s="20" t="s">
        <v>1331</v>
      </c>
      <c r="AE15" s="28"/>
      <c r="AF15" s="28"/>
      <c r="AG15" s="28"/>
      <c r="AH15" s="28"/>
      <c r="AI15" s="20" t="s">
        <v>1326</v>
      </c>
      <c r="AJ15" s="28"/>
      <c r="AK15" s="28"/>
      <c r="AL15" s="28"/>
      <c r="AM15" s="28"/>
      <c r="AN15" s="35" t="s">
        <v>477</v>
      </c>
      <c r="AO15" s="28"/>
      <c r="AP15" s="28"/>
      <c r="AQ15" s="44"/>
      <c r="AR15" s="51" t="s">
        <v>1271</v>
      </c>
      <c r="AS15" s="20" t="s">
        <v>902</v>
      </c>
      <c r="AT15" s="51" t="s">
        <v>1271</v>
      </c>
      <c r="AU15" s="47"/>
      <c r="AV15" s="28"/>
      <c r="AW15" s="66"/>
      <c r="AX15" s="36"/>
    </row>
    <row r="16" spans="1:50" ht="14.4">
      <c r="A16" s="7"/>
      <c r="B16" s="8">
        <v>13</v>
      </c>
      <c r="C16" s="20" t="s">
        <v>89</v>
      </c>
      <c r="D16" s="20" t="s">
        <v>89</v>
      </c>
      <c r="E16" s="8" t="s">
        <v>74</v>
      </c>
      <c r="F16" s="8" t="s">
        <v>75</v>
      </c>
      <c r="G16" s="19" t="s">
        <v>73</v>
      </c>
      <c r="H16" s="29" t="s">
        <v>76</v>
      </c>
      <c r="I16" s="28"/>
      <c r="J16" s="24">
        <v>30049099</v>
      </c>
      <c r="K16" s="11">
        <v>0.05</v>
      </c>
      <c r="L16" s="21">
        <v>1015.5</v>
      </c>
      <c r="M16" s="22">
        <f t="shared" si="0"/>
        <v>893.64</v>
      </c>
      <c r="N16" s="23">
        <f t="shared" si="1"/>
        <v>121.86000000000001</v>
      </c>
      <c r="O16" s="26">
        <f t="shared" si="2"/>
        <v>0.12000000000000001</v>
      </c>
      <c r="P16" s="28"/>
      <c r="Q16" s="28" t="s">
        <v>859</v>
      </c>
      <c r="R16" s="27" t="s">
        <v>889</v>
      </c>
      <c r="S16" s="28"/>
      <c r="T16" s="30">
        <v>1</v>
      </c>
      <c r="U16" s="20" t="s">
        <v>596</v>
      </c>
      <c r="V16" s="28"/>
      <c r="W16" s="28" t="s">
        <v>932</v>
      </c>
      <c r="X16" s="43"/>
      <c r="Y16" s="20" t="s">
        <v>903</v>
      </c>
      <c r="Z16" s="20" t="s">
        <v>903</v>
      </c>
      <c r="AA16" s="28"/>
      <c r="AB16" s="28"/>
      <c r="AC16" s="28"/>
      <c r="AD16" s="20" t="s">
        <v>1331</v>
      </c>
      <c r="AE16" s="28"/>
      <c r="AF16" s="28"/>
      <c r="AG16" s="28"/>
      <c r="AH16" s="28"/>
      <c r="AI16" s="20" t="s">
        <v>1325</v>
      </c>
      <c r="AJ16" s="28"/>
      <c r="AK16" s="28"/>
      <c r="AL16" s="28"/>
      <c r="AM16" s="28"/>
      <c r="AN16" s="28"/>
      <c r="AO16" s="28"/>
      <c r="AP16" s="28"/>
      <c r="AQ16" s="44"/>
      <c r="AR16" s="58" t="s">
        <v>1269</v>
      </c>
      <c r="AS16" s="20" t="s">
        <v>903</v>
      </c>
      <c r="AT16" s="58" t="s">
        <v>1269</v>
      </c>
      <c r="AU16" s="47"/>
      <c r="AV16" s="28"/>
      <c r="AW16" s="66"/>
      <c r="AX16" s="36"/>
    </row>
    <row r="17" spans="1:55" ht="29.1" thickBot="1">
      <c r="A17" s="7"/>
      <c r="B17" s="8">
        <v>14</v>
      </c>
      <c r="C17" s="20" t="s">
        <v>90</v>
      </c>
      <c r="D17" s="20" t="s">
        <v>90</v>
      </c>
      <c r="E17" s="8" t="s">
        <v>74</v>
      </c>
      <c r="F17" s="8" t="s">
        <v>75</v>
      </c>
      <c r="G17" s="19" t="s">
        <v>73</v>
      </c>
      <c r="H17" s="29" t="s">
        <v>76</v>
      </c>
      <c r="I17" s="28"/>
      <c r="J17" s="24">
        <v>21069099</v>
      </c>
      <c r="K17" s="11">
        <v>0.05</v>
      </c>
      <c r="L17" s="21">
        <v>1691</v>
      </c>
      <c r="M17" s="22">
        <f t="shared" si="0"/>
        <v>1488.08</v>
      </c>
      <c r="N17" s="23">
        <f t="shared" si="1"/>
        <v>202.92000000000007</v>
      </c>
      <c r="O17" s="26">
        <f t="shared" si="2"/>
        <v>0.12000000000000004</v>
      </c>
      <c r="P17" s="28"/>
      <c r="Q17" s="28" t="s">
        <v>859</v>
      </c>
      <c r="R17" s="27" t="s">
        <v>889</v>
      </c>
      <c r="S17" s="28"/>
      <c r="T17" s="30">
        <v>1</v>
      </c>
      <c r="U17" s="20" t="s">
        <v>597</v>
      </c>
      <c r="V17" s="28"/>
      <c r="W17" s="28" t="s">
        <v>929</v>
      </c>
      <c r="X17" s="43"/>
      <c r="Y17" s="20" t="s">
        <v>904</v>
      </c>
      <c r="Z17" s="20" t="s">
        <v>904</v>
      </c>
      <c r="AA17" s="28"/>
      <c r="AB17" s="28"/>
      <c r="AC17" s="28"/>
      <c r="AD17" s="20" t="s">
        <v>1332</v>
      </c>
      <c r="AE17" s="28"/>
      <c r="AF17" s="28"/>
      <c r="AG17" s="28"/>
      <c r="AH17" s="28"/>
      <c r="AI17" s="20" t="s">
        <v>1327</v>
      </c>
      <c r="AJ17" s="28"/>
      <c r="AK17" s="28"/>
      <c r="AL17" s="28"/>
      <c r="AM17" s="28"/>
      <c r="AN17" s="35" t="s">
        <v>478</v>
      </c>
      <c r="AO17" s="28"/>
      <c r="AP17" s="28"/>
      <c r="AQ17" s="44"/>
      <c r="AR17" s="64" t="s">
        <v>1321</v>
      </c>
      <c r="AS17" s="20" t="s">
        <v>904</v>
      </c>
      <c r="AT17" s="51" t="s">
        <v>1321</v>
      </c>
      <c r="AU17" s="47"/>
      <c r="AV17" s="28"/>
      <c r="AW17" s="66"/>
      <c r="AX17" s="36"/>
    </row>
    <row r="18" spans="1:55" ht="37.200000000000003" thickBot="1">
      <c r="A18" s="7"/>
      <c r="B18" s="8">
        <v>15</v>
      </c>
      <c r="C18" s="20" t="s">
        <v>91</v>
      </c>
      <c r="D18" s="20" t="s">
        <v>91</v>
      </c>
      <c r="E18" s="8" t="s">
        <v>74</v>
      </c>
      <c r="F18" s="8" t="s">
        <v>75</v>
      </c>
      <c r="G18" s="19" t="s">
        <v>73</v>
      </c>
      <c r="H18" s="29" t="s">
        <v>76</v>
      </c>
      <c r="I18" s="28"/>
      <c r="J18" s="24">
        <v>30049099</v>
      </c>
      <c r="K18" s="11">
        <v>0.05</v>
      </c>
      <c r="L18" s="21">
        <v>4250</v>
      </c>
      <c r="M18" s="22">
        <f t="shared" si="0"/>
        <v>3740</v>
      </c>
      <c r="N18" s="23">
        <f t="shared" si="1"/>
        <v>510</v>
      </c>
      <c r="O18" s="26">
        <f t="shared" si="2"/>
        <v>0.12</v>
      </c>
      <c r="P18" s="28"/>
      <c r="Q18" s="28" t="s">
        <v>859</v>
      </c>
      <c r="R18" s="27" t="s">
        <v>889</v>
      </c>
      <c r="S18" s="28"/>
      <c r="T18" s="30">
        <v>1</v>
      </c>
      <c r="U18" s="20" t="s">
        <v>598</v>
      </c>
      <c r="V18" s="28"/>
      <c r="W18" s="28" t="s">
        <v>929</v>
      </c>
      <c r="X18" s="43"/>
      <c r="Y18" s="20" t="s">
        <v>905</v>
      </c>
      <c r="Z18" s="20" t="s">
        <v>905</v>
      </c>
      <c r="AA18" s="28"/>
      <c r="AB18" s="28"/>
      <c r="AC18" s="28"/>
      <c r="AD18" s="20" t="s">
        <v>1331</v>
      </c>
      <c r="AE18" s="28"/>
      <c r="AF18" s="28"/>
      <c r="AG18" s="28"/>
      <c r="AH18" s="28"/>
      <c r="AI18" s="20" t="s">
        <v>1326</v>
      </c>
      <c r="AJ18" s="28"/>
      <c r="AK18" s="28"/>
      <c r="AL18" s="28"/>
      <c r="AM18" s="28"/>
      <c r="AN18" s="28"/>
      <c r="AO18" s="28"/>
      <c r="AP18" s="28"/>
      <c r="AQ18" s="44"/>
      <c r="AR18" s="58" t="s">
        <v>1272</v>
      </c>
      <c r="AS18" s="20" t="s">
        <v>905</v>
      </c>
      <c r="AT18" s="58" t="s">
        <v>1272</v>
      </c>
      <c r="AU18" s="57"/>
      <c r="AV18" s="56"/>
      <c r="AW18" s="67"/>
      <c r="AX18" s="60"/>
      <c r="AY18" s="57"/>
      <c r="AZ18" s="56"/>
      <c r="BA18" s="56"/>
      <c r="BB18" s="56"/>
      <c r="BC18" s="56"/>
    </row>
    <row r="19" spans="1:55" ht="37.200000000000003" thickBot="1">
      <c r="A19" s="7"/>
      <c r="B19" s="8">
        <v>16</v>
      </c>
      <c r="C19" s="20" t="s">
        <v>92</v>
      </c>
      <c r="D19" s="20" t="s">
        <v>92</v>
      </c>
      <c r="E19" s="8" t="s">
        <v>74</v>
      </c>
      <c r="F19" s="8" t="s">
        <v>75</v>
      </c>
      <c r="G19" s="19" t="s">
        <v>73</v>
      </c>
      <c r="H19" s="29" t="s">
        <v>76</v>
      </c>
      <c r="I19" s="28"/>
      <c r="J19" s="24">
        <v>30049039</v>
      </c>
      <c r="K19" s="11">
        <v>0.05</v>
      </c>
      <c r="L19" s="21">
        <v>107.81</v>
      </c>
      <c r="M19" s="22">
        <f t="shared" si="0"/>
        <v>94.872799999999998</v>
      </c>
      <c r="N19" s="23">
        <f t="shared" si="1"/>
        <v>12.937200000000004</v>
      </c>
      <c r="O19" s="26">
        <f t="shared" si="2"/>
        <v>0.12000000000000004</v>
      </c>
      <c r="P19" s="28"/>
      <c r="Q19" s="28" t="s">
        <v>864</v>
      </c>
      <c r="R19" s="28" t="s">
        <v>891</v>
      </c>
      <c r="S19" s="28"/>
      <c r="T19" s="30">
        <v>1</v>
      </c>
      <c r="U19" s="20" t="s">
        <v>599</v>
      </c>
      <c r="V19" s="28"/>
      <c r="W19" s="28" t="s">
        <v>933</v>
      </c>
      <c r="X19" s="43"/>
      <c r="Y19" s="20" t="s">
        <v>907</v>
      </c>
      <c r="Z19" s="20" t="s">
        <v>907</v>
      </c>
      <c r="AA19" s="28"/>
      <c r="AB19" s="28"/>
      <c r="AC19" s="28"/>
      <c r="AD19" s="28"/>
      <c r="AE19" s="28"/>
      <c r="AF19" s="28"/>
      <c r="AG19" s="28"/>
      <c r="AH19" s="28"/>
      <c r="AI19" s="20" t="s">
        <v>1323</v>
      </c>
      <c r="AJ19" s="28"/>
      <c r="AK19" s="28"/>
      <c r="AL19" s="28"/>
      <c r="AM19" s="28"/>
      <c r="AN19" s="35" t="s">
        <v>479</v>
      </c>
      <c r="AO19" s="28"/>
      <c r="AP19" s="28"/>
      <c r="AQ19" s="44"/>
      <c r="AR19" s="58" t="s">
        <v>1273</v>
      </c>
      <c r="AS19" s="20" t="s">
        <v>907</v>
      </c>
      <c r="AT19" s="58" t="s">
        <v>1273</v>
      </c>
      <c r="AU19" s="57"/>
      <c r="AV19" s="56"/>
      <c r="AW19" s="67"/>
      <c r="AX19" s="60"/>
      <c r="AY19" s="57"/>
      <c r="AZ19" s="56"/>
      <c r="BA19" s="56"/>
      <c r="BB19" s="56"/>
      <c r="BC19" s="56"/>
    </row>
    <row r="20" spans="1:55" ht="29.1" thickBot="1">
      <c r="A20" s="7"/>
      <c r="B20" s="8">
        <v>17</v>
      </c>
      <c r="C20" s="20" t="s">
        <v>93</v>
      </c>
      <c r="D20" s="20" t="s">
        <v>93</v>
      </c>
      <c r="E20" s="8" t="s">
        <v>74</v>
      </c>
      <c r="F20" s="8" t="s">
        <v>75</v>
      </c>
      <c r="G20" s="19" t="s">
        <v>73</v>
      </c>
      <c r="H20" s="29" t="s">
        <v>76</v>
      </c>
      <c r="I20" s="28"/>
      <c r="J20" s="24">
        <v>30049034</v>
      </c>
      <c r="K20" s="11">
        <v>0.05</v>
      </c>
      <c r="L20" s="21">
        <v>890.63</v>
      </c>
      <c r="M20" s="22">
        <f t="shared" si="0"/>
        <v>783.75440000000003</v>
      </c>
      <c r="N20" s="23">
        <f t="shared" si="1"/>
        <v>106.87559999999996</v>
      </c>
      <c r="O20" s="26">
        <f t="shared" si="2"/>
        <v>0.11999999999999995</v>
      </c>
      <c r="P20" s="28"/>
      <c r="Q20" s="28" t="s">
        <v>859</v>
      </c>
      <c r="R20" s="28" t="s">
        <v>889</v>
      </c>
      <c r="S20" s="28"/>
      <c r="T20" s="30">
        <v>1</v>
      </c>
      <c r="U20" s="20" t="s">
        <v>589</v>
      </c>
      <c r="V20" s="28"/>
      <c r="W20" s="28" t="s">
        <v>929</v>
      </c>
      <c r="X20" s="43"/>
      <c r="Y20" s="20" t="s">
        <v>906</v>
      </c>
      <c r="Z20" s="20" t="s">
        <v>906</v>
      </c>
      <c r="AA20" s="28"/>
      <c r="AB20" s="28"/>
      <c r="AC20" s="28"/>
      <c r="AD20" s="20" t="s">
        <v>1331</v>
      </c>
      <c r="AE20" s="28"/>
      <c r="AF20" s="28"/>
      <c r="AG20" s="28"/>
      <c r="AH20" s="28"/>
      <c r="AI20" s="20" t="s">
        <v>1323</v>
      </c>
      <c r="AJ20" s="28"/>
      <c r="AK20" s="28"/>
      <c r="AL20" s="28"/>
      <c r="AM20" s="28"/>
      <c r="AN20" s="35" t="s">
        <v>480</v>
      </c>
      <c r="AO20" s="28"/>
      <c r="AP20" s="28"/>
      <c r="AQ20" s="44"/>
      <c r="AR20" s="58" t="s">
        <v>1274</v>
      </c>
      <c r="AS20" s="20" t="s">
        <v>906</v>
      </c>
      <c r="AT20" s="58" t="s">
        <v>1274</v>
      </c>
      <c r="AU20" s="57"/>
      <c r="AV20" s="56"/>
      <c r="AW20" s="67"/>
      <c r="AX20" s="60"/>
      <c r="AY20" s="57"/>
      <c r="AZ20" s="56"/>
      <c r="BA20" s="56"/>
      <c r="BB20" s="56"/>
      <c r="BC20" s="56"/>
    </row>
    <row r="21" spans="1:55" ht="44.25" customHeight="1" thickBot="1">
      <c r="A21" s="7"/>
      <c r="B21" s="8">
        <v>18</v>
      </c>
      <c r="C21" s="20" t="s">
        <v>94</v>
      </c>
      <c r="D21" s="20" t="s">
        <v>94</v>
      </c>
      <c r="E21" s="8" t="s">
        <v>74</v>
      </c>
      <c r="F21" s="8" t="s">
        <v>75</v>
      </c>
      <c r="G21" s="19" t="s">
        <v>73</v>
      </c>
      <c r="H21" s="29" t="s">
        <v>76</v>
      </c>
      <c r="I21" s="28"/>
      <c r="J21" s="24">
        <v>300490</v>
      </c>
      <c r="K21" s="11">
        <v>0.05</v>
      </c>
      <c r="L21" s="21">
        <v>2800</v>
      </c>
      <c r="M21" s="22">
        <f t="shared" si="0"/>
        <v>2464</v>
      </c>
      <c r="N21" s="23">
        <f t="shared" si="1"/>
        <v>336</v>
      </c>
      <c r="O21" s="26">
        <f t="shared" si="2"/>
        <v>0.12</v>
      </c>
      <c r="P21" s="28"/>
      <c r="Q21" s="28" t="s">
        <v>865</v>
      </c>
      <c r="R21" s="28" t="s">
        <v>889</v>
      </c>
      <c r="S21" s="28"/>
      <c r="T21" s="30">
        <v>1</v>
      </c>
      <c r="U21" s="20" t="s">
        <v>589</v>
      </c>
      <c r="V21" s="28"/>
      <c r="W21" s="28" t="s">
        <v>929</v>
      </c>
      <c r="X21" s="43"/>
      <c r="Y21" s="20" t="s">
        <v>908</v>
      </c>
      <c r="Z21" s="20" t="s">
        <v>908</v>
      </c>
      <c r="AA21" s="28"/>
      <c r="AB21" s="28"/>
      <c r="AC21" s="28"/>
      <c r="AD21" s="20" t="s">
        <v>1331</v>
      </c>
      <c r="AE21" s="28"/>
      <c r="AF21" s="28"/>
      <c r="AG21" s="28"/>
      <c r="AH21" s="28"/>
      <c r="AI21" s="20" t="s">
        <v>1323</v>
      </c>
      <c r="AJ21" s="28"/>
      <c r="AK21" s="28"/>
      <c r="AL21" s="28"/>
      <c r="AM21" s="28"/>
      <c r="AN21" s="28"/>
      <c r="AO21" s="28"/>
      <c r="AP21" s="28"/>
      <c r="AQ21" s="44"/>
      <c r="AR21" s="58" t="s">
        <v>1275</v>
      </c>
      <c r="AS21" s="20" t="s">
        <v>908</v>
      </c>
      <c r="AT21" s="58" t="s">
        <v>1275</v>
      </c>
      <c r="AU21" s="57"/>
      <c r="AV21" s="56"/>
      <c r="AW21" s="67"/>
      <c r="AX21" s="60"/>
      <c r="AY21" s="57"/>
      <c r="AZ21" s="56"/>
      <c r="BA21" s="56"/>
      <c r="BB21" s="56"/>
      <c r="BC21" s="56"/>
    </row>
    <row r="22" spans="1:55" ht="45" customHeight="1" thickBot="1">
      <c r="A22" s="7"/>
      <c r="B22" s="8">
        <v>19</v>
      </c>
      <c r="C22" s="20" t="s">
        <v>95</v>
      </c>
      <c r="D22" s="20" t="s">
        <v>95</v>
      </c>
      <c r="E22" s="8" t="s">
        <v>74</v>
      </c>
      <c r="F22" s="8" t="s">
        <v>75</v>
      </c>
      <c r="G22" s="19" t="s">
        <v>73</v>
      </c>
      <c r="H22" s="29" t="s">
        <v>76</v>
      </c>
      <c r="I22" s="28"/>
      <c r="J22" s="24">
        <v>300490</v>
      </c>
      <c r="K22" s="11">
        <v>0.05</v>
      </c>
      <c r="L22" s="21">
        <v>1450</v>
      </c>
      <c r="M22" s="22">
        <f t="shared" si="0"/>
        <v>1276</v>
      </c>
      <c r="N22" s="23">
        <f t="shared" si="1"/>
        <v>174</v>
      </c>
      <c r="O22" s="26">
        <f t="shared" si="2"/>
        <v>0.12</v>
      </c>
      <c r="P22" s="28"/>
      <c r="Q22" s="28" t="s">
        <v>865</v>
      </c>
      <c r="R22" s="28" t="s">
        <v>889</v>
      </c>
      <c r="S22" s="28"/>
      <c r="T22" s="30">
        <v>1</v>
      </c>
      <c r="U22" s="20" t="s">
        <v>589</v>
      </c>
      <c r="V22" s="28"/>
      <c r="W22" s="28" t="s">
        <v>929</v>
      </c>
      <c r="X22" s="43"/>
      <c r="Y22" s="40" t="s">
        <v>909</v>
      </c>
      <c r="Z22" s="40" t="s">
        <v>909</v>
      </c>
      <c r="AA22" s="28"/>
      <c r="AB22" s="28"/>
      <c r="AC22" s="28"/>
      <c r="AD22" s="28"/>
      <c r="AE22" s="28"/>
      <c r="AF22" s="28"/>
      <c r="AG22" s="28"/>
      <c r="AH22" s="28"/>
      <c r="AI22" s="20" t="s">
        <v>1323</v>
      </c>
      <c r="AJ22" s="28"/>
      <c r="AK22" s="28"/>
      <c r="AL22" s="28"/>
      <c r="AM22" s="28"/>
      <c r="AN22" s="35"/>
      <c r="AO22" s="28"/>
      <c r="AP22" s="28"/>
      <c r="AQ22" s="44"/>
      <c r="AR22" s="58" t="s">
        <v>1276</v>
      </c>
      <c r="AS22" s="40" t="s">
        <v>909</v>
      </c>
      <c r="AT22" s="58" t="s">
        <v>1276</v>
      </c>
      <c r="AU22" s="57"/>
      <c r="AV22" s="56"/>
      <c r="AW22" s="67"/>
      <c r="AX22" s="60"/>
      <c r="AY22" s="57"/>
      <c r="AZ22" s="56"/>
      <c r="BA22" s="56"/>
      <c r="BB22" s="56"/>
      <c r="BC22" s="56"/>
    </row>
    <row r="23" spans="1:55" ht="52.5" customHeight="1" thickBot="1">
      <c r="A23" s="7"/>
      <c r="B23" s="8">
        <v>20</v>
      </c>
      <c r="C23" s="20" t="s">
        <v>96</v>
      </c>
      <c r="D23" s="20" t="s">
        <v>96</v>
      </c>
      <c r="E23" s="8" t="s">
        <v>74</v>
      </c>
      <c r="F23" s="8" t="s">
        <v>75</v>
      </c>
      <c r="G23" s="19" t="s">
        <v>73</v>
      </c>
      <c r="H23" s="29" t="s">
        <v>76</v>
      </c>
      <c r="I23" s="28"/>
      <c r="J23" s="24">
        <v>30049039</v>
      </c>
      <c r="K23" s="11">
        <v>0.05</v>
      </c>
      <c r="L23" s="21">
        <v>1260</v>
      </c>
      <c r="M23" s="22">
        <f t="shared" si="0"/>
        <v>1108.8</v>
      </c>
      <c r="N23" s="23">
        <f t="shared" si="1"/>
        <v>151.20000000000005</v>
      </c>
      <c r="O23" s="26">
        <f t="shared" si="2"/>
        <v>0.12000000000000004</v>
      </c>
      <c r="P23" s="28"/>
      <c r="Q23" s="28" t="s">
        <v>865</v>
      </c>
      <c r="R23" s="28" t="s">
        <v>889</v>
      </c>
      <c r="S23" s="28"/>
      <c r="T23" s="30">
        <v>1</v>
      </c>
      <c r="U23" s="20" t="s">
        <v>589</v>
      </c>
      <c r="V23" s="28"/>
      <c r="W23" s="28" t="s">
        <v>929</v>
      </c>
      <c r="X23" s="43"/>
      <c r="Y23" s="40" t="s">
        <v>909</v>
      </c>
      <c r="Z23" s="40" t="s">
        <v>909</v>
      </c>
      <c r="AA23" s="28"/>
      <c r="AB23" s="28"/>
      <c r="AC23" s="28"/>
      <c r="AD23" t="s">
        <v>1331</v>
      </c>
      <c r="AE23" s="28"/>
      <c r="AF23" s="28"/>
      <c r="AG23" s="28"/>
      <c r="AH23" s="28"/>
      <c r="AI23" s="20" t="s">
        <v>1323</v>
      </c>
      <c r="AJ23" s="28"/>
      <c r="AK23" s="28"/>
      <c r="AL23" s="28"/>
      <c r="AM23" s="28"/>
      <c r="AN23" s="35" t="s">
        <v>481</v>
      </c>
      <c r="AO23" s="28"/>
      <c r="AP23" s="28"/>
      <c r="AQ23" s="44"/>
      <c r="AR23" s="58" t="s">
        <v>1277</v>
      </c>
      <c r="AS23" s="40" t="s">
        <v>909</v>
      </c>
      <c r="AT23" s="58" t="s">
        <v>1277</v>
      </c>
      <c r="AU23" s="57"/>
      <c r="AV23" s="56"/>
      <c r="AW23" s="67"/>
      <c r="AX23" s="60"/>
      <c r="AY23" s="57"/>
      <c r="AZ23" s="56"/>
      <c r="BA23" s="56"/>
      <c r="BB23" s="56"/>
      <c r="BC23" s="56"/>
    </row>
    <row r="24" spans="1:55" ht="30.75" customHeight="1" thickBot="1">
      <c r="A24" s="7"/>
      <c r="B24" s="8">
        <v>21</v>
      </c>
      <c r="C24" s="20" t="s">
        <v>97</v>
      </c>
      <c r="D24" s="20" t="s">
        <v>97</v>
      </c>
      <c r="E24" s="8" t="s">
        <v>74</v>
      </c>
      <c r="F24" s="8" t="s">
        <v>75</v>
      </c>
      <c r="G24" s="19" t="s">
        <v>73</v>
      </c>
      <c r="H24" s="29" t="s">
        <v>76</v>
      </c>
      <c r="I24" s="28"/>
      <c r="J24" s="24">
        <v>30049099</v>
      </c>
      <c r="K24" s="11">
        <v>0.05</v>
      </c>
      <c r="L24" s="21">
        <v>107.81</v>
      </c>
      <c r="M24" s="22">
        <f t="shared" si="0"/>
        <v>94.872799999999998</v>
      </c>
      <c r="N24" s="23">
        <f t="shared" si="1"/>
        <v>12.937200000000004</v>
      </c>
      <c r="O24" s="26">
        <f t="shared" si="2"/>
        <v>0.12000000000000004</v>
      </c>
      <c r="P24" s="28"/>
      <c r="Q24" s="28" t="s">
        <v>867</v>
      </c>
      <c r="R24" s="28" t="s">
        <v>888</v>
      </c>
      <c r="S24" s="28"/>
      <c r="T24" s="30">
        <v>1</v>
      </c>
      <c r="U24" s="20" t="s">
        <v>600</v>
      </c>
      <c r="V24" s="28"/>
      <c r="W24" s="28" t="s">
        <v>934</v>
      </c>
      <c r="X24" s="43"/>
      <c r="Y24" s="40" t="s">
        <v>910</v>
      </c>
      <c r="Z24" s="40" t="s">
        <v>910</v>
      </c>
      <c r="AA24" s="28"/>
      <c r="AB24" s="28"/>
      <c r="AC24" s="28"/>
      <c r="AD24" s="28"/>
      <c r="AE24" s="28"/>
      <c r="AF24" s="28"/>
      <c r="AG24" s="28"/>
      <c r="AH24" s="28"/>
      <c r="AI24" s="20" t="s">
        <v>1328</v>
      </c>
      <c r="AJ24" s="28"/>
      <c r="AK24" s="28"/>
      <c r="AL24" s="28"/>
      <c r="AM24" s="28"/>
      <c r="AN24" s="28"/>
      <c r="AO24" s="28"/>
      <c r="AP24" s="28"/>
      <c r="AQ24" s="44"/>
      <c r="AR24" s="58" t="s">
        <v>1278</v>
      </c>
      <c r="AS24" s="40" t="s">
        <v>910</v>
      </c>
      <c r="AT24" s="58" t="s">
        <v>1278</v>
      </c>
      <c r="AU24" s="57"/>
      <c r="AV24" s="56"/>
      <c r="AW24" s="67"/>
      <c r="AX24" s="60"/>
      <c r="AY24" s="57"/>
      <c r="AZ24" s="56"/>
      <c r="BA24" s="56"/>
      <c r="BB24" s="56"/>
      <c r="BC24" s="56"/>
    </row>
    <row r="25" spans="1:55" ht="28.5" customHeight="1" thickBot="1">
      <c r="A25" s="7"/>
      <c r="B25" s="8">
        <v>22</v>
      </c>
      <c r="C25" s="20" t="s">
        <v>98</v>
      </c>
      <c r="D25" s="20" t="s">
        <v>98</v>
      </c>
      <c r="E25" s="8" t="s">
        <v>74</v>
      </c>
      <c r="F25" s="8" t="s">
        <v>75</v>
      </c>
      <c r="G25" s="19" t="s">
        <v>73</v>
      </c>
      <c r="H25" s="29" t="s">
        <v>76</v>
      </c>
      <c r="I25" s="28"/>
      <c r="J25" s="24">
        <v>30049099</v>
      </c>
      <c r="K25" s="11">
        <v>0.05</v>
      </c>
      <c r="L25" s="21">
        <v>112.5</v>
      </c>
      <c r="M25" s="22">
        <f t="shared" si="0"/>
        <v>99</v>
      </c>
      <c r="N25" s="23">
        <f t="shared" si="1"/>
        <v>13.5</v>
      </c>
      <c r="O25" s="26">
        <f t="shared" si="2"/>
        <v>0.12</v>
      </c>
      <c r="P25" s="28"/>
      <c r="Q25" s="28" t="s">
        <v>867</v>
      </c>
      <c r="R25" s="28" t="s">
        <v>888</v>
      </c>
      <c r="S25" s="28"/>
      <c r="T25" s="30">
        <v>1</v>
      </c>
      <c r="U25" s="20" t="s">
        <v>600</v>
      </c>
      <c r="V25" s="28"/>
      <c r="W25" s="28" t="s">
        <v>934</v>
      </c>
      <c r="X25" s="43"/>
      <c r="Y25" s="40" t="s">
        <v>911</v>
      </c>
      <c r="Z25" s="40" t="s">
        <v>911</v>
      </c>
      <c r="AA25" s="28"/>
      <c r="AB25" s="28"/>
      <c r="AC25" s="28"/>
      <c r="AD25" s="28"/>
      <c r="AE25" s="28"/>
      <c r="AF25" s="28"/>
      <c r="AG25" s="28"/>
      <c r="AH25" s="28"/>
      <c r="AI25" s="20" t="s">
        <v>1328</v>
      </c>
      <c r="AJ25" s="28"/>
      <c r="AK25" s="28"/>
      <c r="AL25" s="28"/>
      <c r="AM25" s="28"/>
      <c r="AN25" s="35" t="s">
        <v>482</v>
      </c>
      <c r="AO25" s="28"/>
      <c r="AP25" s="28"/>
      <c r="AQ25" s="44"/>
      <c r="AR25" s="58" t="s">
        <v>1279</v>
      </c>
      <c r="AS25" s="40" t="s">
        <v>911</v>
      </c>
      <c r="AT25" s="58" t="s">
        <v>1279</v>
      </c>
      <c r="AU25" s="57"/>
      <c r="AV25" s="56"/>
      <c r="AW25" s="66"/>
      <c r="AX25" s="36"/>
    </row>
    <row r="26" spans="1:55" ht="48" customHeight="1" thickBot="1">
      <c r="A26" s="7"/>
      <c r="B26" s="8">
        <v>23</v>
      </c>
      <c r="C26" s="20" t="s">
        <v>99</v>
      </c>
      <c r="D26" s="20" t="s">
        <v>99</v>
      </c>
      <c r="E26" s="8" t="s">
        <v>74</v>
      </c>
      <c r="F26" s="8" t="s">
        <v>75</v>
      </c>
      <c r="G26" s="19" t="s">
        <v>73</v>
      </c>
      <c r="H26" s="29" t="s">
        <v>76</v>
      </c>
      <c r="I26" s="28"/>
      <c r="J26" s="24">
        <v>30049099</v>
      </c>
      <c r="K26" s="11">
        <v>0.05</v>
      </c>
      <c r="L26" s="21">
        <v>121.88</v>
      </c>
      <c r="M26" s="22">
        <f t="shared" si="0"/>
        <v>107.25439999999999</v>
      </c>
      <c r="N26" s="23">
        <f t="shared" si="1"/>
        <v>14.625600000000006</v>
      </c>
      <c r="O26" s="26">
        <f t="shared" si="2"/>
        <v>0.12000000000000005</v>
      </c>
      <c r="P26" s="28"/>
      <c r="Q26" s="28" t="s">
        <v>867</v>
      </c>
      <c r="R26" s="28" t="s">
        <v>888</v>
      </c>
      <c r="S26" s="28"/>
      <c r="T26" s="30">
        <v>1</v>
      </c>
      <c r="U26" s="20" t="s">
        <v>600</v>
      </c>
      <c r="V26" s="28"/>
      <c r="W26" s="28" t="s">
        <v>934</v>
      </c>
      <c r="X26" s="43"/>
      <c r="Y26" s="40" t="s">
        <v>912</v>
      </c>
      <c r="Z26" s="40" t="s">
        <v>912</v>
      </c>
      <c r="AA26" s="28"/>
      <c r="AB26" s="28"/>
      <c r="AC26" s="28"/>
      <c r="AD26" s="28"/>
      <c r="AE26" s="28"/>
      <c r="AF26" s="28"/>
      <c r="AG26" s="28"/>
      <c r="AH26" s="28"/>
      <c r="AI26" s="20" t="s">
        <v>1328</v>
      </c>
      <c r="AJ26" s="28"/>
      <c r="AK26" s="28"/>
      <c r="AL26" s="28"/>
      <c r="AM26" s="28"/>
      <c r="AN26" s="35" t="s">
        <v>483</v>
      </c>
      <c r="AO26" s="28"/>
      <c r="AP26" s="28"/>
      <c r="AQ26" s="44"/>
      <c r="AR26" s="58" t="s">
        <v>1280</v>
      </c>
      <c r="AS26" s="40" t="s">
        <v>912</v>
      </c>
      <c r="AT26" s="58" t="s">
        <v>1280</v>
      </c>
      <c r="AU26" s="57"/>
      <c r="AV26" s="56"/>
      <c r="AW26" s="66"/>
      <c r="AX26" s="36"/>
    </row>
    <row r="27" spans="1:55" ht="48.75" customHeight="1" thickBot="1">
      <c r="A27" s="7"/>
      <c r="B27" s="8">
        <v>24</v>
      </c>
      <c r="C27" s="20" t="s">
        <v>100</v>
      </c>
      <c r="D27" s="20" t="s">
        <v>100</v>
      </c>
      <c r="E27" s="8" t="s">
        <v>74</v>
      </c>
      <c r="F27" s="8" t="s">
        <v>75</v>
      </c>
      <c r="G27" s="19" t="s">
        <v>73</v>
      </c>
      <c r="H27" s="29" t="s">
        <v>76</v>
      </c>
      <c r="I27" s="28"/>
      <c r="J27" s="24">
        <v>30049099</v>
      </c>
      <c r="K27" s="11">
        <v>0.05</v>
      </c>
      <c r="L27" s="21">
        <v>164.06</v>
      </c>
      <c r="M27" s="22">
        <f t="shared" si="0"/>
        <v>144.37280000000001</v>
      </c>
      <c r="N27" s="23">
        <f t="shared" si="1"/>
        <v>19.68719999999999</v>
      </c>
      <c r="O27" s="26">
        <f t="shared" si="2"/>
        <v>0.11999999999999994</v>
      </c>
      <c r="P27" s="28"/>
      <c r="Q27" s="28" t="s">
        <v>867</v>
      </c>
      <c r="R27" s="28" t="s">
        <v>888</v>
      </c>
      <c r="S27" s="28"/>
      <c r="T27" s="30">
        <v>1</v>
      </c>
      <c r="U27" s="20" t="s">
        <v>600</v>
      </c>
      <c r="V27" s="28"/>
      <c r="W27" s="28" t="s">
        <v>934</v>
      </c>
      <c r="X27" s="43"/>
      <c r="Y27" s="40" t="s">
        <v>913</v>
      </c>
      <c r="Z27" s="40" t="s">
        <v>913</v>
      </c>
      <c r="AA27" s="28"/>
      <c r="AB27" s="28"/>
      <c r="AC27" s="28"/>
      <c r="AD27" s="28"/>
      <c r="AE27" s="28"/>
      <c r="AF27" s="28"/>
      <c r="AG27" s="28"/>
      <c r="AH27" s="28"/>
      <c r="AI27" s="20" t="s">
        <v>1328</v>
      </c>
      <c r="AJ27" s="28"/>
      <c r="AK27" s="28"/>
      <c r="AL27" s="28"/>
      <c r="AM27" s="28"/>
      <c r="AN27" s="35" t="s">
        <v>484</v>
      </c>
      <c r="AO27" s="28"/>
      <c r="AP27" s="28"/>
      <c r="AQ27" s="44"/>
      <c r="AR27" s="58" t="s">
        <v>1281</v>
      </c>
      <c r="AS27" s="40" t="s">
        <v>913</v>
      </c>
      <c r="AT27" s="58" t="s">
        <v>1281</v>
      </c>
      <c r="AU27" s="57"/>
      <c r="AV27" s="56"/>
      <c r="AW27" s="66"/>
      <c r="AX27" s="36"/>
    </row>
    <row r="28" spans="1:55" ht="69.75" customHeight="1" thickBot="1">
      <c r="A28" s="7"/>
      <c r="B28" s="8">
        <v>25</v>
      </c>
      <c r="C28" s="20" t="s">
        <v>101</v>
      </c>
      <c r="D28" s="20" t="s">
        <v>101</v>
      </c>
      <c r="E28" s="8" t="s">
        <v>74</v>
      </c>
      <c r="F28" s="8" t="s">
        <v>75</v>
      </c>
      <c r="G28" s="19" t="s">
        <v>73</v>
      </c>
      <c r="H28" s="29" t="s">
        <v>76</v>
      </c>
      <c r="I28" s="28"/>
      <c r="J28" s="24">
        <v>21069099</v>
      </c>
      <c r="K28" s="11">
        <v>0.05</v>
      </c>
      <c r="L28" s="21">
        <v>4183</v>
      </c>
      <c r="M28" s="22">
        <f t="shared" si="0"/>
        <v>3681.04</v>
      </c>
      <c r="N28" s="23">
        <f t="shared" si="1"/>
        <v>501.96000000000004</v>
      </c>
      <c r="O28" s="26">
        <f t="shared" si="2"/>
        <v>0.12000000000000001</v>
      </c>
      <c r="P28" s="28"/>
      <c r="Q28" s="28" t="s">
        <v>865</v>
      </c>
      <c r="R28" s="28" t="s">
        <v>889</v>
      </c>
      <c r="S28" s="28"/>
      <c r="T28" s="30">
        <v>1</v>
      </c>
      <c r="U28" s="20" t="s">
        <v>597</v>
      </c>
      <c r="V28" s="28"/>
      <c r="W28" s="28" t="s">
        <v>929</v>
      </c>
      <c r="X28" s="43"/>
      <c r="Y28" s="40" t="s">
        <v>914</v>
      </c>
      <c r="Z28" s="40" t="s">
        <v>914</v>
      </c>
      <c r="AA28" s="28"/>
      <c r="AB28" s="28"/>
      <c r="AC28" s="28"/>
      <c r="AD28" s="20" t="s">
        <v>1332</v>
      </c>
      <c r="AE28" s="28"/>
      <c r="AF28" s="28"/>
      <c r="AG28" s="28"/>
      <c r="AH28" s="28"/>
      <c r="AI28" s="20" t="s">
        <v>1329</v>
      </c>
      <c r="AJ28" s="28"/>
      <c r="AK28" s="28"/>
      <c r="AL28" s="28"/>
      <c r="AM28" s="28"/>
      <c r="AN28" s="35" t="s">
        <v>485</v>
      </c>
      <c r="AO28" s="28"/>
      <c r="AP28" s="28"/>
      <c r="AQ28" s="44"/>
      <c r="AR28" s="58" t="s">
        <v>1282</v>
      </c>
      <c r="AS28" s="40" t="s">
        <v>914</v>
      </c>
      <c r="AT28" s="58" t="s">
        <v>1282</v>
      </c>
      <c r="AU28" s="57"/>
      <c r="AV28" s="56"/>
      <c r="AW28" s="66"/>
      <c r="AX28" s="36"/>
    </row>
    <row r="29" spans="1:55" ht="56.25" customHeight="1" thickBot="1">
      <c r="A29" s="7"/>
      <c r="B29" s="8">
        <v>26</v>
      </c>
      <c r="C29" s="20" t="s">
        <v>102</v>
      </c>
      <c r="D29" s="20" t="s">
        <v>102</v>
      </c>
      <c r="E29" s="8" t="s">
        <v>74</v>
      </c>
      <c r="F29" s="8" t="s">
        <v>75</v>
      </c>
      <c r="G29" s="19" t="s">
        <v>73</v>
      </c>
      <c r="H29" s="29" t="s">
        <v>76</v>
      </c>
      <c r="I29" s="28"/>
      <c r="J29" s="24">
        <v>21069099</v>
      </c>
      <c r="K29" s="11">
        <v>0.05</v>
      </c>
      <c r="L29" s="21">
        <v>180</v>
      </c>
      <c r="M29" s="22">
        <f t="shared" si="0"/>
        <v>158.4</v>
      </c>
      <c r="N29" s="23">
        <f t="shared" si="1"/>
        <v>21.599999999999994</v>
      </c>
      <c r="O29" s="26">
        <f t="shared" si="2"/>
        <v>0.11999999999999997</v>
      </c>
      <c r="P29" s="28"/>
      <c r="Q29" s="28" t="s">
        <v>862</v>
      </c>
      <c r="R29" s="28" t="s">
        <v>889</v>
      </c>
      <c r="S29" s="28"/>
      <c r="T29" s="30">
        <v>1</v>
      </c>
      <c r="U29" s="20" t="s">
        <v>601</v>
      </c>
      <c r="V29" s="28"/>
      <c r="W29" s="28" t="s">
        <v>931</v>
      </c>
      <c r="X29" s="43"/>
      <c r="Y29" s="40" t="s">
        <v>915</v>
      </c>
      <c r="Z29" s="40" t="s">
        <v>915</v>
      </c>
      <c r="AA29" s="28"/>
      <c r="AB29" s="28"/>
      <c r="AC29" s="28"/>
      <c r="AD29" s="28"/>
      <c r="AE29" s="28"/>
      <c r="AF29" s="28"/>
      <c r="AG29" s="28"/>
      <c r="AH29" s="28"/>
      <c r="AI29" s="20" t="s">
        <v>1327</v>
      </c>
      <c r="AJ29" s="28"/>
      <c r="AK29" s="28"/>
      <c r="AL29" s="28"/>
      <c r="AM29" s="28"/>
      <c r="AN29" s="28"/>
      <c r="AO29" s="28"/>
      <c r="AP29" s="28"/>
      <c r="AQ29" s="44"/>
      <c r="AR29" s="58" t="s">
        <v>1283</v>
      </c>
      <c r="AS29" s="40" t="s">
        <v>915</v>
      </c>
      <c r="AT29" s="58" t="s">
        <v>1283</v>
      </c>
      <c r="AU29" s="57"/>
      <c r="AV29" s="56"/>
      <c r="AW29" s="66"/>
      <c r="AX29" s="36"/>
    </row>
    <row r="30" spans="1:55" ht="29.25" customHeight="1" thickBot="1">
      <c r="A30" s="7"/>
      <c r="B30" s="8">
        <v>27</v>
      </c>
      <c r="C30" s="20" t="s">
        <v>103</v>
      </c>
      <c r="D30" s="20" t="s">
        <v>103</v>
      </c>
      <c r="E30" s="8" t="s">
        <v>74</v>
      </c>
      <c r="F30" s="8" t="s">
        <v>75</v>
      </c>
      <c r="G30" s="19" t="s">
        <v>73</v>
      </c>
      <c r="H30" s="29" t="s">
        <v>76</v>
      </c>
      <c r="I30" s="28"/>
      <c r="J30" s="25" t="s">
        <v>586</v>
      </c>
      <c r="K30" s="11">
        <v>0.18</v>
      </c>
      <c r="L30" s="21">
        <v>190</v>
      </c>
      <c r="M30" s="22">
        <f t="shared" si="0"/>
        <v>167.2</v>
      </c>
      <c r="N30" s="23">
        <f t="shared" si="1"/>
        <v>22.800000000000011</v>
      </c>
      <c r="O30" s="26">
        <f t="shared" si="2"/>
        <v>0.12000000000000006</v>
      </c>
      <c r="P30" s="28"/>
      <c r="Q30" s="28"/>
      <c r="R30" s="28" t="s">
        <v>888</v>
      </c>
      <c r="S30" s="28"/>
      <c r="T30" s="30">
        <v>1</v>
      </c>
      <c r="U30" s="20" t="s">
        <v>592</v>
      </c>
      <c r="V30" s="28"/>
      <c r="W30" s="28" t="s">
        <v>931</v>
      </c>
      <c r="X30" s="43"/>
      <c r="Y30" s="40" t="s">
        <v>916</v>
      </c>
      <c r="Z30" s="40" t="s">
        <v>916</v>
      </c>
      <c r="AA30" s="28"/>
      <c r="AB30" s="28"/>
      <c r="AC30" s="28"/>
      <c r="AD30" s="28"/>
      <c r="AE30" s="28"/>
      <c r="AF30" s="28"/>
      <c r="AG30" s="28"/>
      <c r="AH30" s="28"/>
      <c r="AI30" s="20" t="s">
        <v>1327</v>
      </c>
      <c r="AJ30" s="28"/>
      <c r="AK30" s="28"/>
      <c r="AL30" s="28"/>
      <c r="AM30" s="28"/>
      <c r="AN30" s="28"/>
      <c r="AO30" s="28"/>
      <c r="AP30" s="28"/>
      <c r="AQ30" s="44"/>
      <c r="AR30" s="58" t="s">
        <v>1284</v>
      </c>
      <c r="AS30" s="40" t="s">
        <v>916</v>
      </c>
      <c r="AT30" s="58" t="s">
        <v>1284</v>
      </c>
      <c r="AU30" s="57"/>
      <c r="AV30" s="56"/>
      <c r="AW30" s="66"/>
      <c r="AX30" s="36"/>
    </row>
    <row r="31" spans="1:55" ht="43.5" customHeight="1" thickBot="1">
      <c r="A31" s="7"/>
      <c r="B31" s="8">
        <v>28</v>
      </c>
      <c r="C31" s="20" t="s">
        <v>104</v>
      </c>
      <c r="D31" s="20" t="s">
        <v>104</v>
      </c>
      <c r="E31" s="8" t="s">
        <v>74</v>
      </c>
      <c r="F31" s="8" t="s">
        <v>75</v>
      </c>
      <c r="G31" s="19" t="s">
        <v>73</v>
      </c>
      <c r="H31" s="29" t="s">
        <v>76</v>
      </c>
      <c r="I31" s="28"/>
      <c r="J31" s="24">
        <v>30049099</v>
      </c>
      <c r="K31" s="11">
        <v>0.05</v>
      </c>
      <c r="L31" s="21">
        <v>2296.88</v>
      </c>
      <c r="M31" s="22">
        <f t="shared" si="0"/>
        <v>2021.2544</v>
      </c>
      <c r="N31" s="23">
        <f t="shared" si="1"/>
        <v>275.62560000000008</v>
      </c>
      <c r="O31" s="26">
        <f t="shared" si="2"/>
        <v>0.12000000000000002</v>
      </c>
      <c r="P31" s="28"/>
      <c r="Q31" s="28" t="s">
        <v>859</v>
      </c>
      <c r="R31" s="28" t="s">
        <v>889</v>
      </c>
      <c r="S31" s="28"/>
      <c r="T31" s="30">
        <v>1</v>
      </c>
      <c r="U31" s="20" t="s">
        <v>589</v>
      </c>
      <c r="V31" s="28"/>
      <c r="W31" s="28" t="s">
        <v>929</v>
      </c>
      <c r="X31" s="43"/>
      <c r="Y31" s="20" t="s">
        <v>917</v>
      </c>
      <c r="Z31" s="20" t="s">
        <v>917</v>
      </c>
      <c r="AA31" s="28"/>
      <c r="AB31" s="28"/>
      <c r="AC31" s="28"/>
      <c r="AD31" t="s">
        <v>1331</v>
      </c>
      <c r="AE31" s="28"/>
      <c r="AF31" s="28"/>
      <c r="AG31" s="28"/>
      <c r="AH31" s="28"/>
      <c r="AI31" s="20" t="s">
        <v>1327</v>
      </c>
      <c r="AJ31" s="28"/>
      <c r="AK31" s="28"/>
      <c r="AL31" s="28"/>
      <c r="AM31" s="28"/>
      <c r="AN31" s="35" t="s">
        <v>486</v>
      </c>
      <c r="AO31" s="28"/>
      <c r="AP31" s="28"/>
      <c r="AQ31" s="44"/>
      <c r="AR31" s="58" t="s">
        <v>1285</v>
      </c>
      <c r="AS31" s="20" t="s">
        <v>917</v>
      </c>
      <c r="AT31" s="58" t="s">
        <v>1285</v>
      </c>
      <c r="AU31" s="57"/>
      <c r="AV31" s="56"/>
      <c r="AW31" s="66"/>
      <c r="AX31" s="36"/>
    </row>
    <row r="32" spans="1:55" ht="15.75" customHeight="1" thickBot="1">
      <c r="A32" s="7"/>
      <c r="B32" s="8">
        <v>29</v>
      </c>
      <c r="C32" s="20" t="s">
        <v>105</v>
      </c>
      <c r="D32" s="20" t="s">
        <v>105</v>
      </c>
      <c r="E32" s="8" t="s">
        <v>74</v>
      </c>
      <c r="F32" s="8" t="s">
        <v>75</v>
      </c>
      <c r="G32" s="19" t="s">
        <v>73</v>
      </c>
      <c r="H32" s="29" t="s">
        <v>76</v>
      </c>
      <c r="I32" s="28"/>
      <c r="J32" s="24">
        <v>30049099</v>
      </c>
      <c r="K32" s="11">
        <v>0.05</v>
      </c>
      <c r="L32" s="21">
        <v>55</v>
      </c>
      <c r="M32" s="22">
        <f t="shared" si="0"/>
        <v>48.4</v>
      </c>
      <c r="N32" s="23">
        <f t="shared" si="1"/>
        <v>6.6000000000000014</v>
      </c>
      <c r="O32" s="26">
        <f t="shared" si="2"/>
        <v>0.12000000000000002</v>
      </c>
      <c r="P32" s="28"/>
      <c r="Q32" s="28" t="s">
        <v>863</v>
      </c>
      <c r="R32" s="28" t="s">
        <v>889</v>
      </c>
      <c r="S32" s="28"/>
      <c r="T32" s="30">
        <v>1</v>
      </c>
      <c r="U32" s="20" t="s">
        <v>592</v>
      </c>
      <c r="V32" s="28"/>
      <c r="W32" s="28" t="s">
        <v>931</v>
      </c>
      <c r="X32" s="43"/>
      <c r="Y32" s="20" t="s">
        <v>918</v>
      </c>
      <c r="Z32" s="20" t="s">
        <v>918</v>
      </c>
      <c r="AA32" s="28"/>
      <c r="AB32" s="28"/>
      <c r="AC32" s="28"/>
      <c r="AD32" s="28"/>
      <c r="AE32" s="28"/>
      <c r="AF32" s="28"/>
      <c r="AG32" s="28"/>
      <c r="AH32" s="28"/>
      <c r="AI32" s="20" t="s">
        <v>1326</v>
      </c>
      <c r="AJ32" s="28"/>
      <c r="AK32" s="28"/>
      <c r="AL32" s="28"/>
      <c r="AM32" s="28"/>
      <c r="AN32" s="28"/>
      <c r="AO32" s="28"/>
      <c r="AP32" s="28"/>
      <c r="AQ32" s="44"/>
      <c r="AR32" s="58" t="s">
        <v>1286</v>
      </c>
      <c r="AS32" s="20" t="s">
        <v>918</v>
      </c>
      <c r="AT32" s="58" t="s">
        <v>1286</v>
      </c>
      <c r="AU32" s="57"/>
      <c r="AV32" s="56"/>
      <c r="AW32" s="66"/>
      <c r="AX32" s="36"/>
    </row>
    <row r="33" spans="1:51" ht="43.5" customHeight="1" thickBot="1">
      <c r="A33" s="7"/>
      <c r="B33" s="8">
        <v>30</v>
      </c>
      <c r="C33" s="20" t="s">
        <v>106</v>
      </c>
      <c r="D33" s="20" t="s">
        <v>106</v>
      </c>
      <c r="E33" s="8" t="s">
        <v>74</v>
      </c>
      <c r="F33" s="8" t="s">
        <v>75</v>
      </c>
      <c r="G33" s="19" t="s">
        <v>73</v>
      </c>
      <c r="H33" s="29" t="s">
        <v>76</v>
      </c>
      <c r="I33" s="28"/>
      <c r="J33" s="24">
        <v>30042019</v>
      </c>
      <c r="K33" s="11">
        <v>0.05</v>
      </c>
      <c r="L33" s="21">
        <v>1017.78</v>
      </c>
      <c r="M33" s="22">
        <f t="shared" si="0"/>
        <v>895.64639999999997</v>
      </c>
      <c r="N33" s="23">
        <f t="shared" si="1"/>
        <v>122.1336</v>
      </c>
      <c r="O33" s="26">
        <f t="shared" si="2"/>
        <v>0.12000000000000001</v>
      </c>
      <c r="P33" s="28"/>
      <c r="Q33" s="28" t="s">
        <v>864</v>
      </c>
      <c r="R33" s="28" t="s">
        <v>891</v>
      </c>
      <c r="S33" s="28"/>
      <c r="T33" s="30">
        <v>1</v>
      </c>
      <c r="U33" s="20" t="s">
        <v>602</v>
      </c>
      <c r="V33" s="28"/>
      <c r="W33" s="28" t="s">
        <v>930</v>
      </c>
      <c r="X33" s="43"/>
      <c r="Y33" s="20" t="s">
        <v>919</v>
      </c>
      <c r="Z33" s="20" t="s">
        <v>919</v>
      </c>
      <c r="AA33" s="28"/>
      <c r="AB33" s="28"/>
      <c r="AC33" s="28"/>
      <c r="AD33" s="28"/>
      <c r="AE33" s="28"/>
      <c r="AF33" s="28"/>
      <c r="AG33" s="28"/>
      <c r="AH33" s="28"/>
      <c r="AI33" s="20" t="s">
        <v>1325</v>
      </c>
      <c r="AJ33" s="28"/>
      <c r="AK33" s="28"/>
      <c r="AL33" s="28"/>
      <c r="AM33" s="28"/>
      <c r="AN33" s="35" t="s">
        <v>488</v>
      </c>
      <c r="AO33" s="28"/>
      <c r="AP33" s="28"/>
      <c r="AQ33" s="44"/>
      <c r="AR33" s="58" t="s">
        <v>1287</v>
      </c>
      <c r="AS33" s="20" t="s">
        <v>919</v>
      </c>
      <c r="AT33" s="58" t="s">
        <v>1287</v>
      </c>
      <c r="AU33" s="57"/>
      <c r="AV33" s="56"/>
      <c r="AW33" s="66"/>
      <c r="AX33" s="36"/>
    </row>
    <row r="34" spans="1:51" ht="45" customHeight="1">
      <c r="A34" s="7"/>
      <c r="B34" s="8">
        <v>31</v>
      </c>
      <c r="C34" s="20" t="s">
        <v>107</v>
      </c>
      <c r="D34" s="20" t="s">
        <v>107</v>
      </c>
      <c r="E34" s="8" t="s">
        <v>74</v>
      </c>
      <c r="F34" s="8" t="s">
        <v>75</v>
      </c>
      <c r="G34" s="19" t="s">
        <v>73</v>
      </c>
      <c r="H34" s="29" t="s">
        <v>76</v>
      </c>
      <c r="I34" s="28"/>
      <c r="J34" s="24">
        <v>30045090</v>
      </c>
      <c r="K34" s="11">
        <v>0.05</v>
      </c>
      <c r="L34" s="21">
        <v>4550</v>
      </c>
      <c r="M34" s="22">
        <f t="shared" si="0"/>
        <v>4004</v>
      </c>
      <c r="N34" s="23">
        <f t="shared" si="1"/>
        <v>546</v>
      </c>
      <c r="O34" s="26">
        <f t="shared" si="2"/>
        <v>0.12</v>
      </c>
      <c r="P34" s="28"/>
      <c r="Q34" s="28" t="s">
        <v>859</v>
      </c>
      <c r="R34" s="28" t="s">
        <v>889</v>
      </c>
      <c r="S34" s="28"/>
      <c r="T34" s="30">
        <v>1</v>
      </c>
      <c r="U34" s="20" t="s">
        <v>603</v>
      </c>
      <c r="V34" s="28"/>
      <c r="W34" s="28" t="s">
        <v>929</v>
      </c>
      <c r="X34" s="43"/>
      <c r="Y34" s="20" t="s">
        <v>920</v>
      </c>
      <c r="Z34" s="20" t="s">
        <v>920</v>
      </c>
      <c r="AA34" s="28"/>
      <c r="AB34" s="28"/>
      <c r="AC34" s="28"/>
      <c r="AD34" s="20" t="s">
        <v>1332</v>
      </c>
      <c r="AE34" s="28"/>
      <c r="AF34" s="28"/>
      <c r="AG34" s="28"/>
      <c r="AH34" s="28"/>
      <c r="AI34" s="20" t="s">
        <v>1327</v>
      </c>
      <c r="AJ34" s="28"/>
      <c r="AK34" s="28"/>
      <c r="AL34" s="28"/>
      <c r="AM34" s="28"/>
      <c r="AN34" s="35" t="s">
        <v>489</v>
      </c>
      <c r="AO34" s="28" t="s">
        <v>487</v>
      </c>
      <c r="AP34" s="28"/>
      <c r="AQ34" s="44"/>
      <c r="AR34" s="62" t="s">
        <v>1288</v>
      </c>
      <c r="AS34" s="20" t="s">
        <v>920</v>
      </c>
      <c r="AT34" s="62" t="s">
        <v>1288</v>
      </c>
      <c r="AU34" s="47"/>
      <c r="AV34" s="28"/>
      <c r="AW34" s="66"/>
      <c r="AX34" s="36"/>
    </row>
    <row r="35" spans="1:51" ht="54" customHeight="1">
      <c r="A35" s="7"/>
      <c r="B35" s="8">
        <v>32</v>
      </c>
      <c r="C35" s="20" t="s">
        <v>108</v>
      </c>
      <c r="D35" s="20" t="s">
        <v>108</v>
      </c>
      <c r="E35" s="8" t="s">
        <v>74</v>
      </c>
      <c r="F35" s="8" t="s">
        <v>75</v>
      </c>
      <c r="G35" s="19" t="s">
        <v>73</v>
      </c>
      <c r="H35" s="29" t="s">
        <v>76</v>
      </c>
      <c r="I35" s="28"/>
      <c r="J35" s="24">
        <v>30049099</v>
      </c>
      <c r="K35" s="11">
        <v>0.05</v>
      </c>
      <c r="L35" s="21">
        <v>990</v>
      </c>
      <c r="M35" s="22">
        <f t="shared" si="0"/>
        <v>871.2</v>
      </c>
      <c r="N35" s="23">
        <f t="shared" si="1"/>
        <v>118.79999999999995</v>
      </c>
      <c r="O35" s="26">
        <f t="shared" si="2"/>
        <v>0.11999999999999995</v>
      </c>
      <c r="P35" s="28"/>
      <c r="Q35" s="28" t="s">
        <v>859</v>
      </c>
      <c r="R35" s="28" t="s">
        <v>889</v>
      </c>
      <c r="S35" s="28"/>
      <c r="T35" s="30">
        <v>1</v>
      </c>
      <c r="U35" s="20" t="s">
        <v>604</v>
      </c>
      <c r="V35" s="28"/>
      <c r="W35" s="28" t="s">
        <v>929</v>
      </c>
      <c r="X35" s="43"/>
      <c r="Y35" s="20" t="s">
        <v>921</v>
      </c>
      <c r="Z35" s="20" t="s">
        <v>921</v>
      </c>
      <c r="AA35" s="28"/>
      <c r="AB35" s="28"/>
      <c r="AC35" s="28"/>
      <c r="AD35" s="28"/>
      <c r="AE35" s="28"/>
      <c r="AF35" s="28"/>
      <c r="AG35" s="28"/>
      <c r="AH35" s="28"/>
      <c r="AI35" s="20" t="s">
        <v>1326</v>
      </c>
      <c r="AJ35" s="28"/>
      <c r="AK35" s="28"/>
      <c r="AL35" s="28"/>
      <c r="AM35" s="28"/>
      <c r="AN35" s="35" t="s">
        <v>490</v>
      </c>
      <c r="AO35" s="28"/>
      <c r="AP35" s="28"/>
      <c r="AQ35" s="44"/>
      <c r="AR35" s="62" t="s">
        <v>1289</v>
      </c>
      <c r="AS35" s="20" t="s">
        <v>921</v>
      </c>
      <c r="AT35" s="62" t="s">
        <v>1289</v>
      </c>
      <c r="AU35" s="47"/>
      <c r="AV35" s="28"/>
      <c r="AW35" s="66"/>
      <c r="AX35" s="36"/>
    </row>
    <row r="36" spans="1:51" ht="48" customHeight="1">
      <c r="A36" s="7"/>
      <c r="B36" s="8">
        <v>33</v>
      </c>
      <c r="C36" s="20" t="s">
        <v>109</v>
      </c>
      <c r="D36" s="20" t="s">
        <v>109</v>
      </c>
      <c r="E36" s="8" t="s">
        <v>74</v>
      </c>
      <c r="F36" s="8" t="s">
        <v>75</v>
      </c>
      <c r="G36" s="19" t="s">
        <v>73</v>
      </c>
      <c r="H36" s="29" t="s">
        <v>76</v>
      </c>
      <c r="I36" s="28"/>
      <c r="J36" s="24">
        <v>300410</v>
      </c>
      <c r="K36" s="11">
        <v>0.05</v>
      </c>
      <c r="L36" s="21">
        <v>362.25</v>
      </c>
      <c r="M36" s="22">
        <f t="shared" si="0"/>
        <v>318.78000000000003</v>
      </c>
      <c r="N36" s="23">
        <f t="shared" si="1"/>
        <v>43.46999999999997</v>
      </c>
      <c r="O36" s="26">
        <f t="shared" si="2"/>
        <v>0.11999999999999991</v>
      </c>
      <c r="P36" s="28"/>
      <c r="Q36" s="28" t="s">
        <v>859</v>
      </c>
      <c r="R36" s="28" t="s">
        <v>889</v>
      </c>
      <c r="S36" s="28"/>
      <c r="T36" s="30">
        <v>1</v>
      </c>
      <c r="U36" s="20" t="s">
        <v>605</v>
      </c>
      <c r="V36" s="28"/>
      <c r="W36" s="28" t="s">
        <v>929</v>
      </c>
      <c r="X36" s="43"/>
      <c r="Y36" s="20" t="s">
        <v>922</v>
      </c>
      <c r="Z36" s="20" t="s">
        <v>922</v>
      </c>
      <c r="AA36" s="28"/>
      <c r="AB36" s="28"/>
      <c r="AC36" s="28"/>
      <c r="AD36" s="20" t="s">
        <v>1332</v>
      </c>
      <c r="AE36" s="28"/>
      <c r="AF36" s="28"/>
      <c r="AG36" s="28"/>
      <c r="AH36" s="28"/>
      <c r="AI36" s="20" t="s">
        <v>1327</v>
      </c>
      <c r="AJ36" s="28"/>
      <c r="AK36" s="28"/>
      <c r="AL36" s="28"/>
      <c r="AM36" s="28"/>
      <c r="AN36" s="35" t="s">
        <v>491</v>
      </c>
      <c r="AO36" s="28"/>
      <c r="AP36" s="28"/>
      <c r="AQ36" s="44"/>
      <c r="AR36" s="62" t="s">
        <v>1290</v>
      </c>
      <c r="AS36" s="20" t="s">
        <v>922</v>
      </c>
      <c r="AT36" s="62" t="s">
        <v>1290</v>
      </c>
      <c r="AU36" s="47"/>
      <c r="AV36" s="28"/>
      <c r="AW36" s="66"/>
      <c r="AX36" s="36"/>
    </row>
    <row r="37" spans="1:51" ht="47.25" customHeight="1">
      <c r="A37" s="7"/>
      <c r="B37" s="8">
        <v>34</v>
      </c>
      <c r="C37" s="20" t="s">
        <v>110</v>
      </c>
      <c r="D37" s="20" t="s">
        <v>110</v>
      </c>
      <c r="E37" s="8" t="s">
        <v>74</v>
      </c>
      <c r="F37" s="8" t="s">
        <v>75</v>
      </c>
      <c r="G37" s="19" t="s">
        <v>73</v>
      </c>
      <c r="H37" s="29" t="s">
        <v>76</v>
      </c>
      <c r="I37" s="28"/>
      <c r="J37" s="24">
        <v>300410</v>
      </c>
      <c r="K37" s="11">
        <v>0.05</v>
      </c>
      <c r="L37" s="21">
        <v>524.53</v>
      </c>
      <c r="M37" s="22">
        <f t="shared" si="0"/>
        <v>461.58639999999997</v>
      </c>
      <c r="N37" s="23">
        <f t="shared" si="1"/>
        <v>62.943600000000004</v>
      </c>
      <c r="O37" s="26">
        <f t="shared" si="2"/>
        <v>0.12000000000000001</v>
      </c>
      <c r="P37" s="28"/>
      <c r="Q37" s="28" t="s">
        <v>859</v>
      </c>
      <c r="R37" s="28" t="s">
        <v>889</v>
      </c>
      <c r="S37" s="28"/>
      <c r="T37" s="30">
        <v>1</v>
      </c>
      <c r="U37" s="20" t="s">
        <v>605</v>
      </c>
      <c r="V37" s="28"/>
      <c r="W37" s="28" t="s">
        <v>929</v>
      </c>
      <c r="X37" s="43"/>
      <c r="Y37" s="20" t="s">
        <v>923</v>
      </c>
      <c r="Z37" s="20" t="s">
        <v>923</v>
      </c>
      <c r="AA37" s="28"/>
      <c r="AB37" s="28"/>
      <c r="AC37" s="28"/>
      <c r="AD37" s="20" t="s">
        <v>1332</v>
      </c>
      <c r="AE37" s="28"/>
      <c r="AF37" s="28"/>
      <c r="AG37" s="28"/>
      <c r="AH37" s="28"/>
      <c r="AI37" s="20" t="s">
        <v>1327</v>
      </c>
      <c r="AJ37" s="28"/>
      <c r="AK37" s="28"/>
      <c r="AL37" s="28"/>
      <c r="AM37" s="28"/>
      <c r="AN37" s="35" t="s">
        <v>492</v>
      </c>
      <c r="AO37" s="28"/>
      <c r="AP37" s="28"/>
      <c r="AQ37" s="44"/>
      <c r="AR37" s="62" t="s">
        <v>1291</v>
      </c>
      <c r="AS37" s="20" t="s">
        <v>923</v>
      </c>
      <c r="AT37" s="62" t="s">
        <v>1291</v>
      </c>
      <c r="AU37" s="47"/>
      <c r="AV37" s="28"/>
      <c r="AW37" s="66"/>
      <c r="AX37" s="36"/>
    </row>
    <row r="38" spans="1:51" ht="29.25" customHeight="1">
      <c r="A38" s="7"/>
      <c r="B38" s="8">
        <v>35</v>
      </c>
      <c r="C38" s="20" t="s">
        <v>111</v>
      </c>
      <c r="D38" s="20" t="s">
        <v>111</v>
      </c>
      <c r="E38" s="8" t="s">
        <v>74</v>
      </c>
      <c r="F38" s="8" t="s">
        <v>75</v>
      </c>
      <c r="G38" s="19" t="s">
        <v>73</v>
      </c>
      <c r="H38" s="29" t="s">
        <v>76</v>
      </c>
      <c r="I38" s="28"/>
      <c r="J38" s="24">
        <v>30049099</v>
      </c>
      <c r="K38" s="11">
        <v>0.05</v>
      </c>
      <c r="L38" s="21">
        <v>558.19000000000005</v>
      </c>
      <c r="M38" s="22">
        <f t="shared" si="0"/>
        <v>491.20720000000006</v>
      </c>
      <c r="N38" s="23">
        <f t="shared" si="1"/>
        <v>66.982799999999997</v>
      </c>
      <c r="O38" s="26">
        <f t="shared" si="2"/>
        <v>0.11999999999999998</v>
      </c>
      <c r="P38" s="28"/>
      <c r="Q38" s="28" t="s">
        <v>859</v>
      </c>
      <c r="R38" s="28" t="s">
        <v>889</v>
      </c>
      <c r="S38" s="28"/>
      <c r="T38" s="30">
        <v>1</v>
      </c>
      <c r="U38" s="20" t="s">
        <v>606</v>
      </c>
      <c r="V38" s="28"/>
      <c r="W38" s="28" t="s">
        <v>929</v>
      </c>
      <c r="X38" s="43"/>
      <c r="Y38" s="20" t="s">
        <v>924</v>
      </c>
      <c r="Z38" s="20" t="s">
        <v>924</v>
      </c>
      <c r="AA38" s="28"/>
      <c r="AB38" s="28"/>
      <c r="AC38" s="28"/>
      <c r="AD38" s="28"/>
      <c r="AE38" s="28"/>
      <c r="AF38" s="28"/>
      <c r="AG38" s="28"/>
      <c r="AH38" s="28"/>
      <c r="AI38" s="20" t="s">
        <v>1327</v>
      </c>
      <c r="AJ38" s="28"/>
      <c r="AK38" s="28"/>
      <c r="AL38" s="28"/>
      <c r="AM38" s="28"/>
      <c r="AN38" s="35" t="s">
        <v>493</v>
      </c>
      <c r="AO38" s="28"/>
      <c r="AP38" s="28"/>
      <c r="AQ38" s="44"/>
      <c r="AR38" s="62" t="s">
        <v>1292</v>
      </c>
      <c r="AS38" s="20" t="s">
        <v>924</v>
      </c>
      <c r="AT38" s="62" t="s">
        <v>1292</v>
      </c>
      <c r="AU38" s="47"/>
      <c r="AV38" s="28"/>
      <c r="AW38" s="66"/>
      <c r="AX38" s="36"/>
    </row>
    <row r="39" spans="1:51" ht="15.75" customHeight="1">
      <c r="A39" s="7"/>
      <c r="B39" s="8">
        <v>36</v>
      </c>
      <c r="C39" s="20" t="s">
        <v>112</v>
      </c>
      <c r="D39" s="20" t="s">
        <v>112</v>
      </c>
      <c r="E39" s="8" t="s">
        <v>74</v>
      </c>
      <c r="F39" s="8" t="s">
        <v>75</v>
      </c>
      <c r="G39" s="19" t="s">
        <v>73</v>
      </c>
      <c r="H39" s="29" t="s">
        <v>76</v>
      </c>
      <c r="I39" s="28"/>
      <c r="J39" s="24">
        <v>300490</v>
      </c>
      <c r="K39" s="11">
        <v>0.05</v>
      </c>
      <c r="L39" s="21">
        <v>750</v>
      </c>
      <c r="M39" s="22">
        <f t="shared" si="0"/>
        <v>660</v>
      </c>
      <c r="N39" s="23">
        <f t="shared" si="1"/>
        <v>90</v>
      </c>
      <c r="O39" s="26">
        <f t="shared" si="2"/>
        <v>0.12</v>
      </c>
      <c r="P39" s="28"/>
      <c r="Q39" s="28" t="s">
        <v>859</v>
      </c>
      <c r="R39" s="28" t="s">
        <v>889</v>
      </c>
      <c r="S39" s="28"/>
      <c r="T39" s="30">
        <v>1</v>
      </c>
      <c r="U39" s="20" t="s">
        <v>605</v>
      </c>
      <c r="V39" s="28"/>
      <c r="W39" s="28" t="s">
        <v>929</v>
      </c>
      <c r="X39" s="43"/>
      <c r="Y39" s="20" t="s">
        <v>925</v>
      </c>
      <c r="Z39" s="20" t="s">
        <v>925</v>
      </c>
      <c r="AA39" s="28"/>
      <c r="AB39" s="28"/>
      <c r="AC39" s="28"/>
      <c r="AD39" s="28"/>
      <c r="AE39" s="28"/>
      <c r="AF39" s="28"/>
      <c r="AG39" s="28"/>
      <c r="AH39" s="28"/>
      <c r="AI39" s="20" t="s">
        <v>1325</v>
      </c>
      <c r="AJ39" s="28"/>
      <c r="AK39" s="28"/>
      <c r="AL39" s="28"/>
      <c r="AM39" s="28"/>
      <c r="AN39" s="28"/>
      <c r="AO39" s="28"/>
      <c r="AP39" s="28"/>
      <c r="AQ39" s="44"/>
      <c r="AR39" s="62" t="s">
        <v>1293</v>
      </c>
      <c r="AS39" s="20" t="s">
        <v>925</v>
      </c>
      <c r="AT39" s="62" t="s">
        <v>1293</v>
      </c>
      <c r="AU39" s="47"/>
      <c r="AV39" s="28"/>
      <c r="AW39" s="66"/>
      <c r="AX39" s="36"/>
    </row>
    <row r="40" spans="1:51" ht="33.75" customHeight="1">
      <c r="A40" s="7"/>
      <c r="B40" s="8">
        <v>37</v>
      </c>
      <c r="C40" s="20" t="s">
        <v>113</v>
      </c>
      <c r="D40" s="20" t="s">
        <v>113</v>
      </c>
      <c r="E40" s="8" t="s">
        <v>74</v>
      </c>
      <c r="F40" s="8" t="s">
        <v>75</v>
      </c>
      <c r="G40" s="19" t="s">
        <v>73</v>
      </c>
      <c r="H40" s="29" t="s">
        <v>76</v>
      </c>
      <c r="I40" s="28"/>
      <c r="J40" s="24">
        <v>34011110</v>
      </c>
      <c r="K40" s="11">
        <v>0.05</v>
      </c>
      <c r="L40" s="21">
        <v>111.2</v>
      </c>
      <c r="M40" s="22">
        <f t="shared" si="0"/>
        <v>97.856000000000009</v>
      </c>
      <c r="N40" s="23">
        <f t="shared" si="1"/>
        <v>13.343999999999994</v>
      </c>
      <c r="O40" s="26">
        <f t="shared" si="2"/>
        <v>0.11999999999999994</v>
      </c>
      <c r="P40" s="28"/>
      <c r="Q40" s="28" t="s">
        <v>868</v>
      </c>
      <c r="R40" s="28" t="s">
        <v>890</v>
      </c>
      <c r="S40" s="28"/>
      <c r="T40" s="30">
        <v>1</v>
      </c>
      <c r="U40" s="20" t="s">
        <v>607</v>
      </c>
      <c r="V40" s="28"/>
      <c r="W40" s="28" t="s">
        <v>935</v>
      </c>
      <c r="X40" s="43"/>
      <c r="Y40" s="20" t="s">
        <v>926</v>
      </c>
      <c r="Z40" s="20" t="s">
        <v>926</v>
      </c>
      <c r="AA40" s="28"/>
      <c r="AB40" s="28"/>
      <c r="AC40" s="28"/>
      <c r="AD40" s="28"/>
      <c r="AE40" s="28"/>
      <c r="AF40" s="28"/>
      <c r="AG40" s="28"/>
      <c r="AH40" s="28"/>
      <c r="AI40" s="20" t="s">
        <v>1322</v>
      </c>
      <c r="AJ40" s="28"/>
      <c r="AK40" s="28"/>
      <c r="AL40" s="28"/>
      <c r="AM40" s="28"/>
      <c r="AN40" s="35" t="s">
        <v>494</v>
      </c>
      <c r="AO40" s="28"/>
      <c r="AP40" s="28"/>
      <c r="AQ40" s="44"/>
      <c r="AR40" s="62" t="s">
        <v>1294</v>
      </c>
      <c r="AS40" s="20" t="s">
        <v>926</v>
      </c>
      <c r="AT40" s="62" t="s">
        <v>1294</v>
      </c>
      <c r="AU40" s="47"/>
      <c r="AV40" s="28"/>
      <c r="AW40" s="66"/>
      <c r="AX40" s="36"/>
    </row>
    <row r="41" spans="1:51" ht="38.25" customHeight="1">
      <c r="A41" s="7"/>
      <c r="B41" s="8">
        <v>38</v>
      </c>
      <c r="C41" s="20" t="s">
        <v>114</v>
      </c>
      <c r="D41" s="20" t="s">
        <v>114</v>
      </c>
      <c r="E41" s="8" t="s">
        <v>74</v>
      </c>
      <c r="F41" s="8" t="s">
        <v>75</v>
      </c>
      <c r="G41" s="19" t="s">
        <v>73</v>
      </c>
      <c r="H41" s="29" t="s">
        <v>76</v>
      </c>
      <c r="I41" s="28"/>
      <c r="J41" s="24">
        <v>30049099</v>
      </c>
      <c r="K41" s="11">
        <v>0.05</v>
      </c>
      <c r="L41" s="21">
        <v>115</v>
      </c>
      <c r="M41" s="22">
        <f t="shared" si="0"/>
        <v>101.2</v>
      </c>
      <c r="N41" s="23">
        <f t="shared" si="1"/>
        <v>13.799999999999997</v>
      </c>
      <c r="O41" s="26">
        <f t="shared" si="2"/>
        <v>0.11999999999999998</v>
      </c>
      <c r="P41" s="28"/>
      <c r="Q41" s="28" t="s">
        <v>868</v>
      </c>
      <c r="R41" s="28" t="s">
        <v>890</v>
      </c>
      <c r="S41" s="28"/>
      <c r="T41" s="30">
        <v>1</v>
      </c>
      <c r="U41" s="20" t="s">
        <v>608</v>
      </c>
      <c r="V41" s="28"/>
      <c r="W41" s="28" t="s">
        <v>935</v>
      </c>
      <c r="X41" s="43"/>
      <c r="Y41" s="40" t="s">
        <v>927</v>
      </c>
      <c r="Z41" s="40" t="s">
        <v>927</v>
      </c>
      <c r="AA41" s="28"/>
      <c r="AB41" s="28"/>
      <c r="AC41" s="28"/>
      <c r="AD41" s="28"/>
      <c r="AE41" s="28"/>
      <c r="AF41" s="28"/>
      <c r="AG41" s="28"/>
      <c r="AH41" s="28"/>
      <c r="AI41" s="20" t="s">
        <v>1322</v>
      </c>
      <c r="AJ41" s="28"/>
      <c r="AK41" s="28"/>
      <c r="AL41" s="28"/>
      <c r="AM41" s="28"/>
      <c r="AN41" s="37"/>
      <c r="AO41" s="28"/>
      <c r="AP41" s="28"/>
      <c r="AQ41" s="44"/>
      <c r="AR41" s="62" t="s">
        <v>1295</v>
      </c>
      <c r="AS41" s="40" t="s">
        <v>927</v>
      </c>
      <c r="AT41" s="62" t="s">
        <v>1295</v>
      </c>
      <c r="AU41" s="47"/>
      <c r="AV41" s="28"/>
      <c r="AW41" s="66"/>
      <c r="AX41" s="36"/>
    </row>
    <row r="42" spans="1:51" ht="27" customHeight="1">
      <c r="A42" s="7"/>
      <c r="B42" s="8">
        <v>39</v>
      </c>
      <c r="C42" s="20" t="s">
        <v>115</v>
      </c>
      <c r="D42" s="20" t="s">
        <v>115</v>
      </c>
      <c r="E42" s="8" t="s">
        <v>74</v>
      </c>
      <c r="F42" s="8" t="s">
        <v>75</v>
      </c>
      <c r="G42" s="19" t="s">
        <v>73</v>
      </c>
      <c r="H42" s="29" t="s">
        <v>76</v>
      </c>
      <c r="I42" s="28"/>
      <c r="J42" s="24">
        <v>30049011</v>
      </c>
      <c r="K42" s="11">
        <v>0.05</v>
      </c>
      <c r="L42" s="21">
        <v>164.06</v>
      </c>
      <c r="M42" s="22">
        <f t="shared" si="0"/>
        <v>144.37280000000001</v>
      </c>
      <c r="N42" s="23">
        <f t="shared" si="1"/>
        <v>19.68719999999999</v>
      </c>
      <c r="O42" s="26">
        <f t="shared" si="2"/>
        <v>0.11999999999999994</v>
      </c>
      <c r="P42" s="28"/>
      <c r="Q42" s="28" t="s">
        <v>862</v>
      </c>
      <c r="R42" s="28" t="s">
        <v>889</v>
      </c>
      <c r="S42" s="28"/>
      <c r="T42" s="30">
        <v>1</v>
      </c>
      <c r="U42" s="20" t="s">
        <v>601</v>
      </c>
      <c r="V42" s="28"/>
      <c r="W42" s="28" t="s">
        <v>931</v>
      </c>
      <c r="X42" s="43"/>
      <c r="Y42" s="20" t="s">
        <v>939</v>
      </c>
      <c r="Z42" s="20" t="s">
        <v>939</v>
      </c>
      <c r="AA42" s="28"/>
      <c r="AB42" s="28"/>
      <c r="AC42" s="28"/>
      <c r="AD42" s="28"/>
      <c r="AE42" s="28"/>
      <c r="AF42" s="28"/>
      <c r="AG42" s="28"/>
      <c r="AH42" s="28"/>
      <c r="AI42" s="20" t="s">
        <v>1327</v>
      </c>
      <c r="AJ42" s="28"/>
      <c r="AK42" s="28"/>
      <c r="AL42" s="28"/>
      <c r="AM42" s="28"/>
      <c r="AN42" s="35" t="s">
        <v>495</v>
      </c>
      <c r="AO42" s="28"/>
      <c r="AP42" s="28"/>
      <c r="AQ42" s="44"/>
      <c r="AR42" s="62" t="s">
        <v>1296</v>
      </c>
      <c r="AS42" s="20" t="s">
        <v>939</v>
      </c>
      <c r="AT42" s="62" t="s">
        <v>1296</v>
      </c>
      <c r="AU42" s="47"/>
      <c r="AV42" s="28"/>
      <c r="AW42" s="66"/>
      <c r="AX42" s="36"/>
    </row>
    <row r="43" spans="1:51" ht="27.75" customHeight="1" thickBot="1">
      <c r="A43" s="7"/>
      <c r="B43" s="8">
        <v>40</v>
      </c>
      <c r="C43" s="20" t="s">
        <v>116</v>
      </c>
      <c r="D43" s="20" t="s">
        <v>116</v>
      </c>
      <c r="E43" s="8" t="s">
        <v>74</v>
      </c>
      <c r="F43" s="8" t="s">
        <v>75</v>
      </c>
      <c r="G43" s="19" t="s">
        <v>73</v>
      </c>
      <c r="H43" s="29" t="s">
        <v>76</v>
      </c>
      <c r="I43" s="28"/>
      <c r="J43" s="24">
        <v>30045090</v>
      </c>
      <c r="K43" s="11">
        <v>0.05</v>
      </c>
      <c r="L43" s="21">
        <v>2484.38</v>
      </c>
      <c r="M43" s="22">
        <f t="shared" si="0"/>
        <v>2186.2544000000003</v>
      </c>
      <c r="N43" s="23">
        <f t="shared" si="1"/>
        <v>298.12559999999985</v>
      </c>
      <c r="O43" s="26">
        <f t="shared" si="2"/>
        <v>0.11999999999999994</v>
      </c>
      <c r="P43" s="28"/>
      <c r="Q43" s="28" t="s">
        <v>869</v>
      </c>
      <c r="R43" s="28" t="s">
        <v>889</v>
      </c>
      <c r="S43" s="28"/>
      <c r="T43" s="30">
        <v>1</v>
      </c>
      <c r="U43" s="20" t="s">
        <v>597</v>
      </c>
      <c r="V43" s="28"/>
      <c r="W43" s="28" t="s">
        <v>929</v>
      </c>
      <c r="X43" s="43"/>
      <c r="Y43" s="40" t="s">
        <v>940</v>
      </c>
      <c r="Z43" s="40" t="s">
        <v>940</v>
      </c>
      <c r="AA43" s="28"/>
      <c r="AB43" s="28"/>
      <c r="AC43" s="28"/>
      <c r="AD43" s="28"/>
      <c r="AE43" s="28"/>
      <c r="AF43" s="28"/>
      <c r="AG43" s="28"/>
      <c r="AH43" s="28"/>
      <c r="AI43" s="20" t="s">
        <v>1329</v>
      </c>
      <c r="AJ43" s="28"/>
      <c r="AK43" s="28"/>
      <c r="AL43" s="28"/>
      <c r="AM43" s="28"/>
      <c r="AN43" s="35" t="s">
        <v>496</v>
      </c>
      <c r="AO43" s="28"/>
      <c r="AP43" s="28"/>
      <c r="AQ43" s="44"/>
      <c r="AR43" s="62" t="s">
        <v>1297</v>
      </c>
      <c r="AS43" s="40" t="s">
        <v>940</v>
      </c>
      <c r="AT43" s="62" t="s">
        <v>1297</v>
      </c>
      <c r="AU43" s="47"/>
      <c r="AV43" s="28"/>
      <c r="AW43" s="66"/>
      <c r="AX43" s="36"/>
    </row>
    <row r="44" spans="1:51" ht="53.25" customHeight="1" thickBot="1">
      <c r="A44" s="7"/>
      <c r="B44" s="8">
        <v>41</v>
      </c>
      <c r="C44" s="20" t="s">
        <v>117</v>
      </c>
      <c r="D44" s="20" t="s">
        <v>117</v>
      </c>
      <c r="E44" s="8" t="s">
        <v>74</v>
      </c>
      <c r="F44" s="8" t="s">
        <v>75</v>
      </c>
      <c r="G44" s="19" t="s">
        <v>73</v>
      </c>
      <c r="H44" s="29" t="s">
        <v>76</v>
      </c>
      <c r="I44" s="28"/>
      <c r="J44" s="24">
        <v>30049099</v>
      </c>
      <c r="K44" s="11">
        <v>0.05</v>
      </c>
      <c r="L44" s="21">
        <v>2343.75</v>
      </c>
      <c r="M44" s="22">
        <f t="shared" si="0"/>
        <v>2062.5</v>
      </c>
      <c r="N44" s="23">
        <f t="shared" si="1"/>
        <v>281.25</v>
      </c>
      <c r="O44" s="26">
        <f t="shared" si="2"/>
        <v>0.12</v>
      </c>
      <c r="P44" s="28"/>
      <c r="Q44" s="28" t="s">
        <v>869</v>
      </c>
      <c r="R44" s="28" t="s">
        <v>889</v>
      </c>
      <c r="S44" s="28"/>
      <c r="T44" s="30">
        <v>1</v>
      </c>
      <c r="U44" s="20" t="s">
        <v>597</v>
      </c>
      <c r="V44" s="28"/>
      <c r="W44" s="28" t="s">
        <v>929</v>
      </c>
      <c r="X44" s="43"/>
      <c r="Y44" s="40" t="s">
        <v>941</v>
      </c>
      <c r="Z44" s="40" t="s">
        <v>941</v>
      </c>
      <c r="AA44" s="28"/>
      <c r="AB44" s="28"/>
      <c r="AC44" s="28"/>
      <c r="AD44" s="20" t="s">
        <v>1332</v>
      </c>
      <c r="AE44" s="28"/>
      <c r="AF44" s="28"/>
      <c r="AG44" s="28"/>
      <c r="AH44" s="28"/>
      <c r="AI44" s="20" t="s">
        <v>1322</v>
      </c>
      <c r="AJ44" s="28"/>
      <c r="AK44" s="28"/>
      <c r="AL44" s="28"/>
      <c r="AM44" s="28"/>
      <c r="AN44" s="35" t="s">
        <v>497</v>
      </c>
      <c r="AO44" s="28"/>
      <c r="AP44" s="28"/>
      <c r="AQ44" s="44"/>
      <c r="AR44" s="63" t="s">
        <v>1298</v>
      </c>
      <c r="AS44" s="40" t="s">
        <v>941</v>
      </c>
      <c r="AT44" s="63" t="s">
        <v>1298</v>
      </c>
      <c r="AU44" s="57"/>
      <c r="AV44" s="56"/>
      <c r="AW44" s="67"/>
      <c r="AX44" s="36"/>
    </row>
    <row r="45" spans="1:51" ht="33" customHeight="1" thickBot="1">
      <c r="A45" s="7"/>
      <c r="B45" s="8">
        <v>42</v>
      </c>
      <c r="C45" s="20" t="s">
        <v>118</v>
      </c>
      <c r="D45" s="20" t="s">
        <v>118</v>
      </c>
      <c r="E45" s="8" t="s">
        <v>74</v>
      </c>
      <c r="F45" s="8" t="s">
        <v>75</v>
      </c>
      <c r="G45" s="19" t="s">
        <v>73</v>
      </c>
      <c r="H45" s="29" t="s">
        <v>76</v>
      </c>
      <c r="I45" s="28"/>
      <c r="J45" s="24">
        <v>30049099</v>
      </c>
      <c r="K45" s="11">
        <v>0.05</v>
      </c>
      <c r="L45" s="21">
        <v>2296</v>
      </c>
      <c r="M45" s="22">
        <f t="shared" si="0"/>
        <v>2020.48</v>
      </c>
      <c r="N45" s="23">
        <f t="shared" si="1"/>
        <v>275.52</v>
      </c>
      <c r="O45" s="26">
        <f t="shared" si="2"/>
        <v>0.12</v>
      </c>
      <c r="P45" s="28"/>
      <c r="Q45" s="28" t="s">
        <v>859</v>
      </c>
      <c r="R45" s="28" t="s">
        <v>889</v>
      </c>
      <c r="S45" s="28"/>
      <c r="T45" s="30">
        <v>1</v>
      </c>
      <c r="U45" s="20" t="s">
        <v>597</v>
      </c>
      <c r="V45" s="28"/>
      <c r="W45" s="28" t="s">
        <v>929</v>
      </c>
      <c r="X45" s="43"/>
      <c r="Y45" s="40" t="s">
        <v>942</v>
      </c>
      <c r="Z45" s="40" t="s">
        <v>942</v>
      </c>
      <c r="AA45" s="28"/>
      <c r="AB45" s="28"/>
      <c r="AC45" s="28"/>
      <c r="AD45" s="28"/>
      <c r="AE45" s="28"/>
      <c r="AF45" s="28"/>
      <c r="AG45" s="28"/>
      <c r="AH45" s="28"/>
      <c r="AI45" s="20" t="s">
        <v>1329</v>
      </c>
      <c r="AJ45" s="28"/>
      <c r="AK45" s="28"/>
      <c r="AL45" s="28"/>
      <c r="AM45" s="28"/>
      <c r="AN45" s="35" t="s">
        <v>498</v>
      </c>
      <c r="AO45" s="28"/>
      <c r="AP45" s="28"/>
      <c r="AQ45" s="44"/>
      <c r="AR45" s="58" t="s">
        <v>1299</v>
      </c>
      <c r="AS45" s="40" t="s">
        <v>942</v>
      </c>
      <c r="AT45" s="58" t="s">
        <v>1299</v>
      </c>
      <c r="AU45" s="57"/>
      <c r="AV45" s="56"/>
      <c r="AW45" s="66"/>
      <c r="AX45" s="36"/>
    </row>
    <row r="46" spans="1:51" ht="27.75" customHeight="1" thickBot="1">
      <c r="A46" s="7"/>
      <c r="B46" s="8">
        <v>43</v>
      </c>
      <c r="C46" s="20" t="s">
        <v>119</v>
      </c>
      <c r="D46" s="20" t="s">
        <v>119</v>
      </c>
      <c r="E46" s="8" t="s">
        <v>74</v>
      </c>
      <c r="F46" s="8" t="s">
        <v>75</v>
      </c>
      <c r="G46" s="19" t="s">
        <v>73</v>
      </c>
      <c r="H46" s="29" t="s">
        <v>76</v>
      </c>
      <c r="I46" s="28"/>
      <c r="J46" s="24">
        <v>30049099</v>
      </c>
      <c r="K46" s="11">
        <v>0.05</v>
      </c>
      <c r="L46" s="21">
        <v>1734.38</v>
      </c>
      <c r="M46" s="22">
        <f t="shared" si="0"/>
        <v>1526.2544</v>
      </c>
      <c r="N46" s="23">
        <f t="shared" si="1"/>
        <v>208.12560000000008</v>
      </c>
      <c r="O46" s="26">
        <f t="shared" si="2"/>
        <v>0.12000000000000004</v>
      </c>
      <c r="P46" s="28"/>
      <c r="Q46" s="28" t="s">
        <v>859</v>
      </c>
      <c r="R46" s="28" t="s">
        <v>889</v>
      </c>
      <c r="S46" s="28"/>
      <c r="T46" s="30">
        <v>1</v>
      </c>
      <c r="U46" s="20" t="s">
        <v>589</v>
      </c>
      <c r="V46" s="28"/>
      <c r="W46" s="28" t="s">
        <v>929</v>
      </c>
      <c r="X46" s="43"/>
      <c r="Y46" s="20" t="s">
        <v>943</v>
      </c>
      <c r="Z46" s="20" t="s">
        <v>943</v>
      </c>
      <c r="AA46" s="28"/>
      <c r="AB46" s="28"/>
      <c r="AC46" s="28"/>
      <c r="AD46" s="20" t="s">
        <v>1331</v>
      </c>
      <c r="AE46" s="28"/>
      <c r="AF46" s="28"/>
      <c r="AG46" s="28"/>
      <c r="AH46" s="28"/>
      <c r="AI46" s="20" t="s">
        <v>1327</v>
      </c>
      <c r="AJ46" s="28"/>
      <c r="AK46" s="28"/>
      <c r="AL46" s="28"/>
      <c r="AM46" s="28"/>
      <c r="AN46" s="35" t="s">
        <v>499</v>
      </c>
      <c r="AO46" s="28"/>
      <c r="AP46" s="28"/>
      <c r="AQ46" s="44"/>
      <c r="AR46" s="58" t="s">
        <v>1300</v>
      </c>
      <c r="AS46" s="20" t="s">
        <v>943</v>
      </c>
      <c r="AT46" s="58" t="s">
        <v>1300</v>
      </c>
      <c r="AU46" s="57"/>
      <c r="AV46" s="56"/>
      <c r="AW46" s="67"/>
      <c r="AX46" s="60"/>
      <c r="AY46" s="57"/>
    </row>
    <row r="47" spans="1:51" ht="26.25" customHeight="1" thickBot="1">
      <c r="A47" s="7"/>
      <c r="B47" s="8">
        <v>44</v>
      </c>
      <c r="C47" s="20" t="s">
        <v>120</v>
      </c>
      <c r="D47" s="20" t="s">
        <v>120</v>
      </c>
      <c r="E47" s="8" t="s">
        <v>74</v>
      </c>
      <c r="F47" s="8" t="s">
        <v>75</v>
      </c>
      <c r="G47" s="19" t="s">
        <v>73</v>
      </c>
      <c r="H47" s="29" t="s">
        <v>76</v>
      </c>
      <c r="I47" s="28"/>
      <c r="J47" s="24">
        <v>30045010</v>
      </c>
      <c r="K47" s="11">
        <v>0.05</v>
      </c>
      <c r="L47" s="21">
        <v>1310</v>
      </c>
      <c r="M47" s="22">
        <f t="shared" si="0"/>
        <v>1152.8</v>
      </c>
      <c r="N47" s="23">
        <f t="shared" si="1"/>
        <v>157.20000000000005</v>
      </c>
      <c r="O47" s="26">
        <f t="shared" si="2"/>
        <v>0.12000000000000004</v>
      </c>
      <c r="P47" s="28"/>
      <c r="Q47" s="28" t="s">
        <v>865</v>
      </c>
      <c r="R47" s="28" t="s">
        <v>889</v>
      </c>
      <c r="S47" s="28"/>
      <c r="T47" s="30">
        <v>1</v>
      </c>
      <c r="U47" s="20" t="s">
        <v>589</v>
      </c>
      <c r="V47" s="28"/>
      <c r="W47" s="28" t="s">
        <v>929</v>
      </c>
      <c r="X47" s="43"/>
      <c r="Y47" s="20" t="s">
        <v>944</v>
      </c>
      <c r="Z47" s="20" t="s">
        <v>944</v>
      </c>
      <c r="AA47" s="28"/>
      <c r="AB47" s="28"/>
      <c r="AC47" s="28"/>
      <c r="AD47" s="20" t="s">
        <v>1331</v>
      </c>
      <c r="AE47" s="28"/>
      <c r="AF47" s="28"/>
      <c r="AG47" s="28"/>
      <c r="AH47" s="28"/>
      <c r="AI47" s="20" t="s">
        <v>1329</v>
      </c>
      <c r="AJ47" s="28"/>
      <c r="AK47" s="28"/>
      <c r="AL47" s="28"/>
      <c r="AM47" s="28"/>
      <c r="AN47" s="35" t="s">
        <v>500</v>
      </c>
      <c r="AO47" s="28"/>
      <c r="AP47" s="28"/>
      <c r="AQ47" s="44"/>
      <c r="AR47" s="58" t="s">
        <v>1301</v>
      </c>
      <c r="AS47" s="20" t="s">
        <v>944</v>
      </c>
      <c r="AT47" s="58" t="s">
        <v>1301</v>
      </c>
      <c r="AU47" s="57"/>
      <c r="AV47" s="56"/>
      <c r="AW47" s="67"/>
      <c r="AX47" s="60"/>
    </row>
    <row r="48" spans="1:51" ht="35.25" customHeight="1" thickBot="1">
      <c r="A48" s="7"/>
      <c r="B48" s="8">
        <v>45</v>
      </c>
      <c r="C48" s="20" t="s">
        <v>121</v>
      </c>
      <c r="D48" s="20" t="s">
        <v>121</v>
      </c>
      <c r="E48" s="8" t="s">
        <v>74</v>
      </c>
      <c r="F48" s="8" t="s">
        <v>75</v>
      </c>
      <c r="G48" s="19" t="s">
        <v>73</v>
      </c>
      <c r="H48" s="29" t="s">
        <v>76</v>
      </c>
      <c r="I48" s="28"/>
      <c r="J48" s="24">
        <v>30049099</v>
      </c>
      <c r="K48" s="11">
        <v>0.05</v>
      </c>
      <c r="L48" s="21">
        <v>2062.5</v>
      </c>
      <c r="M48" s="22">
        <f t="shared" si="0"/>
        <v>1815</v>
      </c>
      <c r="N48" s="23">
        <f t="shared" si="1"/>
        <v>247.5</v>
      </c>
      <c r="O48" s="26">
        <f t="shared" si="2"/>
        <v>0.12</v>
      </c>
      <c r="P48" s="28"/>
      <c r="Q48" s="28" t="s">
        <v>859</v>
      </c>
      <c r="R48" s="28" t="s">
        <v>889</v>
      </c>
      <c r="S48" s="28"/>
      <c r="T48" s="30">
        <v>1</v>
      </c>
      <c r="U48" s="20" t="s">
        <v>589</v>
      </c>
      <c r="V48" s="28"/>
      <c r="W48" s="28" t="s">
        <v>929</v>
      </c>
      <c r="X48" s="43"/>
      <c r="Y48" s="40" t="s">
        <v>945</v>
      </c>
      <c r="Z48" s="40" t="s">
        <v>945</v>
      </c>
      <c r="AA48" s="28"/>
      <c r="AB48" s="28"/>
      <c r="AC48" s="28"/>
      <c r="AD48" s="20" t="s">
        <v>1331</v>
      </c>
      <c r="AE48" s="28"/>
      <c r="AF48" s="28"/>
      <c r="AG48" s="28"/>
      <c r="AH48" s="28"/>
      <c r="AI48" s="20" t="s">
        <v>1329</v>
      </c>
      <c r="AJ48" s="28"/>
      <c r="AK48" s="28"/>
      <c r="AL48" s="28"/>
      <c r="AM48" s="28"/>
      <c r="AN48" s="35" t="s">
        <v>501</v>
      </c>
      <c r="AO48" s="28"/>
      <c r="AP48" s="28"/>
      <c r="AQ48" s="44"/>
      <c r="AR48" s="58" t="s">
        <v>1300</v>
      </c>
      <c r="AS48" s="40" t="s">
        <v>945</v>
      </c>
      <c r="AT48" s="58" t="s">
        <v>1300</v>
      </c>
      <c r="AU48" s="57"/>
      <c r="AV48" s="56"/>
      <c r="AW48" s="67"/>
      <c r="AX48" s="60"/>
      <c r="AY48" s="57"/>
    </row>
    <row r="49" spans="1:52" ht="48.75" customHeight="1" thickBot="1">
      <c r="A49" s="7"/>
      <c r="B49" s="8">
        <v>46</v>
      </c>
      <c r="C49" s="20" t="s">
        <v>122</v>
      </c>
      <c r="D49" s="20" t="s">
        <v>122</v>
      </c>
      <c r="E49" s="8" t="s">
        <v>74</v>
      </c>
      <c r="F49" s="8" t="s">
        <v>75</v>
      </c>
      <c r="G49" s="19" t="s">
        <v>73</v>
      </c>
      <c r="H49" s="29" t="s">
        <v>76</v>
      </c>
      <c r="I49" s="28"/>
      <c r="J49" s="24">
        <v>30045010</v>
      </c>
      <c r="K49" s="11">
        <v>0.05</v>
      </c>
      <c r="L49" s="21">
        <v>1640.63</v>
      </c>
      <c r="M49" s="22">
        <f t="shared" si="0"/>
        <v>1443.7544</v>
      </c>
      <c r="N49" s="23">
        <f t="shared" si="1"/>
        <v>196.87560000000008</v>
      </c>
      <c r="O49" s="26">
        <f t="shared" si="2"/>
        <v>0.12000000000000004</v>
      </c>
      <c r="P49" s="28"/>
      <c r="Q49" s="28" t="s">
        <v>865</v>
      </c>
      <c r="R49" s="28" t="s">
        <v>889</v>
      </c>
      <c r="S49" s="28"/>
      <c r="T49" s="30">
        <v>1</v>
      </c>
      <c r="U49" s="20" t="s">
        <v>589</v>
      </c>
      <c r="V49" s="28"/>
      <c r="W49" s="28" t="s">
        <v>929</v>
      </c>
      <c r="X49" s="43"/>
      <c r="Y49" s="40" t="s">
        <v>946</v>
      </c>
      <c r="Z49" s="40" t="s">
        <v>946</v>
      </c>
      <c r="AA49" s="28"/>
      <c r="AB49" s="28"/>
      <c r="AC49" s="28"/>
      <c r="AD49" s="20" t="s">
        <v>1331</v>
      </c>
      <c r="AE49" s="28"/>
      <c r="AF49" s="28"/>
      <c r="AG49" s="28"/>
      <c r="AH49" s="28"/>
      <c r="AI49" s="20" t="s">
        <v>1329</v>
      </c>
      <c r="AJ49" s="28"/>
      <c r="AK49" s="28"/>
      <c r="AL49" s="28"/>
      <c r="AM49" s="28"/>
      <c r="AN49" s="35" t="s">
        <v>502</v>
      </c>
      <c r="AO49" s="28"/>
      <c r="AP49" s="28"/>
      <c r="AQ49" s="44"/>
      <c r="AR49" s="58" t="s">
        <v>1298</v>
      </c>
      <c r="AS49" s="40" t="s">
        <v>946</v>
      </c>
      <c r="AT49" s="58" t="s">
        <v>1298</v>
      </c>
      <c r="AU49" s="57"/>
      <c r="AV49" s="56"/>
      <c r="AW49" s="67"/>
      <c r="AX49" s="36"/>
    </row>
    <row r="50" spans="1:52" ht="28.5" customHeight="1" thickBot="1">
      <c r="A50" s="7"/>
      <c r="B50" s="8">
        <v>47</v>
      </c>
      <c r="C50" s="20" t="s">
        <v>123</v>
      </c>
      <c r="D50" s="20" t="s">
        <v>123</v>
      </c>
      <c r="E50" s="8" t="s">
        <v>74</v>
      </c>
      <c r="F50" s="8" t="s">
        <v>75</v>
      </c>
      <c r="G50" s="19" t="s">
        <v>73</v>
      </c>
      <c r="H50" s="29" t="s">
        <v>76</v>
      </c>
      <c r="I50" s="28"/>
      <c r="J50" s="24">
        <v>30049099</v>
      </c>
      <c r="K50" s="11">
        <v>0.05</v>
      </c>
      <c r="L50" s="21">
        <v>900</v>
      </c>
      <c r="M50" s="22">
        <f t="shared" si="0"/>
        <v>792</v>
      </c>
      <c r="N50" s="23">
        <f t="shared" si="1"/>
        <v>108</v>
      </c>
      <c r="O50" s="26">
        <f t="shared" si="2"/>
        <v>0.12</v>
      </c>
      <c r="P50" s="28"/>
      <c r="Q50" s="28" t="s">
        <v>859</v>
      </c>
      <c r="R50" s="28" t="s">
        <v>889</v>
      </c>
      <c r="S50" s="28"/>
      <c r="T50" s="30">
        <v>1</v>
      </c>
      <c r="U50" s="20" t="s">
        <v>589</v>
      </c>
      <c r="V50" s="28"/>
      <c r="W50" s="28" t="s">
        <v>929</v>
      </c>
      <c r="X50" s="43"/>
      <c r="Y50" s="20" t="s">
        <v>947</v>
      </c>
      <c r="Z50" s="20" t="s">
        <v>947</v>
      </c>
      <c r="AA50" s="28"/>
      <c r="AB50" s="28"/>
      <c r="AC50" s="28"/>
      <c r="AD50" s="20" t="s">
        <v>1331</v>
      </c>
      <c r="AE50" s="28"/>
      <c r="AF50" s="28"/>
      <c r="AG50" s="28"/>
      <c r="AH50" s="28"/>
      <c r="AI50" s="20" t="s">
        <v>1324</v>
      </c>
      <c r="AJ50" s="28"/>
      <c r="AK50" s="28"/>
      <c r="AL50" s="28"/>
      <c r="AM50" s="28"/>
      <c r="AN50" s="35" t="s">
        <v>503</v>
      </c>
      <c r="AO50" s="28"/>
      <c r="AP50" s="28"/>
      <c r="AQ50" s="44"/>
      <c r="AR50" s="58" t="s">
        <v>1302</v>
      </c>
      <c r="AS50" s="20" t="s">
        <v>947</v>
      </c>
      <c r="AT50" s="58" t="s">
        <v>1302</v>
      </c>
      <c r="AU50" s="57"/>
      <c r="AV50" s="56"/>
      <c r="AW50" s="67"/>
      <c r="AX50" s="60"/>
      <c r="AY50" s="57"/>
      <c r="AZ50" s="56"/>
    </row>
    <row r="51" spans="1:52" ht="30" customHeight="1" thickBot="1">
      <c r="A51" s="7"/>
      <c r="B51" s="8">
        <v>48</v>
      </c>
      <c r="C51" s="20" t="s">
        <v>124</v>
      </c>
      <c r="D51" s="20" t="s">
        <v>124</v>
      </c>
      <c r="E51" s="8" t="s">
        <v>74</v>
      </c>
      <c r="F51" s="8" t="s">
        <v>75</v>
      </c>
      <c r="G51" s="19" t="s">
        <v>73</v>
      </c>
      <c r="H51" s="29" t="s">
        <v>76</v>
      </c>
      <c r="I51" s="28"/>
      <c r="J51" s="24">
        <v>30049099</v>
      </c>
      <c r="K51" s="11">
        <v>0.05</v>
      </c>
      <c r="L51" s="21">
        <v>450</v>
      </c>
      <c r="M51" s="22">
        <f t="shared" si="0"/>
        <v>396</v>
      </c>
      <c r="N51" s="23">
        <f t="shared" si="1"/>
        <v>54</v>
      </c>
      <c r="O51" s="26">
        <f t="shared" si="2"/>
        <v>0.12</v>
      </c>
      <c r="P51" s="28"/>
      <c r="Q51" s="28" t="s">
        <v>859</v>
      </c>
      <c r="R51" s="28" t="s">
        <v>889</v>
      </c>
      <c r="S51" s="28"/>
      <c r="T51" s="30">
        <v>1</v>
      </c>
      <c r="U51" s="20" t="s">
        <v>589</v>
      </c>
      <c r="V51" s="28"/>
      <c r="W51" s="28" t="s">
        <v>929</v>
      </c>
      <c r="X51" s="43"/>
      <c r="Y51" s="20" t="s">
        <v>948</v>
      </c>
      <c r="Z51" s="20" t="s">
        <v>948</v>
      </c>
      <c r="AA51" s="28"/>
      <c r="AB51" s="28"/>
      <c r="AC51" s="28"/>
      <c r="AD51" s="20" t="s">
        <v>1331</v>
      </c>
      <c r="AE51" s="28"/>
      <c r="AF51" s="28"/>
      <c r="AG51" s="28"/>
      <c r="AH51" s="28"/>
      <c r="AI51" s="20" t="s">
        <v>1324</v>
      </c>
      <c r="AJ51" s="28"/>
      <c r="AK51" s="28"/>
      <c r="AL51" s="28"/>
      <c r="AM51" s="28"/>
      <c r="AN51" s="35" t="s">
        <v>504</v>
      </c>
      <c r="AO51" s="28"/>
      <c r="AP51" s="28"/>
      <c r="AQ51" s="44"/>
      <c r="AR51" s="58" t="s">
        <v>1302</v>
      </c>
      <c r="AS51" s="20" t="s">
        <v>948</v>
      </c>
      <c r="AT51" s="58" t="s">
        <v>1302</v>
      </c>
      <c r="AU51" s="57"/>
      <c r="AV51" s="56"/>
      <c r="AW51" s="67"/>
      <c r="AX51" s="60"/>
      <c r="AY51" s="57"/>
      <c r="AZ51" s="56"/>
    </row>
    <row r="52" spans="1:52" ht="30.75" customHeight="1" thickBot="1">
      <c r="A52" s="7"/>
      <c r="B52" s="8">
        <v>49</v>
      </c>
      <c r="C52" s="20" t="s">
        <v>125</v>
      </c>
      <c r="D52" s="20" t="s">
        <v>125</v>
      </c>
      <c r="E52" s="8" t="s">
        <v>74</v>
      </c>
      <c r="F52" s="8" t="s">
        <v>75</v>
      </c>
      <c r="G52" s="19" t="s">
        <v>73</v>
      </c>
      <c r="H52" s="29" t="s">
        <v>76</v>
      </c>
      <c r="I52" s="28"/>
      <c r="J52" s="24">
        <v>30049079</v>
      </c>
      <c r="K52" s="11">
        <v>0.05</v>
      </c>
      <c r="L52" s="21">
        <v>1087.5</v>
      </c>
      <c r="M52" s="22">
        <f t="shared" si="0"/>
        <v>957</v>
      </c>
      <c r="N52" s="23">
        <f t="shared" si="1"/>
        <v>130.5</v>
      </c>
      <c r="O52" s="26">
        <f t="shared" si="2"/>
        <v>0.12</v>
      </c>
      <c r="P52" s="28"/>
      <c r="Q52" s="28" t="s">
        <v>859</v>
      </c>
      <c r="R52" s="28" t="s">
        <v>889</v>
      </c>
      <c r="S52" s="28"/>
      <c r="T52" s="30">
        <v>1</v>
      </c>
      <c r="U52" s="20" t="s">
        <v>604</v>
      </c>
      <c r="V52" s="28"/>
      <c r="W52" s="28" t="s">
        <v>929</v>
      </c>
      <c r="X52" s="43"/>
      <c r="Y52" s="20" t="s">
        <v>949</v>
      </c>
      <c r="Z52" s="20" t="s">
        <v>949</v>
      </c>
      <c r="AA52" s="28"/>
      <c r="AB52" s="28"/>
      <c r="AC52" s="28"/>
      <c r="AD52" s="28"/>
      <c r="AE52" s="28"/>
      <c r="AF52" s="28"/>
      <c r="AG52" s="28"/>
      <c r="AH52" s="28"/>
      <c r="AI52" s="20" t="s">
        <v>1330</v>
      </c>
      <c r="AJ52" s="28"/>
      <c r="AK52" s="28"/>
      <c r="AL52" s="28"/>
      <c r="AM52" s="28"/>
      <c r="AN52" s="35" t="s">
        <v>505</v>
      </c>
      <c r="AO52" s="28"/>
      <c r="AP52" s="28"/>
      <c r="AQ52" s="44"/>
      <c r="AR52" s="20" t="s">
        <v>1303</v>
      </c>
      <c r="AS52" s="20" t="s">
        <v>949</v>
      </c>
      <c r="AT52" s="40" t="s">
        <v>1303</v>
      </c>
      <c r="AU52" s="57"/>
      <c r="AV52" s="28"/>
      <c r="AW52" s="66"/>
      <c r="AX52" s="36"/>
    </row>
    <row r="53" spans="1:52" ht="28.5" customHeight="1" thickBot="1">
      <c r="A53" s="7"/>
      <c r="B53" s="8">
        <v>50</v>
      </c>
      <c r="C53" s="20" t="s">
        <v>126</v>
      </c>
      <c r="D53" s="20" t="s">
        <v>126</v>
      </c>
      <c r="E53" s="8" t="s">
        <v>74</v>
      </c>
      <c r="F53" s="8" t="s">
        <v>75</v>
      </c>
      <c r="G53" s="19" t="s">
        <v>73</v>
      </c>
      <c r="H53" s="29" t="s">
        <v>76</v>
      </c>
      <c r="I53" s="28"/>
      <c r="J53" s="24">
        <v>30049079</v>
      </c>
      <c r="K53" s="11">
        <v>0.05</v>
      </c>
      <c r="L53" s="21">
        <v>984.38</v>
      </c>
      <c r="M53" s="22">
        <f t="shared" si="0"/>
        <v>866.25440000000003</v>
      </c>
      <c r="N53" s="23">
        <f t="shared" si="1"/>
        <v>118.12559999999996</v>
      </c>
      <c r="O53" s="26">
        <f t="shared" si="2"/>
        <v>0.11999999999999997</v>
      </c>
      <c r="P53" s="28"/>
      <c r="Q53" s="28" t="s">
        <v>859</v>
      </c>
      <c r="R53" s="28" t="s">
        <v>889</v>
      </c>
      <c r="S53" s="28"/>
      <c r="T53" s="30">
        <v>1</v>
      </c>
      <c r="U53" s="20" t="s">
        <v>589</v>
      </c>
      <c r="V53" s="28"/>
      <c r="W53" s="28" t="s">
        <v>929</v>
      </c>
      <c r="X53" s="43"/>
      <c r="Y53" s="20" t="s">
        <v>950</v>
      </c>
      <c r="Z53" s="20" t="s">
        <v>950</v>
      </c>
      <c r="AA53" s="28"/>
      <c r="AB53" s="28"/>
      <c r="AC53" s="28"/>
      <c r="AD53" s="20" t="s">
        <v>1331</v>
      </c>
      <c r="AE53" s="28"/>
      <c r="AF53" s="28"/>
      <c r="AG53" s="28"/>
      <c r="AH53" s="28"/>
      <c r="AI53" s="20" t="s">
        <v>1330</v>
      </c>
      <c r="AJ53" s="28"/>
      <c r="AK53" s="28"/>
      <c r="AL53" s="28"/>
      <c r="AM53" s="28"/>
      <c r="AN53" s="35" t="s">
        <v>506</v>
      </c>
      <c r="AO53" s="28"/>
      <c r="AP53" s="28"/>
      <c r="AQ53" s="44"/>
      <c r="AR53" s="20" t="s">
        <v>1303</v>
      </c>
      <c r="AS53" s="20" t="s">
        <v>950</v>
      </c>
      <c r="AT53" s="40" t="s">
        <v>1303</v>
      </c>
      <c r="AU53" s="57"/>
      <c r="AV53" s="28"/>
      <c r="AW53" s="66"/>
      <c r="AX53" s="36"/>
    </row>
    <row r="54" spans="1:52" ht="33" customHeight="1" thickBot="1">
      <c r="A54" s="7"/>
      <c r="B54" s="8">
        <v>51</v>
      </c>
      <c r="C54" s="20" t="s">
        <v>127</v>
      </c>
      <c r="D54" s="20" t="s">
        <v>127</v>
      </c>
      <c r="E54" s="8" t="s">
        <v>74</v>
      </c>
      <c r="F54" s="8" t="s">
        <v>75</v>
      </c>
      <c r="G54" s="19" t="s">
        <v>73</v>
      </c>
      <c r="H54" s="29" t="s">
        <v>76</v>
      </c>
      <c r="I54" s="28"/>
      <c r="J54" s="24">
        <v>30049079</v>
      </c>
      <c r="K54" s="11">
        <v>0.05</v>
      </c>
      <c r="L54" s="21">
        <v>1453.13</v>
      </c>
      <c r="M54" s="22">
        <f t="shared" si="0"/>
        <v>1278.7544</v>
      </c>
      <c r="N54" s="23">
        <f t="shared" si="1"/>
        <v>174.37560000000008</v>
      </c>
      <c r="O54" s="26">
        <f t="shared" si="2"/>
        <v>0.12000000000000004</v>
      </c>
      <c r="P54" s="28"/>
      <c r="Q54" s="28" t="s">
        <v>859</v>
      </c>
      <c r="R54" s="28" t="s">
        <v>889</v>
      </c>
      <c r="S54" s="28"/>
      <c r="T54" s="30">
        <v>1</v>
      </c>
      <c r="U54" s="20" t="s">
        <v>604</v>
      </c>
      <c r="V54" s="28"/>
      <c r="W54" s="28" t="s">
        <v>929</v>
      </c>
      <c r="X54" s="43"/>
      <c r="Y54" s="40" t="s">
        <v>951</v>
      </c>
      <c r="Z54" s="40" t="s">
        <v>951</v>
      </c>
      <c r="AA54" s="28"/>
      <c r="AB54" s="28"/>
      <c r="AC54" s="28"/>
      <c r="AD54" s="28"/>
      <c r="AE54" s="28"/>
      <c r="AF54" s="28"/>
      <c r="AG54" s="28"/>
      <c r="AH54" s="28"/>
      <c r="AI54" s="20" t="s">
        <v>1330</v>
      </c>
      <c r="AJ54" s="28"/>
      <c r="AK54" s="28"/>
      <c r="AL54" s="28"/>
      <c r="AM54" s="28"/>
      <c r="AN54" s="35" t="s">
        <v>507</v>
      </c>
      <c r="AO54" s="28"/>
      <c r="AP54" s="28"/>
      <c r="AQ54" s="44"/>
      <c r="AR54" s="20" t="s">
        <v>1303</v>
      </c>
      <c r="AS54" s="40" t="s">
        <v>951</v>
      </c>
      <c r="AT54" s="40" t="s">
        <v>1303</v>
      </c>
      <c r="AU54" s="57"/>
      <c r="AV54" s="56"/>
      <c r="AW54" s="66"/>
      <c r="AX54" s="36"/>
    </row>
    <row r="55" spans="1:52" ht="33.75" customHeight="1" thickBot="1">
      <c r="A55" s="7"/>
      <c r="B55" s="8">
        <v>52</v>
      </c>
      <c r="C55" s="20" t="s">
        <v>128</v>
      </c>
      <c r="D55" s="20" t="s">
        <v>128</v>
      </c>
      <c r="E55" s="8" t="s">
        <v>74</v>
      </c>
      <c r="F55" s="8" t="s">
        <v>75</v>
      </c>
      <c r="G55" s="19" t="s">
        <v>73</v>
      </c>
      <c r="H55" s="29" t="s">
        <v>76</v>
      </c>
      <c r="I55" s="28"/>
      <c r="J55" s="24">
        <v>30049079</v>
      </c>
      <c r="K55" s="11">
        <v>0.05</v>
      </c>
      <c r="L55" s="21">
        <v>1396.88</v>
      </c>
      <c r="M55" s="22">
        <f t="shared" si="0"/>
        <v>1229.2544</v>
      </c>
      <c r="N55" s="23">
        <f t="shared" si="1"/>
        <v>167.62560000000008</v>
      </c>
      <c r="O55" s="26">
        <f t="shared" si="2"/>
        <v>0.12000000000000005</v>
      </c>
      <c r="P55" s="28"/>
      <c r="Q55" s="28" t="s">
        <v>859</v>
      </c>
      <c r="R55" s="28" t="s">
        <v>889</v>
      </c>
      <c r="S55" s="28"/>
      <c r="T55" s="30">
        <v>1</v>
      </c>
      <c r="U55" s="20" t="s">
        <v>604</v>
      </c>
      <c r="V55" s="28"/>
      <c r="W55" s="28" t="s">
        <v>929</v>
      </c>
      <c r="X55" s="43"/>
      <c r="Y55" s="20" t="s">
        <v>952</v>
      </c>
      <c r="Z55" s="20" t="s">
        <v>952</v>
      </c>
      <c r="AA55" s="28"/>
      <c r="AB55" s="28"/>
      <c r="AC55" s="28"/>
      <c r="AD55" s="28"/>
      <c r="AE55" s="28"/>
      <c r="AF55" s="28"/>
      <c r="AG55" s="28"/>
      <c r="AH55" s="28"/>
      <c r="AI55" s="20" t="s">
        <v>1330</v>
      </c>
      <c r="AJ55" s="28"/>
      <c r="AK55" s="28"/>
      <c r="AL55" s="28"/>
      <c r="AM55" s="28"/>
      <c r="AN55" s="35" t="s">
        <v>508</v>
      </c>
      <c r="AO55" s="28"/>
      <c r="AP55" s="28"/>
      <c r="AQ55" s="44"/>
      <c r="AR55" s="20" t="s">
        <v>1303</v>
      </c>
      <c r="AS55" s="20" t="s">
        <v>952</v>
      </c>
      <c r="AT55" s="40" t="s">
        <v>1303</v>
      </c>
      <c r="AU55" s="57"/>
      <c r="AV55" s="28"/>
      <c r="AW55" s="66"/>
      <c r="AX55" s="36"/>
    </row>
    <row r="56" spans="1:52" ht="30" customHeight="1">
      <c r="A56" s="7"/>
      <c r="B56" s="8">
        <v>53</v>
      </c>
      <c r="C56" s="20" t="s">
        <v>129</v>
      </c>
      <c r="D56" s="20" t="s">
        <v>129</v>
      </c>
      <c r="E56" s="8" t="s">
        <v>74</v>
      </c>
      <c r="F56" s="8" t="s">
        <v>75</v>
      </c>
      <c r="G56" s="19" t="s">
        <v>73</v>
      </c>
      <c r="H56" s="29" t="s">
        <v>76</v>
      </c>
      <c r="I56" s="28"/>
      <c r="J56" s="24">
        <v>30049079</v>
      </c>
      <c r="K56" s="11">
        <v>0.05</v>
      </c>
      <c r="L56" s="21">
        <v>1546.88</v>
      </c>
      <c r="M56" s="22">
        <f t="shared" si="0"/>
        <v>1361.2544</v>
      </c>
      <c r="N56" s="23">
        <f t="shared" si="1"/>
        <v>185.62560000000008</v>
      </c>
      <c r="O56" s="26">
        <f t="shared" si="2"/>
        <v>0.12000000000000004</v>
      </c>
      <c r="P56" s="28"/>
      <c r="Q56" s="28" t="s">
        <v>859</v>
      </c>
      <c r="R56" s="28" t="s">
        <v>889</v>
      </c>
      <c r="S56" s="28"/>
      <c r="T56" s="30">
        <v>1</v>
      </c>
      <c r="U56" s="20" t="s">
        <v>604</v>
      </c>
      <c r="V56" s="28"/>
      <c r="W56" s="28" t="s">
        <v>929</v>
      </c>
      <c r="X56" s="43"/>
      <c r="Y56" s="20" t="s">
        <v>953</v>
      </c>
      <c r="Z56" s="20" t="s">
        <v>953</v>
      </c>
      <c r="AA56" s="28"/>
      <c r="AB56" s="28"/>
      <c r="AC56" s="28"/>
      <c r="AD56" s="28"/>
      <c r="AE56" s="28"/>
      <c r="AF56" s="28"/>
      <c r="AG56" s="28"/>
      <c r="AH56" s="28"/>
      <c r="AI56" s="20" t="s">
        <v>1330</v>
      </c>
      <c r="AJ56" s="28"/>
      <c r="AK56" s="28"/>
      <c r="AL56" s="28"/>
      <c r="AM56" s="28"/>
      <c r="AN56" s="35" t="s">
        <v>509</v>
      </c>
      <c r="AO56" s="28"/>
      <c r="AP56" s="28"/>
      <c r="AQ56" s="44"/>
      <c r="AR56" s="20" t="s">
        <v>1303</v>
      </c>
      <c r="AS56" s="20" t="s">
        <v>953</v>
      </c>
      <c r="AT56" s="40" t="s">
        <v>1303</v>
      </c>
      <c r="AU56" s="47"/>
      <c r="AV56" s="28"/>
      <c r="AW56" s="66"/>
      <c r="AX56" s="36"/>
    </row>
    <row r="57" spans="1:52" ht="33" customHeight="1">
      <c r="A57" s="7"/>
      <c r="B57" s="8">
        <v>54</v>
      </c>
      <c r="C57" s="20" t="s">
        <v>130</v>
      </c>
      <c r="D57" s="20" t="s">
        <v>130</v>
      </c>
      <c r="E57" s="8" t="s">
        <v>74</v>
      </c>
      <c r="F57" s="8" t="s">
        <v>75</v>
      </c>
      <c r="G57" s="19" t="s">
        <v>73</v>
      </c>
      <c r="H57" s="29" t="s">
        <v>76</v>
      </c>
      <c r="I57" s="28"/>
      <c r="J57" s="24">
        <v>30049079</v>
      </c>
      <c r="K57" s="11">
        <v>0.05</v>
      </c>
      <c r="L57" s="21">
        <v>1265.6300000000001</v>
      </c>
      <c r="M57" s="22">
        <f t="shared" si="0"/>
        <v>1113.7544</v>
      </c>
      <c r="N57" s="23">
        <f t="shared" si="1"/>
        <v>151.87560000000008</v>
      </c>
      <c r="O57" s="26">
        <f t="shared" si="2"/>
        <v>0.12000000000000005</v>
      </c>
      <c r="P57" s="28"/>
      <c r="Q57" s="28" t="s">
        <v>859</v>
      </c>
      <c r="R57" s="28" t="s">
        <v>889</v>
      </c>
      <c r="S57" s="28"/>
      <c r="T57" s="30">
        <v>1</v>
      </c>
      <c r="U57" s="20" t="s">
        <v>589</v>
      </c>
      <c r="V57" s="28"/>
      <c r="W57" s="28" t="s">
        <v>929</v>
      </c>
      <c r="X57" s="43"/>
      <c r="Y57" s="20" t="s">
        <v>954</v>
      </c>
      <c r="Z57" s="20" t="s">
        <v>954</v>
      </c>
      <c r="AA57" s="28"/>
      <c r="AB57" s="28"/>
      <c r="AC57" s="28"/>
      <c r="AD57" t="s">
        <v>1331</v>
      </c>
      <c r="AE57" s="28"/>
      <c r="AF57" s="28"/>
      <c r="AG57" s="28"/>
      <c r="AH57" s="28"/>
      <c r="AI57" s="20" t="s">
        <v>1330</v>
      </c>
      <c r="AJ57" s="28"/>
      <c r="AK57" s="28"/>
      <c r="AL57" s="28"/>
      <c r="AM57" s="28"/>
      <c r="AN57" s="35" t="s">
        <v>510</v>
      </c>
      <c r="AO57" s="28"/>
      <c r="AP57" s="28"/>
      <c r="AQ57" s="44"/>
      <c r="AR57" s="20" t="s">
        <v>1303</v>
      </c>
      <c r="AS57" s="20" t="s">
        <v>954</v>
      </c>
      <c r="AT57" s="40" t="s">
        <v>1303</v>
      </c>
      <c r="AU57" s="47"/>
      <c r="AV57" s="28"/>
      <c r="AW57" s="66"/>
      <c r="AX57" s="36"/>
    </row>
    <row r="58" spans="1:52" ht="33.75" customHeight="1">
      <c r="A58" s="7"/>
      <c r="B58" s="8">
        <v>55</v>
      </c>
      <c r="C58" s="20" t="s">
        <v>131</v>
      </c>
      <c r="D58" s="20" t="s">
        <v>131</v>
      </c>
      <c r="E58" s="8" t="s">
        <v>74</v>
      </c>
      <c r="F58" s="8" t="s">
        <v>75</v>
      </c>
      <c r="G58" s="19" t="s">
        <v>73</v>
      </c>
      <c r="H58" s="29" t="s">
        <v>76</v>
      </c>
      <c r="I58" s="28"/>
      <c r="J58" s="24">
        <v>30049079</v>
      </c>
      <c r="K58" s="11">
        <v>0.05</v>
      </c>
      <c r="L58" s="21">
        <v>1265.6300000000001</v>
      </c>
      <c r="M58" s="22">
        <f t="shared" si="0"/>
        <v>1113.7544</v>
      </c>
      <c r="N58" s="23">
        <f t="shared" si="1"/>
        <v>151.87560000000008</v>
      </c>
      <c r="O58" s="26">
        <f t="shared" si="2"/>
        <v>0.12000000000000005</v>
      </c>
      <c r="P58" s="28"/>
      <c r="Q58" s="28" t="s">
        <v>859</v>
      </c>
      <c r="R58" s="28" t="s">
        <v>889</v>
      </c>
      <c r="S58" s="28"/>
      <c r="T58" s="30">
        <v>1</v>
      </c>
      <c r="U58" s="20" t="s">
        <v>604</v>
      </c>
      <c r="V58" s="28"/>
      <c r="W58" s="28" t="s">
        <v>929</v>
      </c>
      <c r="X58" s="43"/>
      <c r="Y58" s="20" t="s">
        <v>955</v>
      </c>
      <c r="Z58" s="20" t="s">
        <v>955</v>
      </c>
      <c r="AA58" s="28"/>
      <c r="AB58" s="28"/>
      <c r="AC58" s="28"/>
      <c r="AD58" s="28"/>
      <c r="AE58" s="28"/>
      <c r="AF58" s="28"/>
      <c r="AG58" s="28"/>
      <c r="AH58" s="28"/>
      <c r="AI58" s="20" t="s">
        <v>1330</v>
      </c>
      <c r="AJ58" s="28"/>
      <c r="AK58" s="28"/>
      <c r="AL58" s="28"/>
      <c r="AM58" s="28"/>
      <c r="AN58" s="35" t="s">
        <v>511</v>
      </c>
      <c r="AO58" s="28"/>
      <c r="AP58" s="28"/>
      <c r="AQ58" s="44"/>
      <c r="AR58" s="20" t="s">
        <v>1303</v>
      </c>
      <c r="AS58" s="20" t="s">
        <v>955</v>
      </c>
      <c r="AT58" s="40" t="s">
        <v>1303</v>
      </c>
      <c r="AU58" s="47"/>
      <c r="AV58" s="28"/>
      <c r="AW58" s="66"/>
      <c r="AX58" s="36"/>
    </row>
    <row r="59" spans="1:52" ht="29.25" customHeight="1">
      <c r="A59" s="7"/>
      <c r="B59" s="8">
        <v>56</v>
      </c>
      <c r="C59" s="20" t="s">
        <v>132</v>
      </c>
      <c r="D59" s="20" t="s">
        <v>132</v>
      </c>
      <c r="E59" s="8" t="s">
        <v>74</v>
      </c>
      <c r="F59" s="8" t="s">
        <v>75</v>
      </c>
      <c r="G59" s="19" t="s">
        <v>73</v>
      </c>
      <c r="H59" s="29" t="s">
        <v>76</v>
      </c>
      <c r="I59" s="28"/>
      <c r="J59" s="24">
        <v>30049079</v>
      </c>
      <c r="K59" s="11">
        <v>0.05</v>
      </c>
      <c r="L59" s="21">
        <v>1828.13</v>
      </c>
      <c r="M59" s="22">
        <f t="shared" si="0"/>
        <v>1608.7544</v>
      </c>
      <c r="N59" s="23">
        <f t="shared" si="1"/>
        <v>219.37560000000008</v>
      </c>
      <c r="O59" s="26">
        <f t="shared" si="2"/>
        <v>0.12000000000000004</v>
      </c>
      <c r="P59" s="28"/>
      <c r="Q59" s="28" t="s">
        <v>859</v>
      </c>
      <c r="R59" s="28" t="s">
        <v>889</v>
      </c>
      <c r="S59" s="28"/>
      <c r="T59" s="30">
        <v>1</v>
      </c>
      <c r="U59" s="20" t="s">
        <v>604</v>
      </c>
      <c r="V59" s="28"/>
      <c r="W59" s="28" t="s">
        <v>929</v>
      </c>
      <c r="X59" s="43"/>
      <c r="Y59" s="40" t="s">
        <v>956</v>
      </c>
      <c r="Z59" s="40" t="s">
        <v>956</v>
      </c>
      <c r="AA59" s="28"/>
      <c r="AB59" s="28"/>
      <c r="AC59" s="28"/>
      <c r="AD59" s="28"/>
      <c r="AE59" s="28"/>
      <c r="AF59" s="28"/>
      <c r="AG59" s="28"/>
      <c r="AH59" s="28"/>
      <c r="AI59" s="20" t="s">
        <v>1330</v>
      </c>
      <c r="AJ59" s="28"/>
      <c r="AK59" s="28"/>
      <c r="AL59" s="28"/>
      <c r="AM59" s="28"/>
      <c r="AN59" s="35" t="s">
        <v>512</v>
      </c>
      <c r="AO59" s="28"/>
      <c r="AP59" s="28"/>
      <c r="AQ59" s="44"/>
      <c r="AR59" s="20" t="s">
        <v>1303</v>
      </c>
      <c r="AS59" s="40" t="s">
        <v>956</v>
      </c>
      <c r="AT59" s="40" t="s">
        <v>1303</v>
      </c>
      <c r="AU59" s="47"/>
      <c r="AV59" s="28"/>
      <c r="AW59" s="66"/>
      <c r="AX59" s="36"/>
    </row>
    <row r="60" spans="1:52" ht="31.5" customHeight="1">
      <c r="A60" s="7"/>
      <c r="B60" s="8">
        <v>57</v>
      </c>
      <c r="C60" s="20" t="s">
        <v>133</v>
      </c>
      <c r="D60" s="20" t="s">
        <v>133</v>
      </c>
      <c r="E60" s="8" t="s">
        <v>74</v>
      </c>
      <c r="F60" s="8" t="s">
        <v>75</v>
      </c>
      <c r="G60" s="19" t="s">
        <v>73</v>
      </c>
      <c r="H60" s="29" t="s">
        <v>76</v>
      </c>
      <c r="I60" s="28"/>
      <c r="J60" s="24">
        <v>30049079</v>
      </c>
      <c r="K60" s="11">
        <v>0.05</v>
      </c>
      <c r="L60" s="21">
        <v>1593.75</v>
      </c>
      <c r="M60" s="22">
        <f t="shared" si="0"/>
        <v>1402.5</v>
      </c>
      <c r="N60" s="23">
        <f t="shared" si="1"/>
        <v>191.25</v>
      </c>
      <c r="O60" s="26">
        <f t="shared" si="2"/>
        <v>0.12</v>
      </c>
      <c r="P60" s="28"/>
      <c r="Q60" s="28" t="s">
        <v>859</v>
      </c>
      <c r="R60" s="28" t="s">
        <v>889</v>
      </c>
      <c r="S60" s="28"/>
      <c r="T60" s="30">
        <v>1</v>
      </c>
      <c r="U60" s="20" t="s">
        <v>589</v>
      </c>
      <c r="V60" s="28"/>
      <c r="W60" s="28" t="s">
        <v>929</v>
      </c>
      <c r="X60" s="43"/>
      <c r="Y60" s="20" t="s">
        <v>957</v>
      </c>
      <c r="Z60" s="20" t="s">
        <v>957</v>
      </c>
      <c r="AA60" s="28"/>
      <c r="AB60" s="28"/>
      <c r="AC60" s="28"/>
      <c r="AD60" t="s">
        <v>1331</v>
      </c>
      <c r="AE60" s="28"/>
      <c r="AF60" s="28"/>
      <c r="AG60" s="28"/>
      <c r="AH60" s="28"/>
      <c r="AI60" s="20" t="s">
        <v>1330</v>
      </c>
      <c r="AJ60" s="28"/>
      <c r="AK60" s="28"/>
      <c r="AL60" s="28"/>
      <c r="AM60" s="28"/>
      <c r="AN60" s="35" t="s">
        <v>513</v>
      </c>
      <c r="AO60" s="28"/>
      <c r="AP60" s="28"/>
      <c r="AQ60" s="44"/>
      <c r="AR60" s="20" t="s">
        <v>1303</v>
      </c>
      <c r="AS60" s="20" t="s">
        <v>957</v>
      </c>
      <c r="AT60" s="40" t="s">
        <v>1303</v>
      </c>
      <c r="AU60" s="47"/>
      <c r="AV60" s="28"/>
      <c r="AW60" s="66"/>
      <c r="AX60" s="36"/>
    </row>
    <row r="61" spans="1:52" ht="30" customHeight="1">
      <c r="A61" s="7"/>
      <c r="B61" s="8">
        <v>58</v>
      </c>
      <c r="C61" s="20" t="s">
        <v>134</v>
      </c>
      <c r="D61" s="20" t="s">
        <v>134</v>
      </c>
      <c r="E61" s="8" t="s">
        <v>74</v>
      </c>
      <c r="F61" s="8" t="s">
        <v>75</v>
      </c>
      <c r="G61" s="19" t="s">
        <v>73</v>
      </c>
      <c r="H61" s="29" t="s">
        <v>76</v>
      </c>
      <c r="I61" s="28"/>
      <c r="J61" s="24">
        <v>30049079</v>
      </c>
      <c r="K61" s="11">
        <v>0.05</v>
      </c>
      <c r="L61" s="21">
        <v>1828.13</v>
      </c>
      <c r="M61" s="22">
        <f t="shared" si="0"/>
        <v>1608.7544</v>
      </c>
      <c r="N61" s="23">
        <f t="shared" si="1"/>
        <v>219.37560000000008</v>
      </c>
      <c r="O61" s="26">
        <f t="shared" si="2"/>
        <v>0.12000000000000004</v>
      </c>
      <c r="P61" s="28"/>
      <c r="Q61" s="28" t="s">
        <v>859</v>
      </c>
      <c r="R61" s="28" t="s">
        <v>889</v>
      </c>
      <c r="S61" s="28"/>
      <c r="T61" s="30">
        <v>1</v>
      </c>
      <c r="U61" s="20" t="s">
        <v>589</v>
      </c>
      <c r="V61" s="28"/>
      <c r="W61" s="28" t="s">
        <v>929</v>
      </c>
      <c r="X61" s="43"/>
      <c r="Y61" s="20" t="s">
        <v>958</v>
      </c>
      <c r="Z61" s="20" t="s">
        <v>958</v>
      </c>
      <c r="AA61" s="28"/>
      <c r="AB61" s="28"/>
      <c r="AC61" s="28"/>
      <c r="AD61" t="s">
        <v>1331</v>
      </c>
      <c r="AE61" s="28"/>
      <c r="AF61" s="28"/>
      <c r="AG61" s="28"/>
      <c r="AH61" s="28"/>
      <c r="AI61" s="20" t="s">
        <v>1330</v>
      </c>
      <c r="AJ61" s="28"/>
      <c r="AK61" s="28"/>
      <c r="AL61" s="28"/>
      <c r="AM61" s="28"/>
      <c r="AN61" s="35" t="s">
        <v>514</v>
      </c>
      <c r="AO61" s="28"/>
      <c r="AP61" s="28"/>
      <c r="AQ61" s="44"/>
      <c r="AR61" s="20" t="s">
        <v>1303</v>
      </c>
      <c r="AS61" s="20" t="s">
        <v>958</v>
      </c>
      <c r="AT61" s="40" t="s">
        <v>1303</v>
      </c>
      <c r="AU61" s="47"/>
      <c r="AV61" s="28"/>
      <c r="AW61" s="66"/>
      <c r="AX61" s="36"/>
    </row>
    <row r="62" spans="1:52" ht="34.5" customHeight="1">
      <c r="A62" s="7"/>
      <c r="B62" s="8">
        <v>59</v>
      </c>
      <c r="C62" s="20" t="s">
        <v>135</v>
      </c>
      <c r="D62" s="20" t="s">
        <v>135</v>
      </c>
      <c r="E62" s="8" t="s">
        <v>74</v>
      </c>
      <c r="F62" s="8" t="s">
        <v>75</v>
      </c>
      <c r="G62" s="19" t="s">
        <v>73</v>
      </c>
      <c r="H62" s="29" t="s">
        <v>76</v>
      </c>
      <c r="I62" s="28"/>
      <c r="J62" s="24">
        <v>30049099</v>
      </c>
      <c r="K62" s="11">
        <v>0.05</v>
      </c>
      <c r="L62" s="21">
        <v>107.81</v>
      </c>
      <c r="M62" s="22">
        <f t="shared" si="0"/>
        <v>94.872799999999998</v>
      </c>
      <c r="N62" s="23">
        <f t="shared" si="1"/>
        <v>12.937200000000004</v>
      </c>
      <c r="O62" s="26">
        <f t="shared" si="2"/>
        <v>0.12000000000000004</v>
      </c>
      <c r="P62" s="28"/>
      <c r="Q62" s="28" t="s">
        <v>862</v>
      </c>
      <c r="R62" s="28" t="s">
        <v>889</v>
      </c>
      <c r="S62" s="28"/>
      <c r="T62" s="30">
        <v>1</v>
      </c>
      <c r="U62" s="20" t="s">
        <v>592</v>
      </c>
      <c r="V62" s="28"/>
      <c r="W62" s="28" t="s">
        <v>931</v>
      </c>
      <c r="X62" s="43"/>
      <c r="Y62" s="20" t="s">
        <v>959</v>
      </c>
      <c r="Z62" s="20" t="s">
        <v>959</v>
      </c>
      <c r="AA62" s="28"/>
      <c r="AB62" s="28"/>
      <c r="AC62" s="28"/>
      <c r="AD62" s="28"/>
      <c r="AE62" s="28"/>
      <c r="AF62" s="28"/>
      <c r="AG62" s="28"/>
      <c r="AH62" s="28"/>
      <c r="AI62" s="20" t="s">
        <v>1327</v>
      </c>
      <c r="AJ62" s="28"/>
      <c r="AK62" s="28"/>
      <c r="AL62" s="28"/>
      <c r="AM62" s="28"/>
      <c r="AN62" s="37"/>
      <c r="AO62" s="28"/>
      <c r="AP62" s="28"/>
      <c r="AQ62" s="44"/>
      <c r="AR62" s="20" t="s">
        <v>1304</v>
      </c>
      <c r="AS62" s="20" t="s">
        <v>959</v>
      </c>
      <c r="AT62" s="40" t="s">
        <v>1304</v>
      </c>
      <c r="AU62" s="47"/>
      <c r="AV62" s="28"/>
      <c r="AW62" s="66"/>
      <c r="AX62" s="36"/>
    </row>
    <row r="63" spans="1:52" ht="35.25" customHeight="1">
      <c r="A63" s="7"/>
      <c r="B63" s="8">
        <v>60</v>
      </c>
      <c r="C63" s="20" t="s">
        <v>136</v>
      </c>
      <c r="D63" s="20" t="s">
        <v>136</v>
      </c>
      <c r="E63" s="8" t="s">
        <v>74</v>
      </c>
      <c r="F63" s="8" t="s">
        <v>75</v>
      </c>
      <c r="G63" s="19" t="s">
        <v>73</v>
      </c>
      <c r="H63" s="29" t="s">
        <v>76</v>
      </c>
      <c r="I63" s="28"/>
      <c r="J63" s="24">
        <v>30049099</v>
      </c>
      <c r="K63" s="11">
        <v>0.05</v>
      </c>
      <c r="L63" s="21">
        <v>205.31</v>
      </c>
      <c r="M63" s="22">
        <f t="shared" si="0"/>
        <v>180.6728</v>
      </c>
      <c r="N63" s="23">
        <f t="shared" si="1"/>
        <v>24.637200000000007</v>
      </c>
      <c r="O63" s="26">
        <f t="shared" si="2"/>
        <v>0.12000000000000004</v>
      </c>
      <c r="P63" s="28"/>
      <c r="Q63" s="28" t="s">
        <v>862</v>
      </c>
      <c r="R63" s="28" t="s">
        <v>889</v>
      </c>
      <c r="S63" s="28"/>
      <c r="T63" s="30">
        <v>1</v>
      </c>
      <c r="U63" s="20" t="s">
        <v>593</v>
      </c>
      <c r="V63" s="28"/>
      <c r="W63" s="28" t="s">
        <v>931</v>
      </c>
      <c r="X63" s="43"/>
      <c r="Y63" s="40" t="s">
        <v>960</v>
      </c>
      <c r="Z63" s="40" t="s">
        <v>960</v>
      </c>
      <c r="AA63" s="28"/>
      <c r="AB63" s="28"/>
      <c r="AC63" s="28"/>
      <c r="AD63" s="28"/>
      <c r="AE63" s="28"/>
      <c r="AF63" s="28"/>
      <c r="AG63" s="28"/>
      <c r="AH63" s="28"/>
      <c r="AI63" s="20" t="s">
        <v>1327</v>
      </c>
      <c r="AJ63" s="28"/>
      <c r="AK63" s="28"/>
      <c r="AL63" s="28"/>
      <c r="AM63" s="28"/>
      <c r="AN63" s="37"/>
      <c r="AO63" s="28"/>
      <c r="AP63" s="28"/>
      <c r="AQ63" s="44"/>
      <c r="AR63" s="20" t="s">
        <v>1304</v>
      </c>
      <c r="AS63" s="40" t="s">
        <v>960</v>
      </c>
      <c r="AT63" s="40" t="s">
        <v>1304</v>
      </c>
      <c r="AU63" s="47"/>
      <c r="AV63" s="28"/>
      <c r="AW63" s="66"/>
      <c r="AX63" s="36"/>
    </row>
    <row r="64" spans="1:52" ht="31.5" customHeight="1">
      <c r="A64" s="7"/>
      <c r="B64" s="8">
        <v>61</v>
      </c>
      <c r="C64" s="20" t="s">
        <v>137</v>
      </c>
      <c r="D64" s="20" t="s">
        <v>137</v>
      </c>
      <c r="E64" s="8" t="s">
        <v>74</v>
      </c>
      <c r="F64" s="8" t="s">
        <v>75</v>
      </c>
      <c r="G64" s="19" t="s">
        <v>73</v>
      </c>
      <c r="H64" s="29" t="s">
        <v>76</v>
      </c>
      <c r="I64" s="28"/>
      <c r="J64" s="24">
        <v>30049069</v>
      </c>
      <c r="K64" s="11">
        <v>0.05</v>
      </c>
      <c r="L64" s="21">
        <v>73.23</v>
      </c>
      <c r="M64" s="22">
        <f t="shared" si="0"/>
        <v>64.442400000000006</v>
      </c>
      <c r="N64" s="23">
        <f t="shared" si="1"/>
        <v>8.7875999999999976</v>
      </c>
      <c r="O64" s="26">
        <f t="shared" si="2"/>
        <v>0.11999999999999997</v>
      </c>
      <c r="P64" s="28"/>
      <c r="Q64" s="28" t="s">
        <v>864</v>
      </c>
      <c r="R64" s="28" t="s">
        <v>891</v>
      </c>
      <c r="S64" s="28"/>
      <c r="T64" s="30">
        <v>1</v>
      </c>
      <c r="U64" s="20" t="s">
        <v>609</v>
      </c>
      <c r="V64" s="28"/>
      <c r="W64" s="28" t="s">
        <v>930</v>
      </c>
      <c r="X64" s="43"/>
      <c r="Y64" s="20" t="s">
        <v>961</v>
      </c>
      <c r="Z64" s="20" t="s">
        <v>961</v>
      </c>
      <c r="AA64" s="28"/>
      <c r="AB64" s="28"/>
      <c r="AC64" s="28"/>
      <c r="AD64" s="28"/>
      <c r="AE64" s="28"/>
      <c r="AF64" s="28"/>
      <c r="AG64" s="28"/>
      <c r="AH64" s="28"/>
      <c r="AI64" s="20" t="s">
        <v>1327</v>
      </c>
      <c r="AJ64" s="28"/>
      <c r="AK64" s="28"/>
      <c r="AL64" s="28"/>
      <c r="AM64" s="28"/>
      <c r="AN64" s="35" t="s">
        <v>515</v>
      </c>
      <c r="AO64" s="28"/>
      <c r="AP64" s="28"/>
      <c r="AQ64" s="44"/>
      <c r="AR64" s="20" t="s">
        <v>1305</v>
      </c>
      <c r="AS64" s="20" t="s">
        <v>961</v>
      </c>
      <c r="AT64" s="40" t="s">
        <v>1305</v>
      </c>
      <c r="AU64" s="47"/>
      <c r="AV64" s="28"/>
      <c r="AW64" s="66"/>
      <c r="AX64" s="36"/>
    </row>
    <row r="65" spans="1:50" ht="27.75" customHeight="1">
      <c r="A65" s="7"/>
      <c r="B65" s="8">
        <v>62</v>
      </c>
      <c r="C65" s="20" t="s">
        <v>138</v>
      </c>
      <c r="D65" s="20" t="s">
        <v>138</v>
      </c>
      <c r="E65" s="8" t="s">
        <v>74</v>
      </c>
      <c r="F65" s="8" t="s">
        <v>75</v>
      </c>
      <c r="G65" s="19" t="s">
        <v>73</v>
      </c>
      <c r="H65" s="29" t="s">
        <v>76</v>
      </c>
      <c r="I65" s="28"/>
      <c r="J65" s="24">
        <v>30049099</v>
      </c>
      <c r="K65" s="11">
        <v>0.05</v>
      </c>
      <c r="L65" s="21">
        <v>1818.75</v>
      </c>
      <c r="M65" s="22">
        <f t="shared" si="0"/>
        <v>1600.5</v>
      </c>
      <c r="N65" s="23">
        <f t="shared" si="1"/>
        <v>218.25</v>
      </c>
      <c r="O65" s="26">
        <f t="shared" si="2"/>
        <v>0.12</v>
      </c>
      <c r="P65" s="28"/>
      <c r="Q65" s="28" t="s">
        <v>859</v>
      </c>
      <c r="R65" s="28" t="s">
        <v>889</v>
      </c>
      <c r="S65" s="28"/>
      <c r="T65" s="30">
        <v>1</v>
      </c>
      <c r="U65" s="20" t="s">
        <v>589</v>
      </c>
      <c r="V65" s="28"/>
      <c r="W65" s="28" t="s">
        <v>929</v>
      </c>
      <c r="X65" s="43"/>
      <c r="Y65" s="20" t="s">
        <v>962</v>
      </c>
      <c r="Z65" s="20" t="s">
        <v>962</v>
      </c>
      <c r="AA65" s="28"/>
      <c r="AB65" s="28"/>
      <c r="AC65" s="28"/>
      <c r="AD65" t="s">
        <v>1331</v>
      </c>
      <c r="AE65" s="28"/>
      <c r="AF65" s="28"/>
      <c r="AG65" s="28"/>
      <c r="AH65" s="28"/>
      <c r="AI65" s="20" t="s">
        <v>1327</v>
      </c>
      <c r="AJ65" s="28"/>
      <c r="AK65" s="28"/>
      <c r="AL65" s="28"/>
      <c r="AM65" s="28"/>
      <c r="AN65" s="35" t="s">
        <v>516</v>
      </c>
      <c r="AO65" s="28"/>
      <c r="AP65" s="28"/>
      <c r="AQ65" s="44"/>
      <c r="AR65" s="20" t="s">
        <v>1305</v>
      </c>
      <c r="AS65" s="20" t="s">
        <v>962</v>
      </c>
      <c r="AT65" s="40" t="s">
        <v>1305</v>
      </c>
      <c r="AU65" s="47"/>
      <c r="AV65" s="28"/>
      <c r="AW65" s="66"/>
      <c r="AX65" s="36"/>
    </row>
    <row r="66" spans="1:50" ht="30" customHeight="1">
      <c r="A66" s="7"/>
      <c r="B66" s="8">
        <v>63</v>
      </c>
      <c r="C66" s="20" t="s">
        <v>139</v>
      </c>
      <c r="D66" s="20" t="s">
        <v>139</v>
      </c>
      <c r="E66" s="8" t="s">
        <v>74</v>
      </c>
      <c r="F66" s="8" t="s">
        <v>75</v>
      </c>
      <c r="G66" s="19" t="s">
        <v>73</v>
      </c>
      <c r="H66" s="29" t="s">
        <v>76</v>
      </c>
      <c r="I66" s="28"/>
      <c r="J66" s="24">
        <v>30049066</v>
      </c>
      <c r="K66" s="11">
        <v>0.05</v>
      </c>
      <c r="L66" s="21">
        <v>2190</v>
      </c>
      <c r="M66" s="22">
        <f t="shared" si="0"/>
        <v>1927.2</v>
      </c>
      <c r="N66" s="23">
        <f t="shared" si="1"/>
        <v>262.79999999999995</v>
      </c>
      <c r="O66" s="26">
        <f t="shared" si="2"/>
        <v>0.11999999999999998</v>
      </c>
      <c r="P66" s="28"/>
      <c r="Q66" s="28" t="s">
        <v>859</v>
      </c>
      <c r="R66" s="28" t="s">
        <v>889</v>
      </c>
      <c r="S66" s="28"/>
      <c r="T66" s="30">
        <v>1</v>
      </c>
      <c r="U66" s="20" t="s">
        <v>589</v>
      </c>
      <c r="V66" s="28"/>
      <c r="W66" s="28" t="s">
        <v>929</v>
      </c>
      <c r="X66" s="43"/>
      <c r="Y66" s="20" t="s">
        <v>963</v>
      </c>
      <c r="Z66" s="20" t="s">
        <v>963</v>
      </c>
      <c r="AA66" s="28"/>
      <c r="AB66" s="28"/>
      <c r="AC66" s="28"/>
      <c r="AD66" t="s">
        <v>1331</v>
      </c>
      <c r="AE66" s="28"/>
      <c r="AF66" s="28"/>
      <c r="AG66" s="28"/>
      <c r="AH66" s="28"/>
      <c r="AI66" s="20" t="s">
        <v>1326</v>
      </c>
      <c r="AJ66" s="28"/>
      <c r="AK66" s="28"/>
      <c r="AL66" s="28"/>
      <c r="AM66" s="28"/>
      <c r="AN66" s="35" t="s">
        <v>517</v>
      </c>
      <c r="AO66" s="28"/>
      <c r="AP66" s="28"/>
      <c r="AQ66" s="44"/>
      <c r="AR66" s="20" t="s">
        <v>1305</v>
      </c>
      <c r="AS66" s="20" t="s">
        <v>963</v>
      </c>
      <c r="AT66" s="40" t="s">
        <v>1305</v>
      </c>
      <c r="AU66" s="47"/>
      <c r="AV66" s="28"/>
      <c r="AW66" s="66"/>
      <c r="AX66" s="36"/>
    </row>
    <row r="67" spans="1:50" ht="43.5" customHeight="1">
      <c r="A67" s="7"/>
      <c r="B67" s="8">
        <v>64</v>
      </c>
      <c r="C67" s="20" t="s">
        <v>140</v>
      </c>
      <c r="D67" s="20" t="s">
        <v>140</v>
      </c>
      <c r="E67" s="8" t="s">
        <v>74</v>
      </c>
      <c r="F67" s="8" t="s">
        <v>75</v>
      </c>
      <c r="G67" s="19" t="s">
        <v>73</v>
      </c>
      <c r="H67" s="29" t="s">
        <v>76</v>
      </c>
      <c r="I67" s="28"/>
      <c r="J67" s="24">
        <v>21069099</v>
      </c>
      <c r="K67" s="11">
        <v>0.05</v>
      </c>
      <c r="L67" s="21">
        <v>2490</v>
      </c>
      <c r="M67" s="22">
        <f t="shared" si="0"/>
        <v>2191.1999999999998</v>
      </c>
      <c r="N67" s="23">
        <f t="shared" si="1"/>
        <v>298.80000000000018</v>
      </c>
      <c r="O67" s="26">
        <f t="shared" si="2"/>
        <v>0.12000000000000008</v>
      </c>
      <c r="P67" s="28"/>
      <c r="Q67" s="28" t="s">
        <v>859</v>
      </c>
      <c r="R67" s="28" t="s">
        <v>889</v>
      </c>
      <c r="S67" s="28"/>
      <c r="T67" s="30">
        <v>1</v>
      </c>
      <c r="U67" s="20" t="s">
        <v>597</v>
      </c>
      <c r="V67" s="28"/>
      <c r="W67" s="28" t="s">
        <v>929</v>
      </c>
      <c r="X67" s="43"/>
      <c r="Y67" s="40" t="s">
        <v>964</v>
      </c>
      <c r="Z67" s="40" t="s">
        <v>964</v>
      </c>
      <c r="AA67" s="28"/>
      <c r="AB67" s="28"/>
      <c r="AC67" s="28"/>
      <c r="AD67" s="28"/>
      <c r="AE67" s="28"/>
      <c r="AF67" s="28"/>
      <c r="AG67" s="28"/>
      <c r="AH67" s="28"/>
      <c r="AI67" s="20" t="s">
        <v>1329</v>
      </c>
      <c r="AJ67" s="28"/>
      <c r="AK67" s="28"/>
      <c r="AL67" s="28"/>
      <c r="AM67" s="28"/>
      <c r="AN67" s="37"/>
      <c r="AO67" s="28"/>
      <c r="AP67" s="28"/>
      <c r="AQ67" s="44"/>
      <c r="AR67" s="20" t="s">
        <v>1306</v>
      </c>
      <c r="AS67" s="40" t="s">
        <v>964</v>
      </c>
      <c r="AT67" s="40" t="s">
        <v>1306</v>
      </c>
      <c r="AU67" s="47"/>
      <c r="AV67" s="28"/>
      <c r="AW67" s="66"/>
      <c r="AX67" s="36"/>
    </row>
    <row r="68" spans="1:50" ht="29.25" customHeight="1">
      <c r="A68" s="7"/>
      <c r="B68" s="8">
        <v>65</v>
      </c>
      <c r="C68" s="20" t="s">
        <v>141</v>
      </c>
      <c r="D68" s="20" t="s">
        <v>141</v>
      </c>
      <c r="E68" s="8" t="s">
        <v>74</v>
      </c>
      <c r="F68" s="8" t="s">
        <v>75</v>
      </c>
      <c r="G68" s="19" t="s">
        <v>73</v>
      </c>
      <c r="H68" s="29" t="s">
        <v>76</v>
      </c>
      <c r="I68" s="28"/>
      <c r="J68" s="24">
        <v>481910</v>
      </c>
      <c r="K68" s="11">
        <v>0.05</v>
      </c>
      <c r="L68" s="21">
        <v>103.13</v>
      </c>
      <c r="M68" s="22">
        <f t="shared" si="0"/>
        <v>90.75439999999999</v>
      </c>
      <c r="N68" s="23">
        <f t="shared" si="1"/>
        <v>12.375600000000006</v>
      </c>
      <c r="O68" s="26">
        <f t="shared" si="2"/>
        <v>0.12000000000000006</v>
      </c>
      <c r="P68" s="28"/>
      <c r="Q68" s="28" t="s">
        <v>863</v>
      </c>
      <c r="R68" s="28" t="s">
        <v>889</v>
      </c>
      <c r="S68" s="28"/>
      <c r="T68" s="30">
        <v>1</v>
      </c>
      <c r="U68" s="20" t="s">
        <v>610</v>
      </c>
      <c r="V68" s="28"/>
      <c r="W68" s="28" t="s">
        <v>931</v>
      </c>
      <c r="X68" s="43"/>
      <c r="Y68" s="40" t="s">
        <v>965</v>
      </c>
      <c r="Z68" s="40" t="s">
        <v>965</v>
      </c>
      <c r="AA68" s="28"/>
      <c r="AB68" s="28"/>
      <c r="AC68" s="28"/>
      <c r="AD68" s="28"/>
      <c r="AE68" s="28"/>
      <c r="AF68" s="28"/>
      <c r="AG68" s="28"/>
      <c r="AH68" s="28"/>
      <c r="AI68" s="20" t="s">
        <v>1327</v>
      </c>
      <c r="AJ68" s="28"/>
      <c r="AK68" s="28"/>
      <c r="AL68" s="28"/>
      <c r="AM68" s="28"/>
      <c r="AN68" s="35" t="s">
        <v>519</v>
      </c>
      <c r="AO68" s="28"/>
      <c r="AP68" s="28"/>
      <c r="AQ68" s="44"/>
      <c r="AR68" s="20" t="s">
        <v>1307</v>
      </c>
      <c r="AS68" s="40" t="s">
        <v>965</v>
      </c>
      <c r="AT68" s="40" t="s">
        <v>1307</v>
      </c>
      <c r="AU68" s="47"/>
      <c r="AV68" s="28"/>
      <c r="AW68" s="66"/>
      <c r="AX68" s="36"/>
    </row>
    <row r="69" spans="1:50" ht="33" customHeight="1">
      <c r="A69" s="7"/>
      <c r="B69" s="8">
        <v>66</v>
      </c>
      <c r="C69" s="20" t="s">
        <v>142</v>
      </c>
      <c r="D69" s="20" t="s">
        <v>142</v>
      </c>
      <c r="E69" s="8" t="s">
        <v>74</v>
      </c>
      <c r="F69" s="8" t="s">
        <v>75</v>
      </c>
      <c r="G69" s="19" t="s">
        <v>73</v>
      </c>
      <c r="H69" s="29" t="s">
        <v>76</v>
      </c>
      <c r="I69" s="28"/>
      <c r="J69" s="24">
        <v>30049039</v>
      </c>
      <c r="K69" s="11">
        <v>0.05</v>
      </c>
      <c r="L69" s="21">
        <v>121.88</v>
      </c>
      <c r="M69" s="22">
        <f t="shared" ref="M69:M132" si="3">L69*0.88</f>
        <v>107.25439999999999</v>
      </c>
      <c r="N69" s="23">
        <f t="shared" ref="N69:N132" si="4">L69-M69</f>
        <v>14.625600000000006</v>
      </c>
      <c r="O69" s="26">
        <f t="shared" ref="O69:O132" si="5">N69/L69</f>
        <v>0.12000000000000005</v>
      </c>
      <c r="P69" s="28"/>
      <c r="Q69" s="28" t="s">
        <v>863</v>
      </c>
      <c r="R69" s="28" t="s">
        <v>889</v>
      </c>
      <c r="S69" s="28"/>
      <c r="T69" s="30">
        <v>1</v>
      </c>
      <c r="U69" s="20" t="s">
        <v>610</v>
      </c>
      <c r="V69" s="28"/>
      <c r="W69" s="28" t="s">
        <v>931</v>
      </c>
      <c r="X69" s="43"/>
      <c r="Y69" s="20" t="s">
        <v>966</v>
      </c>
      <c r="Z69" s="20" t="s">
        <v>966</v>
      </c>
      <c r="AA69" s="28"/>
      <c r="AB69" s="28"/>
      <c r="AC69" s="28"/>
      <c r="AD69" s="28"/>
      <c r="AE69" s="28"/>
      <c r="AF69" s="28"/>
      <c r="AG69" s="28"/>
      <c r="AH69" s="28"/>
      <c r="AI69" s="20" t="s">
        <v>1323</v>
      </c>
      <c r="AJ69" s="28"/>
      <c r="AK69" s="28"/>
      <c r="AL69" s="28"/>
      <c r="AM69" s="28"/>
      <c r="AN69" s="35" t="s">
        <v>518</v>
      </c>
      <c r="AO69" s="28"/>
      <c r="AP69" s="28"/>
      <c r="AQ69" s="44"/>
      <c r="AR69" s="20" t="s">
        <v>1307</v>
      </c>
      <c r="AS69" s="20" t="s">
        <v>966</v>
      </c>
      <c r="AT69" s="40" t="s">
        <v>1307</v>
      </c>
      <c r="AU69" s="47"/>
      <c r="AV69" s="28"/>
      <c r="AW69" s="66"/>
      <c r="AX69" s="36"/>
    </row>
    <row r="70" spans="1:50" ht="30.75" customHeight="1">
      <c r="A70" s="7"/>
      <c r="B70" s="8">
        <v>67</v>
      </c>
      <c r="C70" s="20" t="s">
        <v>143</v>
      </c>
      <c r="D70" s="20" t="s">
        <v>143</v>
      </c>
      <c r="E70" s="8" t="s">
        <v>74</v>
      </c>
      <c r="F70" s="8" t="s">
        <v>75</v>
      </c>
      <c r="G70" s="19" t="s">
        <v>73</v>
      </c>
      <c r="H70" s="29" t="s">
        <v>76</v>
      </c>
      <c r="I70" s="28"/>
      <c r="J70" s="24">
        <v>30049032</v>
      </c>
      <c r="K70" s="11">
        <v>0.05</v>
      </c>
      <c r="L70" s="21">
        <v>135.94</v>
      </c>
      <c r="M70" s="22">
        <f t="shared" si="3"/>
        <v>119.6272</v>
      </c>
      <c r="N70" s="23">
        <f t="shared" si="4"/>
        <v>16.312799999999996</v>
      </c>
      <c r="O70" s="26">
        <f t="shared" si="5"/>
        <v>0.11999999999999997</v>
      </c>
      <c r="P70" s="28"/>
      <c r="Q70" s="28" t="s">
        <v>863</v>
      </c>
      <c r="R70" s="28" t="s">
        <v>889</v>
      </c>
      <c r="S70" s="28"/>
      <c r="T70" s="30">
        <v>1</v>
      </c>
      <c r="U70" s="20" t="s">
        <v>610</v>
      </c>
      <c r="V70" s="28"/>
      <c r="W70" s="28" t="s">
        <v>931</v>
      </c>
      <c r="X70" s="43"/>
      <c r="Y70" s="40" t="s">
        <v>967</v>
      </c>
      <c r="Z70" s="40" t="s">
        <v>967</v>
      </c>
      <c r="AA70" s="28"/>
      <c r="AB70" s="28"/>
      <c r="AC70" s="28"/>
      <c r="AD70" s="28"/>
      <c r="AE70" s="28"/>
      <c r="AF70" s="28"/>
      <c r="AG70" s="28"/>
      <c r="AH70" s="28"/>
      <c r="AI70" s="20" t="s">
        <v>1323</v>
      </c>
      <c r="AJ70" s="28"/>
      <c r="AK70" s="28"/>
      <c r="AL70" s="28"/>
      <c r="AM70" s="28"/>
      <c r="AN70" s="35" t="s">
        <v>520</v>
      </c>
      <c r="AO70" s="28"/>
      <c r="AP70" s="28"/>
      <c r="AQ70" s="44"/>
      <c r="AR70" s="20" t="s">
        <v>1307</v>
      </c>
      <c r="AS70" s="40" t="s">
        <v>967</v>
      </c>
      <c r="AT70" s="40" t="s">
        <v>1307</v>
      </c>
      <c r="AU70" s="47"/>
      <c r="AV70" s="28"/>
      <c r="AW70" s="66"/>
      <c r="AX70" s="36"/>
    </row>
    <row r="71" spans="1:50" ht="29.25" customHeight="1">
      <c r="A71" s="7"/>
      <c r="B71" s="8">
        <v>68</v>
      </c>
      <c r="C71" s="20" t="s">
        <v>144</v>
      </c>
      <c r="D71" s="20" t="s">
        <v>144</v>
      </c>
      <c r="E71" s="8" t="s">
        <v>74</v>
      </c>
      <c r="F71" s="8" t="s">
        <v>75</v>
      </c>
      <c r="G71" s="19" t="s">
        <v>73</v>
      </c>
      <c r="H71" s="29" t="s">
        <v>76</v>
      </c>
      <c r="I71" s="28"/>
      <c r="J71" s="24">
        <v>30049039</v>
      </c>
      <c r="K71" s="11">
        <v>0.05</v>
      </c>
      <c r="L71" s="21">
        <v>136.88</v>
      </c>
      <c r="M71" s="22">
        <f t="shared" si="3"/>
        <v>120.45439999999999</v>
      </c>
      <c r="N71" s="23">
        <f t="shared" si="4"/>
        <v>16.425600000000003</v>
      </c>
      <c r="O71" s="26">
        <f t="shared" si="5"/>
        <v>0.12000000000000002</v>
      </c>
      <c r="P71" s="28"/>
      <c r="Q71" s="28" t="s">
        <v>863</v>
      </c>
      <c r="R71" s="28" t="s">
        <v>889</v>
      </c>
      <c r="S71" s="28"/>
      <c r="T71" s="30">
        <v>1</v>
      </c>
      <c r="U71" s="20" t="s">
        <v>592</v>
      </c>
      <c r="V71" s="28"/>
      <c r="W71" s="28" t="s">
        <v>931</v>
      </c>
      <c r="X71" s="43"/>
      <c r="Y71" s="20" t="s">
        <v>968</v>
      </c>
      <c r="Z71" s="20" t="s">
        <v>968</v>
      </c>
      <c r="AA71" s="28"/>
      <c r="AB71" s="28"/>
      <c r="AC71" s="28"/>
      <c r="AD71" s="28"/>
      <c r="AE71" s="28"/>
      <c r="AF71" s="28"/>
      <c r="AG71" s="28"/>
      <c r="AH71" s="28"/>
      <c r="AI71" s="20" t="s">
        <v>1323</v>
      </c>
      <c r="AJ71" s="28"/>
      <c r="AK71" s="28"/>
      <c r="AL71" s="28"/>
      <c r="AM71" s="28"/>
      <c r="AN71" s="35" t="s">
        <v>521</v>
      </c>
      <c r="AO71" s="28"/>
      <c r="AP71" s="28"/>
      <c r="AQ71" s="44"/>
      <c r="AR71" s="20" t="s">
        <v>1307</v>
      </c>
      <c r="AS71" s="20" t="s">
        <v>968</v>
      </c>
      <c r="AT71" s="40" t="s">
        <v>1307</v>
      </c>
      <c r="AU71" s="47"/>
      <c r="AV71" s="28"/>
      <c r="AW71" s="66"/>
      <c r="AX71" s="36"/>
    </row>
    <row r="72" spans="1:50" ht="29.25" customHeight="1">
      <c r="A72" s="7"/>
      <c r="B72" s="8">
        <v>69</v>
      </c>
      <c r="C72" s="20" t="s">
        <v>145</v>
      </c>
      <c r="D72" s="20" t="s">
        <v>145</v>
      </c>
      <c r="E72" s="8" t="s">
        <v>74</v>
      </c>
      <c r="F72" s="8" t="s">
        <v>75</v>
      </c>
      <c r="G72" s="19" t="s">
        <v>73</v>
      </c>
      <c r="H72" s="29" t="s">
        <v>76</v>
      </c>
      <c r="I72" s="28"/>
      <c r="J72" s="24">
        <v>30049039</v>
      </c>
      <c r="K72" s="11">
        <v>0.05</v>
      </c>
      <c r="L72" s="21">
        <v>260.63</v>
      </c>
      <c r="M72" s="22">
        <f t="shared" si="3"/>
        <v>229.3544</v>
      </c>
      <c r="N72" s="23">
        <f t="shared" si="4"/>
        <v>31.275599999999997</v>
      </c>
      <c r="O72" s="26">
        <f t="shared" si="5"/>
        <v>0.12</v>
      </c>
      <c r="P72" s="28"/>
      <c r="Q72" s="28" t="s">
        <v>863</v>
      </c>
      <c r="R72" s="28" t="s">
        <v>889</v>
      </c>
      <c r="S72" s="28"/>
      <c r="T72" s="30">
        <v>1</v>
      </c>
      <c r="U72" s="20" t="s">
        <v>593</v>
      </c>
      <c r="V72" s="28"/>
      <c r="W72" s="28" t="s">
        <v>931</v>
      </c>
      <c r="X72" s="43"/>
      <c r="Y72" s="20" t="s">
        <v>968</v>
      </c>
      <c r="Z72" s="20" t="s">
        <v>968</v>
      </c>
      <c r="AA72" s="28"/>
      <c r="AB72" s="28"/>
      <c r="AC72" s="28"/>
      <c r="AD72" s="28"/>
      <c r="AE72" s="28"/>
      <c r="AF72" s="28"/>
      <c r="AG72" s="28"/>
      <c r="AH72" s="28"/>
      <c r="AI72" s="20" t="s">
        <v>1323</v>
      </c>
      <c r="AJ72" s="28"/>
      <c r="AK72" s="28"/>
      <c r="AL72" s="28"/>
      <c r="AM72" s="28"/>
      <c r="AN72" s="35" t="s">
        <v>522</v>
      </c>
      <c r="AO72" s="28"/>
      <c r="AP72" s="28"/>
      <c r="AQ72" s="44"/>
      <c r="AR72" s="20" t="s">
        <v>1307</v>
      </c>
      <c r="AS72" s="20" t="s">
        <v>968</v>
      </c>
      <c r="AT72" s="40" t="s">
        <v>1307</v>
      </c>
      <c r="AU72" s="47"/>
      <c r="AV72" s="28"/>
      <c r="AW72" s="66"/>
      <c r="AX72" s="36"/>
    </row>
    <row r="73" spans="1:50" ht="15.75" customHeight="1">
      <c r="A73" s="7"/>
      <c r="B73" s="8">
        <v>70</v>
      </c>
      <c r="C73" s="20" t="s">
        <v>146</v>
      </c>
      <c r="D73" s="20" t="s">
        <v>146</v>
      </c>
      <c r="E73" s="8" t="s">
        <v>74</v>
      </c>
      <c r="F73" s="8" t="s">
        <v>75</v>
      </c>
      <c r="G73" s="19" t="s">
        <v>73</v>
      </c>
      <c r="H73" s="29" t="s">
        <v>76</v>
      </c>
      <c r="I73" s="28"/>
      <c r="J73" s="24">
        <v>30049099</v>
      </c>
      <c r="K73" s="11">
        <v>0.05</v>
      </c>
      <c r="L73" s="21">
        <v>1900</v>
      </c>
      <c r="M73" s="22">
        <f t="shared" si="3"/>
        <v>1672</v>
      </c>
      <c r="N73" s="23">
        <f t="shared" si="4"/>
        <v>228</v>
      </c>
      <c r="O73" s="26">
        <f t="shared" si="5"/>
        <v>0.12</v>
      </c>
      <c r="P73" s="28"/>
      <c r="Q73" s="28" t="s">
        <v>859</v>
      </c>
      <c r="R73" s="28" t="s">
        <v>889</v>
      </c>
      <c r="S73" s="28"/>
      <c r="T73" s="30">
        <v>1</v>
      </c>
      <c r="U73" s="20" t="s">
        <v>589</v>
      </c>
      <c r="V73" s="28"/>
      <c r="W73" s="28" t="s">
        <v>929</v>
      </c>
      <c r="X73" s="43"/>
      <c r="Y73" s="20" t="s">
        <v>969</v>
      </c>
      <c r="Z73" s="20" t="s">
        <v>969</v>
      </c>
      <c r="AA73" s="28"/>
      <c r="AB73" s="28"/>
      <c r="AC73" s="28"/>
      <c r="AD73" s="20" t="s">
        <v>1331</v>
      </c>
      <c r="AE73" s="28"/>
      <c r="AF73" s="28"/>
      <c r="AG73" s="28"/>
      <c r="AH73" s="28"/>
      <c r="AI73" s="20" t="s">
        <v>1326</v>
      </c>
      <c r="AJ73" s="28"/>
      <c r="AK73" s="28"/>
      <c r="AL73" s="28"/>
      <c r="AM73" s="28"/>
      <c r="AN73" s="37"/>
      <c r="AO73" s="28"/>
      <c r="AP73" s="28"/>
      <c r="AQ73" s="44"/>
      <c r="AR73" s="20" t="s">
        <v>1308</v>
      </c>
      <c r="AS73" s="20" t="s">
        <v>969</v>
      </c>
      <c r="AT73" s="40" t="s">
        <v>1308</v>
      </c>
      <c r="AU73" s="47"/>
      <c r="AV73" s="28"/>
      <c r="AW73" s="66"/>
      <c r="AX73" s="36"/>
    </row>
    <row r="74" spans="1:50" ht="28.5" customHeight="1">
      <c r="A74" s="7"/>
      <c r="B74" s="8">
        <v>71</v>
      </c>
      <c r="C74" s="20" t="s">
        <v>147</v>
      </c>
      <c r="D74" s="20" t="s">
        <v>147</v>
      </c>
      <c r="E74" s="8" t="s">
        <v>74</v>
      </c>
      <c r="F74" s="8" t="s">
        <v>75</v>
      </c>
      <c r="G74" s="19" t="s">
        <v>73</v>
      </c>
      <c r="H74" s="29" t="s">
        <v>76</v>
      </c>
      <c r="I74" s="28"/>
      <c r="J74" s="24">
        <v>30049069</v>
      </c>
      <c r="K74" s="11">
        <v>0.05</v>
      </c>
      <c r="L74" s="21">
        <v>1350</v>
      </c>
      <c r="M74" s="22">
        <f t="shared" si="3"/>
        <v>1188</v>
      </c>
      <c r="N74" s="23">
        <f t="shared" si="4"/>
        <v>162</v>
      </c>
      <c r="O74" s="26">
        <f t="shared" si="5"/>
        <v>0.12</v>
      </c>
      <c r="P74" s="28"/>
      <c r="Q74" s="28" t="s">
        <v>859</v>
      </c>
      <c r="R74" s="28" t="s">
        <v>889</v>
      </c>
      <c r="S74" s="28"/>
      <c r="T74" s="30">
        <v>1</v>
      </c>
      <c r="U74" s="20" t="s">
        <v>589</v>
      </c>
      <c r="V74" s="28"/>
      <c r="W74" s="28" t="s">
        <v>929</v>
      </c>
      <c r="X74" s="43"/>
      <c r="Y74" s="20" t="s">
        <v>970</v>
      </c>
      <c r="Z74" s="20" t="s">
        <v>970</v>
      </c>
      <c r="AA74" s="28"/>
      <c r="AB74" s="28"/>
      <c r="AC74" s="28"/>
      <c r="AD74" s="20" t="s">
        <v>1331</v>
      </c>
      <c r="AE74" s="28"/>
      <c r="AF74" s="28"/>
      <c r="AG74" s="28"/>
      <c r="AH74" s="28"/>
      <c r="AI74" s="20" t="s">
        <v>1326</v>
      </c>
      <c r="AJ74" s="28"/>
      <c r="AK74" s="28"/>
      <c r="AL74" s="28"/>
      <c r="AM74" s="28"/>
      <c r="AN74" s="35" t="s">
        <v>523</v>
      </c>
      <c r="AO74" s="28"/>
      <c r="AP74" s="28"/>
      <c r="AQ74" s="44"/>
      <c r="AR74" s="20" t="s">
        <v>1308</v>
      </c>
      <c r="AS74" s="20" t="s">
        <v>970</v>
      </c>
      <c r="AT74" s="40" t="s">
        <v>1308</v>
      </c>
      <c r="AU74" s="47"/>
      <c r="AV74" s="28"/>
      <c r="AW74" s="66"/>
      <c r="AX74" s="36"/>
    </row>
    <row r="75" spans="1:50" ht="39.75" customHeight="1">
      <c r="A75" s="7"/>
      <c r="B75" s="8">
        <v>72</v>
      </c>
      <c r="C75" s="20" t="s">
        <v>148</v>
      </c>
      <c r="D75" s="20" t="s">
        <v>148</v>
      </c>
      <c r="E75" s="8" t="s">
        <v>74</v>
      </c>
      <c r="F75" s="8" t="s">
        <v>75</v>
      </c>
      <c r="G75" s="19" t="s">
        <v>73</v>
      </c>
      <c r="H75" s="29" t="s">
        <v>76</v>
      </c>
      <c r="I75" s="28"/>
      <c r="J75" s="24">
        <v>300490</v>
      </c>
      <c r="K75" s="11">
        <v>0.05</v>
      </c>
      <c r="L75" s="21">
        <v>1359.38</v>
      </c>
      <c r="M75" s="22">
        <f t="shared" si="3"/>
        <v>1196.2544</v>
      </c>
      <c r="N75" s="23">
        <f t="shared" si="4"/>
        <v>163.12560000000008</v>
      </c>
      <c r="O75" s="26">
        <f t="shared" si="5"/>
        <v>0.12000000000000005</v>
      </c>
      <c r="P75" s="28"/>
      <c r="Q75" s="28" t="s">
        <v>859</v>
      </c>
      <c r="R75" s="28" t="s">
        <v>889</v>
      </c>
      <c r="S75" s="28"/>
      <c r="T75" s="30">
        <v>1</v>
      </c>
      <c r="U75" s="20" t="s">
        <v>589</v>
      </c>
      <c r="V75" s="28"/>
      <c r="W75" s="28" t="s">
        <v>929</v>
      </c>
      <c r="X75" s="43"/>
      <c r="Y75" s="20" t="s">
        <v>971</v>
      </c>
      <c r="Z75" s="20" t="s">
        <v>971</v>
      </c>
      <c r="AA75" s="28"/>
      <c r="AB75" s="28"/>
      <c r="AC75" s="28"/>
      <c r="AD75" s="20" t="s">
        <v>1331</v>
      </c>
      <c r="AE75" s="28"/>
      <c r="AF75" s="28"/>
      <c r="AG75" s="28"/>
      <c r="AH75" s="28"/>
      <c r="AI75" s="20" t="s">
        <v>1326</v>
      </c>
      <c r="AJ75" s="28"/>
      <c r="AK75" s="28"/>
      <c r="AL75" s="28"/>
      <c r="AM75" s="28"/>
      <c r="AN75" s="35" t="s">
        <v>524</v>
      </c>
      <c r="AO75" s="28"/>
      <c r="AP75" s="28"/>
      <c r="AQ75" s="44"/>
      <c r="AR75" s="20" t="s">
        <v>1308</v>
      </c>
      <c r="AS75" s="20" t="s">
        <v>971</v>
      </c>
      <c r="AT75" s="40" t="s">
        <v>1308</v>
      </c>
      <c r="AU75" s="47"/>
      <c r="AV75" s="28"/>
      <c r="AW75" s="66"/>
      <c r="AX75" s="36"/>
    </row>
    <row r="76" spans="1:50" ht="31.5" customHeight="1">
      <c r="A76" s="7"/>
      <c r="B76" s="8">
        <v>73</v>
      </c>
      <c r="C76" s="20" t="s">
        <v>149</v>
      </c>
      <c r="D76" s="20" t="s">
        <v>149</v>
      </c>
      <c r="E76" s="8" t="s">
        <v>74</v>
      </c>
      <c r="F76" s="8" t="s">
        <v>75</v>
      </c>
      <c r="G76" s="19" t="s">
        <v>73</v>
      </c>
      <c r="H76" s="29" t="s">
        <v>76</v>
      </c>
      <c r="I76" s="28"/>
      <c r="J76" s="24">
        <v>30049069</v>
      </c>
      <c r="K76" s="11">
        <v>0.05</v>
      </c>
      <c r="L76" s="21">
        <v>3000</v>
      </c>
      <c r="M76" s="22">
        <f t="shared" si="3"/>
        <v>2640</v>
      </c>
      <c r="N76" s="23">
        <f t="shared" si="4"/>
        <v>360</v>
      </c>
      <c r="O76" s="26">
        <f t="shared" si="5"/>
        <v>0.12</v>
      </c>
      <c r="P76" s="28"/>
      <c r="Q76" s="28" t="s">
        <v>859</v>
      </c>
      <c r="R76" s="28" t="s">
        <v>889</v>
      </c>
      <c r="S76" s="28"/>
      <c r="T76" s="30">
        <v>1</v>
      </c>
      <c r="U76" s="20" t="s">
        <v>589</v>
      </c>
      <c r="V76" s="28"/>
      <c r="W76" s="28" t="s">
        <v>929</v>
      </c>
      <c r="X76" s="43"/>
      <c r="Y76" s="20" t="s">
        <v>972</v>
      </c>
      <c r="Z76" s="20" t="s">
        <v>972</v>
      </c>
      <c r="AA76" s="28"/>
      <c r="AB76" s="28"/>
      <c r="AC76" s="28"/>
      <c r="AD76" s="20" t="s">
        <v>1331</v>
      </c>
      <c r="AE76" s="28"/>
      <c r="AF76" s="28"/>
      <c r="AG76" s="28"/>
      <c r="AH76" s="28"/>
      <c r="AI76" s="20" t="s">
        <v>1326</v>
      </c>
      <c r="AJ76" s="28"/>
      <c r="AK76" s="28"/>
      <c r="AL76" s="28"/>
      <c r="AM76" s="28"/>
      <c r="AN76" s="35" t="s">
        <v>525</v>
      </c>
      <c r="AO76" s="28"/>
      <c r="AP76" s="28"/>
      <c r="AQ76" s="44"/>
      <c r="AR76" s="20" t="s">
        <v>1308</v>
      </c>
      <c r="AS76" s="20" t="s">
        <v>972</v>
      </c>
      <c r="AT76" s="40" t="s">
        <v>1308</v>
      </c>
      <c r="AU76" s="47"/>
      <c r="AV76" s="28"/>
      <c r="AW76" s="66"/>
      <c r="AX76" s="36"/>
    </row>
    <row r="77" spans="1:50" ht="79.5" customHeight="1">
      <c r="A77" s="7"/>
      <c r="B77" s="8">
        <v>74</v>
      </c>
      <c r="C77" s="20" t="s">
        <v>150</v>
      </c>
      <c r="D77" s="20" t="s">
        <v>150</v>
      </c>
      <c r="E77" s="8" t="s">
        <v>74</v>
      </c>
      <c r="F77" s="8" t="s">
        <v>75</v>
      </c>
      <c r="G77" s="19" t="s">
        <v>73</v>
      </c>
      <c r="H77" s="29" t="s">
        <v>76</v>
      </c>
      <c r="I77" s="28"/>
      <c r="J77" s="24">
        <v>21069099</v>
      </c>
      <c r="K77" s="11">
        <v>0.05</v>
      </c>
      <c r="L77" s="21">
        <v>1602</v>
      </c>
      <c r="M77" s="22">
        <f t="shared" si="3"/>
        <v>1409.76</v>
      </c>
      <c r="N77" s="23">
        <f t="shared" si="4"/>
        <v>192.24</v>
      </c>
      <c r="O77" s="26">
        <f t="shared" si="5"/>
        <v>0.12000000000000001</v>
      </c>
      <c r="P77" s="28"/>
      <c r="Q77" s="28" t="s">
        <v>859</v>
      </c>
      <c r="R77" s="28" t="s">
        <v>889</v>
      </c>
      <c r="S77" s="28"/>
      <c r="T77" s="30">
        <v>1</v>
      </c>
      <c r="U77" s="20" t="s">
        <v>597</v>
      </c>
      <c r="V77" s="28"/>
      <c r="W77" s="28" t="s">
        <v>929</v>
      </c>
      <c r="X77" s="43"/>
      <c r="Y77" s="40" t="s">
        <v>973</v>
      </c>
      <c r="Z77" s="40" t="s">
        <v>973</v>
      </c>
      <c r="AA77" s="28"/>
      <c r="AB77" s="28"/>
      <c r="AC77" s="28"/>
      <c r="AD77" s="28"/>
      <c r="AE77" s="28"/>
      <c r="AF77" s="28"/>
      <c r="AG77" s="28"/>
      <c r="AH77" s="28"/>
      <c r="AI77" s="20" t="s">
        <v>1329</v>
      </c>
      <c r="AJ77" s="28"/>
      <c r="AK77" s="28"/>
      <c r="AL77" s="28"/>
      <c r="AM77" s="28"/>
      <c r="AN77" s="35" t="s">
        <v>526</v>
      </c>
      <c r="AO77" s="28"/>
      <c r="AP77" s="28"/>
      <c r="AQ77" s="44"/>
      <c r="AR77" s="20" t="s">
        <v>1304</v>
      </c>
      <c r="AS77" s="40" t="s">
        <v>973</v>
      </c>
      <c r="AT77" s="40" t="s">
        <v>1304</v>
      </c>
      <c r="AU77" s="47"/>
      <c r="AV77" s="28"/>
      <c r="AW77" s="66"/>
      <c r="AX77" s="36"/>
    </row>
    <row r="78" spans="1:50" ht="33" customHeight="1">
      <c r="A78" s="7"/>
      <c r="B78" s="8">
        <v>75</v>
      </c>
      <c r="C78" s="20" t="s">
        <v>151</v>
      </c>
      <c r="D78" s="20" t="s">
        <v>151</v>
      </c>
      <c r="E78" s="8" t="s">
        <v>74</v>
      </c>
      <c r="F78" s="8" t="s">
        <v>75</v>
      </c>
      <c r="G78" s="19" t="s">
        <v>73</v>
      </c>
      <c r="H78" s="29" t="s">
        <v>76</v>
      </c>
      <c r="I78" s="28"/>
      <c r="J78" s="24">
        <v>30049099</v>
      </c>
      <c r="K78" s="11">
        <v>0.05</v>
      </c>
      <c r="L78" s="21">
        <v>276.56</v>
      </c>
      <c r="M78" s="22">
        <f t="shared" si="3"/>
        <v>243.37280000000001</v>
      </c>
      <c r="N78" s="23">
        <f t="shared" si="4"/>
        <v>33.18719999999999</v>
      </c>
      <c r="O78" s="26">
        <f t="shared" si="5"/>
        <v>0.11999999999999997</v>
      </c>
      <c r="P78" s="28"/>
      <c r="Q78" s="28" t="s">
        <v>870</v>
      </c>
      <c r="R78" s="28" t="s">
        <v>891</v>
      </c>
      <c r="S78" s="28"/>
      <c r="T78" s="30">
        <v>1</v>
      </c>
      <c r="U78" s="20" t="s">
        <v>592</v>
      </c>
      <c r="V78" s="28"/>
      <c r="W78" s="28" t="s">
        <v>931</v>
      </c>
      <c r="X78" s="43"/>
      <c r="Y78" s="20" t="s">
        <v>974</v>
      </c>
      <c r="Z78" s="20" t="s">
        <v>974</v>
      </c>
      <c r="AA78" s="28"/>
      <c r="AB78" s="28"/>
      <c r="AC78" s="28"/>
      <c r="AD78" s="28"/>
      <c r="AE78" s="28"/>
      <c r="AF78" s="28"/>
      <c r="AG78" s="28"/>
      <c r="AH78" s="28"/>
      <c r="AI78" s="20" t="s">
        <v>1327</v>
      </c>
      <c r="AJ78" s="28"/>
      <c r="AK78" s="28"/>
      <c r="AL78" s="28"/>
      <c r="AM78" s="28"/>
      <c r="AN78" s="35" t="s">
        <v>527</v>
      </c>
      <c r="AO78" s="28"/>
      <c r="AP78" s="28"/>
      <c r="AQ78" s="44"/>
      <c r="AR78" s="20" t="s">
        <v>1309</v>
      </c>
      <c r="AS78" s="20" t="s">
        <v>974</v>
      </c>
      <c r="AT78" s="40" t="s">
        <v>1309</v>
      </c>
      <c r="AU78" s="47"/>
      <c r="AV78" s="28"/>
      <c r="AW78" s="66"/>
      <c r="AX78" s="36"/>
    </row>
    <row r="79" spans="1:50" ht="52.5" customHeight="1">
      <c r="A79" s="7"/>
      <c r="B79" s="8">
        <v>76</v>
      </c>
      <c r="C79" s="20" t="s">
        <v>152</v>
      </c>
      <c r="D79" s="20" t="s">
        <v>152</v>
      </c>
      <c r="E79" s="8" t="s">
        <v>74</v>
      </c>
      <c r="F79" s="8" t="s">
        <v>75</v>
      </c>
      <c r="G79" s="19" t="s">
        <v>73</v>
      </c>
      <c r="H79" s="29" t="s">
        <v>76</v>
      </c>
      <c r="I79" s="28"/>
      <c r="J79" s="24">
        <v>30049099</v>
      </c>
      <c r="K79" s="11">
        <v>0.05</v>
      </c>
      <c r="L79" s="21">
        <v>131</v>
      </c>
      <c r="M79" s="22">
        <f t="shared" si="3"/>
        <v>115.28</v>
      </c>
      <c r="N79" s="23">
        <f t="shared" si="4"/>
        <v>15.719999999999999</v>
      </c>
      <c r="O79" s="26">
        <f t="shared" si="5"/>
        <v>0.12</v>
      </c>
      <c r="P79" s="28"/>
      <c r="Q79" s="28" t="s">
        <v>863</v>
      </c>
      <c r="R79" s="28" t="s">
        <v>889</v>
      </c>
      <c r="S79" s="28"/>
      <c r="T79" s="30">
        <v>1</v>
      </c>
      <c r="U79" s="20" t="s">
        <v>593</v>
      </c>
      <c r="V79" s="28"/>
      <c r="W79" s="28" t="s">
        <v>931</v>
      </c>
      <c r="X79" s="43"/>
      <c r="Y79" s="40" t="s">
        <v>975</v>
      </c>
      <c r="Z79" s="40" t="s">
        <v>975</v>
      </c>
      <c r="AA79" s="28"/>
      <c r="AB79" s="28"/>
      <c r="AC79" s="28"/>
      <c r="AD79" s="28"/>
      <c r="AE79" s="28"/>
      <c r="AF79" s="28"/>
      <c r="AG79" s="28"/>
      <c r="AH79" s="28"/>
      <c r="AI79" s="20" t="s">
        <v>1329</v>
      </c>
      <c r="AJ79" s="28"/>
      <c r="AK79" s="28"/>
      <c r="AL79" s="28"/>
      <c r="AM79" s="28"/>
      <c r="AN79" s="35" t="s">
        <v>528</v>
      </c>
      <c r="AO79" s="28"/>
      <c r="AP79" s="28"/>
      <c r="AQ79" s="44"/>
      <c r="AR79" s="20" t="s">
        <v>1307</v>
      </c>
      <c r="AS79" s="40" t="s">
        <v>975</v>
      </c>
      <c r="AT79" s="40" t="s">
        <v>1307</v>
      </c>
      <c r="AU79" s="47"/>
      <c r="AV79" s="28"/>
      <c r="AW79" s="66"/>
      <c r="AX79" s="36"/>
    </row>
    <row r="80" spans="1:50" ht="31.5" customHeight="1">
      <c r="A80" s="7"/>
      <c r="B80" s="8">
        <v>77</v>
      </c>
      <c r="C80" s="20" t="s">
        <v>153</v>
      </c>
      <c r="D80" s="20" t="s">
        <v>153</v>
      </c>
      <c r="E80" s="8" t="s">
        <v>74</v>
      </c>
      <c r="F80" s="8" t="s">
        <v>75</v>
      </c>
      <c r="G80" s="19" t="s">
        <v>73</v>
      </c>
      <c r="H80" s="29" t="s">
        <v>76</v>
      </c>
      <c r="I80" s="28"/>
      <c r="J80" s="24">
        <v>30045010</v>
      </c>
      <c r="K80" s="11">
        <v>0.05</v>
      </c>
      <c r="L80" s="21">
        <v>1640.63</v>
      </c>
      <c r="M80" s="22">
        <f t="shared" si="3"/>
        <v>1443.7544</v>
      </c>
      <c r="N80" s="23">
        <f t="shared" si="4"/>
        <v>196.87560000000008</v>
      </c>
      <c r="O80" s="26">
        <f t="shared" si="5"/>
        <v>0.12000000000000004</v>
      </c>
      <c r="P80" s="28"/>
      <c r="Q80" s="28" t="s">
        <v>859</v>
      </c>
      <c r="R80" s="28" t="s">
        <v>889</v>
      </c>
      <c r="S80" s="28"/>
      <c r="T80" s="30">
        <v>1</v>
      </c>
      <c r="U80" s="20" t="s">
        <v>604</v>
      </c>
      <c r="V80" s="28"/>
      <c r="W80" s="28" t="s">
        <v>929</v>
      </c>
      <c r="X80" s="43"/>
      <c r="Y80" s="40" t="s">
        <v>976</v>
      </c>
      <c r="Z80" s="40" t="s">
        <v>976</v>
      </c>
      <c r="AA80" s="28"/>
      <c r="AB80" s="28"/>
      <c r="AC80" s="28"/>
      <c r="AD80" s="28"/>
      <c r="AE80" s="28"/>
      <c r="AF80" s="28"/>
      <c r="AG80" s="28"/>
      <c r="AH80" s="28"/>
      <c r="AI80" s="20" t="s">
        <v>1329</v>
      </c>
      <c r="AJ80" s="28"/>
      <c r="AK80" s="28"/>
      <c r="AL80" s="28"/>
      <c r="AM80" s="28"/>
      <c r="AN80" s="35" t="s">
        <v>529</v>
      </c>
      <c r="AO80" s="28"/>
      <c r="AP80" s="28"/>
      <c r="AQ80" s="44"/>
      <c r="AR80" s="20" t="s">
        <v>1304</v>
      </c>
      <c r="AS80" s="40" t="s">
        <v>976</v>
      </c>
      <c r="AT80" s="40" t="s">
        <v>1304</v>
      </c>
      <c r="AU80" s="47"/>
      <c r="AV80" s="28"/>
      <c r="AW80" s="66"/>
      <c r="AX80" s="36"/>
    </row>
    <row r="81" spans="1:50" ht="33" customHeight="1">
      <c r="A81" s="7"/>
      <c r="B81" s="8">
        <v>78</v>
      </c>
      <c r="C81" s="20" t="s">
        <v>154</v>
      </c>
      <c r="D81" s="20" t="s">
        <v>154</v>
      </c>
      <c r="E81" s="8" t="s">
        <v>74</v>
      </c>
      <c r="F81" s="8" t="s">
        <v>75</v>
      </c>
      <c r="G81" s="19" t="s">
        <v>73</v>
      </c>
      <c r="H81" s="29" t="s">
        <v>76</v>
      </c>
      <c r="I81" s="28"/>
      <c r="J81" s="24">
        <v>30045090</v>
      </c>
      <c r="K81" s="11">
        <v>0.05</v>
      </c>
      <c r="L81" s="21">
        <v>1359.38</v>
      </c>
      <c r="M81" s="22">
        <f t="shared" si="3"/>
        <v>1196.2544</v>
      </c>
      <c r="N81" s="23">
        <f t="shared" si="4"/>
        <v>163.12560000000008</v>
      </c>
      <c r="O81" s="26">
        <f t="shared" si="5"/>
        <v>0.12000000000000005</v>
      </c>
      <c r="P81" s="28"/>
      <c r="Q81" s="28" t="s">
        <v>859</v>
      </c>
      <c r="R81" s="28" t="s">
        <v>889</v>
      </c>
      <c r="S81" s="28"/>
      <c r="T81" s="30">
        <v>1</v>
      </c>
      <c r="U81" s="20" t="s">
        <v>604</v>
      </c>
      <c r="V81" s="28"/>
      <c r="W81" s="28" t="s">
        <v>929</v>
      </c>
      <c r="X81" s="43"/>
      <c r="Y81" s="20" t="s">
        <v>977</v>
      </c>
      <c r="Z81" s="20" t="s">
        <v>977</v>
      </c>
      <c r="AA81" s="28"/>
      <c r="AB81" s="28"/>
      <c r="AC81" s="28"/>
      <c r="AD81" s="28"/>
      <c r="AE81" s="28"/>
      <c r="AF81" s="28"/>
      <c r="AG81" s="28"/>
      <c r="AH81" s="28"/>
      <c r="AI81" s="20" t="s">
        <v>1329</v>
      </c>
      <c r="AJ81" s="28"/>
      <c r="AK81" s="28"/>
      <c r="AL81" s="28"/>
      <c r="AM81" s="28"/>
      <c r="AN81" s="35" t="s">
        <v>530</v>
      </c>
      <c r="AO81" s="28"/>
      <c r="AP81" s="28"/>
      <c r="AQ81" s="44"/>
      <c r="AR81" s="20" t="s">
        <v>1306</v>
      </c>
      <c r="AS81" s="20" t="s">
        <v>977</v>
      </c>
      <c r="AT81" s="40" t="s">
        <v>1306</v>
      </c>
      <c r="AU81" s="47"/>
      <c r="AV81" s="28"/>
      <c r="AW81" s="66"/>
      <c r="AX81" s="36"/>
    </row>
    <row r="82" spans="1:50" ht="34.5" customHeight="1">
      <c r="A82" s="7"/>
      <c r="B82" s="8">
        <v>79</v>
      </c>
      <c r="C82" s="20" t="s">
        <v>155</v>
      </c>
      <c r="D82" s="20" t="s">
        <v>155</v>
      </c>
      <c r="E82" s="8" t="s">
        <v>74</v>
      </c>
      <c r="F82" s="8" t="s">
        <v>75</v>
      </c>
      <c r="G82" s="19" t="s">
        <v>73</v>
      </c>
      <c r="H82" s="29" t="s">
        <v>76</v>
      </c>
      <c r="I82" s="28"/>
      <c r="J82" s="24">
        <v>30049099</v>
      </c>
      <c r="K82" s="11">
        <v>0.05</v>
      </c>
      <c r="L82" s="21">
        <v>234.38</v>
      </c>
      <c r="M82" s="22">
        <f t="shared" si="3"/>
        <v>206.2544</v>
      </c>
      <c r="N82" s="23">
        <f t="shared" si="4"/>
        <v>28.125599999999991</v>
      </c>
      <c r="O82" s="26">
        <f t="shared" si="5"/>
        <v>0.11999999999999997</v>
      </c>
      <c r="P82" s="28"/>
      <c r="Q82" s="28" t="s">
        <v>859</v>
      </c>
      <c r="R82" s="28" t="s">
        <v>889</v>
      </c>
      <c r="S82" s="28"/>
      <c r="T82" s="30">
        <v>1</v>
      </c>
      <c r="U82" s="20" t="s">
        <v>611</v>
      </c>
      <c r="V82" s="28"/>
      <c r="W82" s="28" t="s">
        <v>929</v>
      </c>
      <c r="X82" s="43"/>
      <c r="Y82" s="40" t="s">
        <v>978</v>
      </c>
      <c r="Z82" s="40" t="s">
        <v>978</v>
      </c>
      <c r="AA82" s="28"/>
      <c r="AB82" s="28"/>
      <c r="AC82" s="28"/>
      <c r="AD82" s="28"/>
      <c r="AE82" s="28"/>
      <c r="AF82" s="28"/>
      <c r="AG82" s="28"/>
      <c r="AH82" s="28"/>
      <c r="AI82" s="20" t="s">
        <v>1329</v>
      </c>
      <c r="AJ82" s="28"/>
      <c r="AK82" s="28"/>
      <c r="AL82" s="28"/>
      <c r="AM82" s="28"/>
      <c r="AN82" s="35" t="s">
        <v>531</v>
      </c>
      <c r="AO82" s="28"/>
      <c r="AP82" s="28"/>
      <c r="AQ82" s="44"/>
      <c r="AR82" s="20" t="s">
        <v>1304</v>
      </c>
      <c r="AS82" s="40" t="s">
        <v>978</v>
      </c>
      <c r="AT82" s="40" t="s">
        <v>1304</v>
      </c>
      <c r="AU82" s="47"/>
      <c r="AV82" s="28"/>
      <c r="AW82" s="66"/>
      <c r="AX82" s="36"/>
    </row>
    <row r="83" spans="1:50" ht="64.5" customHeight="1">
      <c r="A83" s="7"/>
      <c r="B83" s="8">
        <v>80</v>
      </c>
      <c r="C83" s="20" t="s">
        <v>156</v>
      </c>
      <c r="D83" s="20" t="s">
        <v>156</v>
      </c>
      <c r="E83" s="8" t="s">
        <v>74</v>
      </c>
      <c r="F83" s="8" t="s">
        <v>75</v>
      </c>
      <c r="G83" s="19" t="s">
        <v>73</v>
      </c>
      <c r="H83" s="29" t="s">
        <v>76</v>
      </c>
      <c r="I83" s="28"/>
      <c r="J83" s="24">
        <v>30045090</v>
      </c>
      <c r="K83" s="11">
        <v>0.05</v>
      </c>
      <c r="L83" s="21">
        <v>2340</v>
      </c>
      <c r="M83" s="22">
        <f t="shared" si="3"/>
        <v>2059.1999999999998</v>
      </c>
      <c r="N83" s="23">
        <f t="shared" si="4"/>
        <v>280.80000000000018</v>
      </c>
      <c r="O83" s="26">
        <f t="shared" si="5"/>
        <v>0.12000000000000008</v>
      </c>
      <c r="P83" s="28"/>
      <c r="Q83" s="28" t="s">
        <v>869</v>
      </c>
      <c r="R83" s="28" t="s">
        <v>889</v>
      </c>
      <c r="S83" s="28"/>
      <c r="T83" s="30">
        <v>1</v>
      </c>
      <c r="U83" s="20" t="s">
        <v>597</v>
      </c>
      <c r="V83" s="28"/>
      <c r="W83" s="28" t="s">
        <v>929</v>
      </c>
      <c r="X83" s="43"/>
      <c r="Y83" s="40" t="s">
        <v>979</v>
      </c>
      <c r="Z83" s="40" t="s">
        <v>979</v>
      </c>
      <c r="AA83" s="28"/>
      <c r="AB83" s="28"/>
      <c r="AC83" s="28"/>
      <c r="AD83" s="28"/>
      <c r="AE83" s="28"/>
      <c r="AF83" s="28"/>
      <c r="AG83" s="28"/>
      <c r="AH83" s="28"/>
      <c r="AI83" s="20" t="s">
        <v>1322</v>
      </c>
      <c r="AJ83" s="28"/>
      <c r="AK83" s="28"/>
      <c r="AL83" s="28"/>
      <c r="AM83" s="28"/>
      <c r="AN83" s="35" t="s">
        <v>532</v>
      </c>
      <c r="AO83" s="28"/>
      <c r="AP83" s="28"/>
      <c r="AQ83" s="44"/>
      <c r="AR83" s="20" t="s">
        <v>1304</v>
      </c>
      <c r="AS83" s="40" t="s">
        <v>979</v>
      </c>
      <c r="AT83" s="40" t="s">
        <v>1304</v>
      </c>
      <c r="AU83" s="47"/>
      <c r="AV83" s="28"/>
      <c r="AW83" s="66"/>
      <c r="AX83" s="36"/>
    </row>
    <row r="84" spans="1:50" ht="45.75" customHeight="1">
      <c r="A84" s="7"/>
      <c r="B84" s="8">
        <v>81</v>
      </c>
      <c r="C84" s="20" t="s">
        <v>157</v>
      </c>
      <c r="D84" s="20" t="s">
        <v>157</v>
      </c>
      <c r="E84" s="8" t="s">
        <v>74</v>
      </c>
      <c r="F84" s="8" t="s">
        <v>75</v>
      </c>
      <c r="G84" s="19" t="s">
        <v>73</v>
      </c>
      <c r="H84" s="29" t="s">
        <v>76</v>
      </c>
      <c r="I84" s="28"/>
      <c r="J84" s="24">
        <v>30049099</v>
      </c>
      <c r="K84" s="11">
        <v>0.05</v>
      </c>
      <c r="L84" s="21">
        <v>3700</v>
      </c>
      <c r="M84" s="22">
        <f t="shared" si="3"/>
        <v>3256</v>
      </c>
      <c r="N84" s="23">
        <f t="shared" si="4"/>
        <v>444</v>
      </c>
      <c r="O84" s="26">
        <f t="shared" si="5"/>
        <v>0.12</v>
      </c>
      <c r="P84" s="28"/>
      <c r="Q84" s="28" t="s">
        <v>869</v>
      </c>
      <c r="R84" s="28" t="s">
        <v>889</v>
      </c>
      <c r="S84" s="28"/>
      <c r="T84" s="30">
        <v>1</v>
      </c>
      <c r="U84" s="20" t="s">
        <v>612</v>
      </c>
      <c r="V84" s="28"/>
      <c r="W84" s="28" t="s">
        <v>929</v>
      </c>
      <c r="X84" s="43"/>
      <c r="Y84" s="40" t="s">
        <v>980</v>
      </c>
      <c r="Z84" s="40" t="s">
        <v>980</v>
      </c>
      <c r="AA84" s="28"/>
      <c r="AB84" s="28"/>
      <c r="AC84" s="28"/>
      <c r="AD84" s="28"/>
      <c r="AE84" s="28"/>
      <c r="AF84" s="28"/>
      <c r="AG84" s="28"/>
      <c r="AH84" s="28"/>
      <c r="AI84" s="20" t="s">
        <v>1322</v>
      </c>
      <c r="AJ84" s="28"/>
      <c r="AK84" s="28"/>
      <c r="AL84" s="28"/>
      <c r="AM84" s="28"/>
      <c r="AN84" s="35" t="s">
        <v>533</v>
      </c>
      <c r="AO84" s="28"/>
      <c r="AP84" s="28"/>
      <c r="AQ84" s="44"/>
      <c r="AR84" s="20" t="s">
        <v>1306</v>
      </c>
      <c r="AS84" s="40" t="s">
        <v>980</v>
      </c>
      <c r="AT84" s="40" t="s">
        <v>1306</v>
      </c>
      <c r="AU84" s="47"/>
      <c r="AV84" s="28"/>
      <c r="AW84" s="66"/>
      <c r="AX84" s="36"/>
    </row>
    <row r="85" spans="1:50" ht="31.5" customHeight="1">
      <c r="A85" s="7"/>
      <c r="B85" s="8">
        <v>82</v>
      </c>
      <c r="C85" s="20" t="s">
        <v>158</v>
      </c>
      <c r="D85" s="20" t="s">
        <v>158</v>
      </c>
      <c r="E85" s="8" t="s">
        <v>74</v>
      </c>
      <c r="F85" s="8" t="s">
        <v>75</v>
      </c>
      <c r="G85" s="19" t="s">
        <v>73</v>
      </c>
      <c r="H85" s="29" t="s">
        <v>76</v>
      </c>
      <c r="I85" s="28"/>
      <c r="J85" s="24">
        <v>30045090</v>
      </c>
      <c r="K85" s="11">
        <v>0.05</v>
      </c>
      <c r="L85" s="21">
        <v>1312.5</v>
      </c>
      <c r="M85" s="22">
        <f t="shared" si="3"/>
        <v>1155</v>
      </c>
      <c r="N85" s="23">
        <f t="shared" si="4"/>
        <v>157.5</v>
      </c>
      <c r="O85" s="26">
        <f t="shared" si="5"/>
        <v>0.12</v>
      </c>
      <c r="P85" s="28"/>
      <c r="Q85" s="28" t="s">
        <v>869</v>
      </c>
      <c r="R85" s="28" t="s">
        <v>889</v>
      </c>
      <c r="S85" s="28"/>
      <c r="T85" s="30">
        <v>1</v>
      </c>
      <c r="U85" s="20" t="s">
        <v>589</v>
      </c>
      <c r="V85" s="28"/>
      <c r="W85" s="28" t="s">
        <v>929</v>
      </c>
      <c r="X85" s="43"/>
      <c r="Y85" s="40" t="s">
        <v>981</v>
      </c>
      <c r="Z85" s="40" t="s">
        <v>981</v>
      </c>
      <c r="AA85" s="28"/>
      <c r="AB85" s="28"/>
      <c r="AC85" s="28"/>
      <c r="AD85" t="s">
        <v>1331</v>
      </c>
      <c r="AE85" s="28"/>
      <c r="AF85" s="28"/>
      <c r="AG85" s="28"/>
      <c r="AH85" s="28"/>
      <c r="AI85" s="20" t="s">
        <v>1322</v>
      </c>
      <c r="AJ85" s="28"/>
      <c r="AK85" s="28"/>
      <c r="AL85" s="28"/>
      <c r="AM85" s="28"/>
      <c r="AN85" s="35" t="s">
        <v>534</v>
      </c>
      <c r="AO85" s="28"/>
      <c r="AP85" s="28"/>
      <c r="AQ85" s="44"/>
      <c r="AR85" s="20" t="s">
        <v>1306</v>
      </c>
      <c r="AS85" s="40" t="s">
        <v>981</v>
      </c>
      <c r="AT85" s="40" t="s">
        <v>1306</v>
      </c>
      <c r="AU85" s="47"/>
      <c r="AV85" s="28"/>
      <c r="AW85" s="66"/>
      <c r="AX85" s="36"/>
    </row>
    <row r="86" spans="1:50" ht="43.5" customHeight="1">
      <c r="A86" s="7"/>
      <c r="B86" s="8">
        <v>83</v>
      </c>
      <c r="C86" s="20" t="s">
        <v>159</v>
      </c>
      <c r="D86" s="20" t="s">
        <v>159</v>
      </c>
      <c r="E86" s="8" t="s">
        <v>74</v>
      </c>
      <c r="F86" s="8" t="s">
        <v>75</v>
      </c>
      <c r="G86" s="19" t="s">
        <v>73</v>
      </c>
      <c r="H86" s="29" t="s">
        <v>76</v>
      </c>
      <c r="I86" s="28"/>
      <c r="J86" s="24">
        <v>30045010</v>
      </c>
      <c r="K86" s="11">
        <v>0.05</v>
      </c>
      <c r="L86" s="21">
        <v>3656.25</v>
      </c>
      <c r="M86" s="22">
        <f t="shared" si="3"/>
        <v>3217.5</v>
      </c>
      <c r="N86" s="23">
        <f t="shared" si="4"/>
        <v>438.75</v>
      </c>
      <c r="O86" s="26">
        <f t="shared" si="5"/>
        <v>0.12</v>
      </c>
      <c r="P86" s="28"/>
      <c r="Q86" s="28" t="s">
        <v>859</v>
      </c>
      <c r="R86" s="28" t="s">
        <v>889</v>
      </c>
      <c r="S86" s="28"/>
      <c r="T86" s="30">
        <v>1</v>
      </c>
      <c r="U86" s="20" t="s">
        <v>604</v>
      </c>
      <c r="V86" s="28"/>
      <c r="W86" s="28" t="s">
        <v>929</v>
      </c>
      <c r="X86" s="43"/>
      <c r="Y86" s="40" t="s">
        <v>982</v>
      </c>
      <c r="Z86" s="40" t="s">
        <v>982</v>
      </c>
      <c r="AA86" s="28"/>
      <c r="AB86" s="28"/>
      <c r="AC86" s="28"/>
      <c r="AD86" s="28"/>
      <c r="AE86" s="28"/>
      <c r="AF86" s="28"/>
      <c r="AG86" s="28"/>
      <c r="AH86" s="28"/>
      <c r="AI86" s="20" t="s">
        <v>1329</v>
      </c>
      <c r="AJ86" s="28"/>
      <c r="AK86" s="28"/>
      <c r="AL86" s="28"/>
      <c r="AM86" s="28"/>
      <c r="AN86" s="35" t="s">
        <v>535</v>
      </c>
      <c r="AO86" s="28"/>
      <c r="AP86" s="28"/>
      <c r="AQ86" s="44"/>
      <c r="AR86" s="20" t="s">
        <v>1306</v>
      </c>
      <c r="AS86" s="40" t="s">
        <v>982</v>
      </c>
      <c r="AT86" s="40" t="s">
        <v>1306</v>
      </c>
      <c r="AU86" s="47"/>
      <c r="AV86" s="28"/>
      <c r="AW86" s="66"/>
      <c r="AX86" s="36"/>
    </row>
    <row r="87" spans="1:50" ht="51.75" customHeight="1">
      <c r="A87" s="7"/>
      <c r="B87" s="8">
        <v>84</v>
      </c>
      <c r="C87" s="20" t="s">
        <v>160</v>
      </c>
      <c r="D87" s="20" t="s">
        <v>160</v>
      </c>
      <c r="E87" s="8" t="s">
        <v>74</v>
      </c>
      <c r="F87" s="8" t="s">
        <v>75</v>
      </c>
      <c r="G87" s="19" t="s">
        <v>73</v>
      </c>
      <c r="H87" s="29" t="s">
        <v>76</v>
      </c>
      <c r="I87" s="28"/>
      <c r="J87" s="24">
        <v>30049099</v>
      </c>
      <c r="K87" s="11">
        <v>0.05</v>
      </c>
      <c r="L87" s="21">
        <v>3187.5</v>
      </c>
      <c r="M87" s="22">
        <f t="shared" si="3"/>
        <v>2805</v>
      </c>
      <c r="N87" s="23">
        <f t="shared" si="4"/>
        <v>382.5</v>
      </c>
      <c r="O87" s="26">
        <f t="shared" si="5"/>
        <v>0.12</v>
      </c>
      <c r="P87" s="28"/>
      <c r="Q87" s="28" t="s">
        <v>859</v>
      </c>
      <c r="R87" s="28" t="s">
        <v>889</v>
      </c>
      <c r="S87" s="28"/>
      <c r="T87" s="30">
        <v>1</v>
      </c>
      <c r="U87" s="20" t="s">
        <v>597</v>
      </c>
      <c r="V87" s="28"/>
      <c r="W87" s="28" t="s">
        <v>929</v>
      </c>
      <c r="X87" s="43"/>
      <c r="Y87" s="40" t="s">
        <v>983</v>
      </c>
      <c r="Z87" s="40" t="s">
        <v>983</v>
      </c>
      <c r="AA87" s="28"/>
      <c r="AB87" s="28"/>
      <c r="AC87" s="28"/>
      <c r="AD87" s="28"/>
      <c r="AE87" s="28"/>
      <c r="AF87" s="28"/>
      <c r="AG87" s="28"/>
      <c r="AH87" s="28"/>
      <c r="AI87" s="20" t="s">
        <v>1330</v>
      </c>
      <c r="AJ87" s="28"/>
      <c r="AK87" s="28"/>
      <c r="AL87" s="28"/>
      <c r="AM87" s="28"/>
      <c r="AN87" s="35" t="s">
        <v>536</v>
      </c>
      <c r="AO87" s="28"/>
      <c r="AP87" s="28"/>
      <c r="AQ87" s="44"/>
      <c r="AR87" s="20" t="s">
        <v>1306</v>
      </c>
      <c r="AS87" s="40" t="s">
        <v>983</v>
      </c>
      <c r="AT87" s="40" t="s">
        <v>1306</v>
      </c>
      <c r="AU87" s="47"/>
      <c r="AV87" s="28"/>
      <c r="AW87" s="66"/>
      <c r="AX87" s="36"/>
    </row>
    <row r="88" spans="1:50" ht="61.5" customHeight="1">
      <c r="A88" s="7"/>
      <c r="B88" s="8">
        <v>85</v>
      </c>
      <c r="C88" s="20" t="s">
        <v>161</v>
      </c>
      <c r="D88" s="20" t="s">
        <v>161</v>
      </c>
      <c r="E88" s="8" t="s">
        <v>74</v>
      </c>
      <c r="F88" s="8" t="s">
        <v>75</v>
      </c>
      <c r="G88" s="19" t="s">
        <v>73</v>
      </c>
      <c r="H88" s="29" t="s">
        <v>76</v>
      </c>
      <c r="I88" s="28"/>
      <c r="J88" s="24">
        <v>21069099</v>
      </c>
      <c r="K88" s="11">
        <v>0.05</v>
      </c>
      <c r="L88" s="21">
        <v>3204</v>
      </c>
      <c r="M88" s="22">
        <f t="shared" si="3"/>
        <v>2819.52</v>
      </c>
      <c r="N88" s="23">
        <f t="shared" si="4"/>
        <v>384.48</v>
      </c>
      <c r="O88" s="26">
        <f t="shared" si="5"/>
        <v>0.12000000000000001</v>
      </c>
      <c r="P88" s="28"/>
      <c r="Q88" s="28" t="s">
        <v>859</v>
      </c>
      <c r="R88" s="28" t="s">
        <v>889</v>
      </c>
      <c r="S88" s="28"/>
      <c r="T88" s="30">
        <v>1</v>
      </c>
      <c r="U88" s="20" t="s">
        <v>597</v>
      </c>
      <c r="V88" s="28"/>
      <c r="W88" s="28" t="s">
        <v>929</v>
      </c>
      <c r="X88" s="43"/>
      <c r="Y88" s="40" t="s">
        <v>984</v>
      </c>
      <c r="Z88" s="40" t="s">
        <v>984</v>
      </c>
      <c r="AA88" s="28"/>
      <c r="AB88" s="28"/>
      <c r="AC88" s="28"/>
      <c r="AD88" s="28"/>
      <c r="AE88" s="28"/>
      <c r="AF88" s="28"/>
      <c r="AG88" s="28"/>
      <c r="AH88" s="28"/>
      <c r="AI88" s="20" t="s">
        <v>1329</v>
      </c>
      <c r="AJ88" s="28"/>
      <c r="AK88" s="28"/>
      <c r="AL88" s="28"/>
      <c r="AM88" s="28"/>
      <c r="AN88" s="35" t="s">
        <v>537</v>
      </c>
      <c r="AO88" s="28"/>
      <c r="AP88" s="28"/>
      <c r="AQ88" s="44"/>
      <c r="AR88" s="20" t="s">
        <v>1310</v>
      </c>
      <c r="AS88" s="40" t="s">
        <v>984</v>
      </c>
      <c r="AT88" s="40" t="s">
        <v>1310</v>
      </c>
      <c r="AU88" s="47"/>
      <c r="AV88" s="28"/>
      <c r="AW88" s="66"/>
      <c r="AX88" s="36"/>
    </row>
    <row r="89" spans="1:50" ht="30.75" customHeight="1">
      <c r="A89" s="7"/>
      <c r="B89" s="8">
        <v>86</v>
      </c>
      <c r="C89" s="20" t="s">
        <v>162</v>
      </c>
      <c r="D89" s="20" t="s">
        <v>162</v>
      </c>
      <c r="E89" s="8" t="s">
        <v>74</v>
      </c>
      <c r="F89" s="8" t="s">
        <v>75</v>
      </c>
      <c r="G89" s="19" t="s">
        <v>73</v>
      </c>
      <c r="H89" s="29" t="s">
        <v>76</v>
      </c>
      <c r="I89" s="28"/>
      <c r="J89" s="24">
        <v>30049099</v>
      </c>
      <c r="K89" s="11">
        <v>0.05</v>
      </c>
      <c r="L89" s="21">
        <v>1668.75</v>
      </c>
      <c r="M89" s="22">
        <f t="shared" si="3"/>
        <v>1468.5</v>
      </c>
      <c r="N89" s="23">
        <f t="shared" si="4"/>
        <v>200.25</v>
      </c>
      <c r="O89" s="26">
        <f t="shared" si="5"/>
        <v>0.12</v>
      </c>
      <c r="P89" s="28"/>
      <c r="Q89" s="28" t="s">
        <v>859</v>
      </c>
      <c r="R89" s="28" t="s">
        <v>889</v>
      </c>
      <c r="S89" s="28"/>
      <c r="T89" s="30">
        <v>1</v>
      </c>
      <c r="U89" s="20" t="s">
        <v>589</v>
      </c>
      <c r="V89" s="28"/>
      <c r="W89" s="28" t="s">
        <v>929</v>
      </c>
      <c r="X89" s="43"/>
      <c r="Y89" s="20" t="s">
        <v>985</v>
      </c>
      <c r="Z89" s="20" t="s">
        <v>985</v>
      </c>
      <c r="AA89" s="28"/>
      <c r="AB89" s="28"/>
      <c r="AC89" s="28"/>
      <c r="AD89" s="20" t="s">
        <v>1331</v>
      </c>
      <c r="AE89" s="28"/>
      <c r="AF89" s="28"/>
      <c r="AG89" s="28"/>
      <c r="AH89" s="28"/>
      <c r="AI89" s="20" t="s">
        <v>1327</v>
      </c>
      <c r="AJ89" s="28"/>
      <c r="AK89" s="28"/>
      <c r="AL89" s="28"/>
      <c r="AM89" s="28"/>
      <c r="AN89" s="35" t="s">
        <v>538</v>
      </c>
      <c r="AO89" s="28"/>
      <c r="AP89" s="28"/>
      <c r="AQ89" s="44"/>
      <c r="AR89" s="20" t="s">
        <v>1311</v>
      </c>
      <c r="AS89" s="20" t="s">
        <v>985</v>
      </c>
      <c r="AT89" s="40" t="s">
        <v>1311</v>
      </c>
      <c r="AU89" s="47"/>
      <c r="AV89" s="28"/>
      <c r="AW89" s="66"/>
      <c r="AX89" s="36"/>
    </row>
    <row r="90" spans="1:50" ht="15.75" customHeight="1">
      <c r="A90" s="7"/>
      <c r="B90" s="8">
        <v>87</v>
      </c>
      <c r="C90" s="20" t="s">
        <v>163</v>
      </c>
      <c r="D90" s="20" t="s">
        <v>163</v>
      </c>
      <c r="E90" s="8" t="s">
        <v>74</v>
      </c>
      <c r="F90" s="8" t="s">
        <v>75</v>
      </c>
      <c r="G90" s="19" t="s">
        <v>73</v>
      </c>
      <c r="H90" s="29" t="s">
        <v>76</v>
      </c>
      <c r="I90" s="28"/>
      <c r="J90" s="24">
        <v>30049039</v>
      </c>
      <c r="K90" s="11">
        <v>0.05</v>
      </c>
      <c r="L90" s="21">
        <v>1950</v>
      </c>
      <c r="M90" s="22">
        <f t="shared" si="3"/>
        <v>1716</v>
      </c>
      <c r="N90" s="23">
        <f t="shared" si="4"/>
        <v>234</v>
      </c>
      <c r="O90" s="26">
        <f t="shared" si="5"/>
        <v>0.12</v>
      </c>
      <c r="P90" s="28"/>
      <c r="Q90" s="28" t="s">
        <v>859</v>
      </c>
      <c r="R90" s="28" t="s">
        <v>889</v>
      </c>
      <c r="S90" s="28"/>
      <c r="T90" s="30">
        <v>1</v>
      </c>
      <c r="U90" s="20" t="s">
        <v>589</v>
      </c>
      <c r="V90" s="28"/>
      <c r="W90" s="28" t="s">
        <v>929</v>
      </c>
      <c r="X90" s="43"/>
      <c r="Y90" s="20" t="s">
        <v>986</v>
      </c>
      <c r="Z90" s="20" t="s">
        <v>986</v>
      </c>
      <c r="AA90" s="28"/>
      <c r="AB90" s="28"/>
      <c r="AC90" s="28"/>
      <c r="AD90" s="20" t="s">
        <v>1331</v>
      </c>
      <c r="AE90" s="28"/>
      <c r="AF90" s="28"/>
      <c r="AG90" s="28"/>
      <c r="AH90" s="28"/>
      <c r="AI90" s="20" t="s">
        <v>1324</v>
      </c>
      <c r="AJ90" s="28"/>
      <c r="AK90" s="28"/>
      <c r="AL90" s="28"/>
      <c r="AM90" s="28"/>
      <c r="AN90" s="37"/>
      <c r="AO90" s="28"/>
      <c r="AP90" s="28"/>
      <c r="AQ90" s="44"/>
      <c r="AR90" s="20" t="s">
        <v>1311</v>
      </c>
      <c r="AS90" s="20" t="s">
        <v>986</v>
      </c>
      <c r="AT90" s="40" t="s">
        <v>1311</v>
      </c>
      <c r="AU90" s="47"/>
      <c r="AV90" s="28"/>
      <c r="AW90" s="66"/>
      <c r="AX90" s="36"/>
    </row>
    <row r="91" spans="1:50" ht="30.75" customHeight="1">
      <c r="A91" s="7"/>
      <c r="B91" s="8">
        <v>88</v>
      </c>
      <c r="C91" s="20" t="s">
        <v>164</v>
      </c>
      <c r="D91" s="20" t="s">
        <v>164</v>
      </c>
      <c r="E91" s="8" t="s">
        <v>74</v>
      </c>
      <c r="F91" s="8" t="s">
        <v>75</v>
      </c>
      <c r="G91" s="19" t="s">
        <v>73</v>
      </c>
      <c r="H91" s="29" t="s">
        <v>76</v>
      </c>
      <c r="I91" s="28"/>
      <c r="J91" s="24">
        <v>30049099</v>
      </c>
      <c r="K91" s="11">
        <v>0.05</v>
      </c>
      <c r="L91" s="21">
        <v>131.35</v>
      </c>
      <c r="M91" s="22">
        <f t="shared" si="3"/>
        <v>115.58799999999999</v>
      </c>
      <c r="N91" s="23">
        <f t="shared" si="4"/>
        <v>15.762</v>
      </c>
      <c r="O91" s="26">
        <f t="shared" si="5"/>
        <v>0.12000000000000001</v>
      </c>
      <c r="P91" s="28"/>
      <c r="Q91" s="28" t="s">
        <v>866</v>
      </c>
      <c r="R91" s="28" t="s">
        <v>890</v>
      </c>
      <c r="S91" s="28"/>
      <c r="T91" s="30">
        <v>1</v>
      </c>
      <c r="U91" s="20" t="s">
        <v>613</v>
      </c>
      <c r="V91" s="28"/>
      <c r="W91" s="28" t="s">
        <v>934</v>
      </c>
      <c r="X91" s="43"/>
      <c r="Y91" s="40" t="s">
        <v>987</v>
      </c>
      <c r="Z91" s="40" t="s">
        <v>987</v>
      </c>
      <c r="AA91" s="28"/>
      <c r="AB91" s="28"/>
      <c r="AC91" s="28"/>
      <c r="AD91" s="28"/>
      <c r="AE91" s="28"/>
      <c r="AF91" s="28"/>
      <c r="AG91" s="28"/>
      <c r="AH91" s="28"/>
      <c r="AI91" s="20" t="s">
        <v>1328</v>
      </c>
      <c r="AJ91" s="28"/>
      <c r="AK91" s="28"/>
      <c r="AL91" s="28"/>
      <c r="AM91" s="28"/>
      <c r="AN91" s="35" t="s">
        <v>539</v>
      </c>
      <c r="AO91" s="28"/>
      <c r="AP91" s="28"/>
      <c r="AQ91" s="44"/>
      <c r="AR91" s="20" t="s">
        <v>1309</v>
      </c>
      <c r="AS91" s="40" t="s">
        <v>987</v>
      </c>
      <c r="AT91" s="40" t="s">
        <v>1309</v>
      </c>
      <c r="AU91" s="47"/>
      <c r="AV91" s="28"/>
      <c r="AW91" s="66"/>
      <c r="AX91" s="36"/>
    </row>
    <row r="92" spans="1:50" ht="33" customHeight="1">
      <c r="A92" s="7"/>
      <c r="B92" s="8">
        <v>89</v>
      </c>
      <c r="C92" s="20" t="s">
        <v>165</v>
      </c>
      <c r="D92" s="20" t="s">
        <v>165</v>
      </c>
      <c r="E92" s="8" t="s">
        <v>74</v>
      </c>
      <c r="F92" s="8" t="s">
        <v>75</v>
      </c>
      <c r="G92" s="19" t="s">
        <v>73</v>
      </c>
      <c r="H92" s="29" t="s">
        <v>76</v>
      </c>
      <c r="I92" s="28"/>
      <c r="J92" s="24">
        <v>30041090</v>
      </c>
      <c r="K92" s="11">
        <v>0.05</v>
      </c>
      <c r="L92" s="21">
        <v>103</v>
      </c>
      <c r="M92" s="22">
        <f t="shared" si="3"/>
        <v>90.64</v>
      </c>
      <c r="N92" s="23">
        <f t="shared" si="4"/>
        <v>12.36</v>
      </c>
      <c r="O92" s="26">
        <f t="shared" si="5"/>
        <v>0.12</v>
      </c>
      <c r="P92" s="28"/>
      <c r="Q92" s="28" t="s">
        <v>871</v>
      </c>
      <c r="R92" s="28" t="s">
        <v>890</v>
      </c>
      <c r="S92" s="28"/>
      <c r="T92" s="30">
        <v>1</v>
      </c>
      <c r="U92" s="20" t="s">
        <v>614</v>
      </c>
      <c r="V92" s="28"/>
      <c r="W92" s="28" t="s">
        <v>928</v>
      </c>
      <c r="X92" s="43"/>
      <c r="Y92" s="40" t="s">
        <v>988</v>
      </c>
      <c r="Z92" s="40" t="s">
        <v>988</v>
      </c>
      <c r="AA92" s="28"/>
      <c r="AB92" s="28"/>
      <c r="AC92" s="28"/>
      <c r="AD92" s="28"/>
      <c r="AE92" s="28"/>
      <c r="AF92" s="28"/>
      <c r="AG92" s="28"/>
      <c r="AH92" s="28"/>
      <c r="AI92" s="20" t="s">
        <v>1322</v>
      </c>
      <c r="AJ92" s="28"/>
      <c r="AK92" s="28"/>
      <c r="AL92" s="28"/>
      <c r="AM92" s="28"/>
      <c r="AN92" s="35" t="s">
        <v>540</v>
      </c>
      <c r="AO92" s="28"/>
      <c r="AP92" s="28"/>
      <c r="AQ92" s="44"/>
      <c r="AR92" s="20" t="s">
        <v>1308</v>
      </c>
      <c r="AS92" s="40" t="s">
        <v>988</v>
      </c>
      <c r="AT92" s="40" t="s">
        <v>1308</v>
      </c>
      <c r="AU92" s="47"/>
      <c r="AV92" s="28"/>
      <c r="AW92" s="66"/>
      <c r="AX92" s="36"/>
    </row>
    <row r="93" spans="1:50" ht="29.25" customHeight="1">
      <c r="A93" s="7"/>
      <c r="B93" s="8">
        <v>90</v>
      </c>
      <c r="C93" s="20" t="s">
        <v>166</v>
      </c>
      <c r="D93" s="20" t="s">
        <v>166</v>
      </c>
      <c r="E93" s="8" t="s">
        <v>74</v>
      </c>
      <c r="F93" s="8" t="s">
        <v>75</v>
      </c>
      <c r="G93" s="19" t="s">
        <v>73</v>
      </c>
      <c r="H93" s="29" t="s">
        <v>76</v>
      </c>
      <c r="I93" s="28"/>
      <c r="J93" s="24">
        <v>30049069</v>
      </c>
      <c r="K93" s="11">
        <v>0.05</v>
      </c>
      <c r="L93" s="21">
        <v>16.88</v>
      </c>
      <c r="M93" s="22">
        <f t="shared" si="3"/>
        <v>14.8544</v>
      </c>
      <c r="N93" s="23">
        <f t="shared" si="4"/>
        <v>2.025599999999999</v>
      </c>
      <c r="O93" s="26">
        <f t="shared" si="5"/>
        <v>0.11999999999999994</v>
      </c>
      <c r="P93" s="28"/>
      <c r="Q93" s="28" t="s">
        <v>864</v>
      </c>
      <c r="R93" s="28" t="s">
        <v>891</v>
      </c>
      <c r="S93" s="28"/>
      <c r="T93" s="30">
        <v>1</v>
      </c>
      <c r="U93" s="20" t="s">
        <v>615</v>
      </c>
      <c r="V93" s="28"/>
      <c r="W93" s="28" t="s">
        <v>936</v>
      </c>
      <c r="X93" s="43"/>
      <c r="Y93" s="20" t="s">
        <v>989</v>
      </c>
      <c r="Z93" s="20" t="s">
        <v>989</v>
      </c>
      <c r="AA93" s="28"/>
      <c r="AB93" s="28"/>
      <c r="AC93" s="28"/>
      <c r="AD93" s="28"/>
      <c r="AE93" s="28"/>
      <c r="AF93" s="28"/>
      <c r="AG93" s="28"/>
      <c r="AH93" s="28"/>
      <c r="AI93" s="20" t="s">
        <v>1326</v>
      </c>
      <c r="AJ93" s="28"/>
      <c r="AK93" s="28"/>
      <c r="AL93" s="28"/>
      <c r="AM93" s="28"/>
      <c r="AN93" s="35" t="s">
        <v>541</v>
      </c>
      <c r="AO93" s="28"/>
      <c r="AP93" s="28"/>
      <c r="AQ93" s="44"/>
      <c r="AR93" s="20" t="s">
        <v>1308</v>
      </c>
      <c r="AS93" s="20" t="s">
        <v>989</v>
      </c>
      <c r="AT93" s="40" t="s">
        <v>1308</v>
      </c>
      <c r="AU93" s="47"/>
      <c r="AV93" s="28"/>
      <c r="AW93" s="66"/>
      <c r="AX93" s="36"/>
    </row>
    <row r="94" spans="1:50" ht="30" customHeight="1">
      <c r="A94" s="7"/>
      <c r="B94" s="8">
        <v>91</v>
      </c>
      <c r="C94" s="20" t="s">
        <v>167</v>
      </c>
      <c r="D94" s="20" t="s">
        <v>167</v>
      </c>
      <c r="E94" s="8" t="s">
        <v>74</v>
      </c>
      <c r="F94" s="8" t="s">
        <v>75</v>
      </c>
      <c r="G94" s="19" t="s">
        <v>73</v>
      </c>
      <c r="H94" s="29" t="s">
        <v>76</v>
      </c>
      <c r="I94" s="28"/>
      <c r="J94" s="24">
        <v>30049069</v>
      </c>
      <c r="K94" s="11">
        <v>0.05</v>
      </c>
      <c r="L94" s="21">
        <v>910</v>
      </c>
      <c r="M94" s="22">
        <f t="shared" si="3"/>
        <v>800.8</v>
      </c>
      <c r="N94" s="23">
        <f t="shared" si="4"/>
        <v>109.20000000000005</v>
      </c>
      <c r="O94" s="26">
        <f t="shared" si="5"/>
        <v>0.12000000000000005</v>
      </c>
      <c r="P94" s="28"/>
      <c r="Q94" s="28" t="s">
        <v>859</v>
      </c>
      <c r="R94" s="28" t="s">
        <v>889</v>
      </c>
      <c r="S94" s="28"/>
      <c r="T94" s="30">
        <v>1</v>
      </c>
      <c r="U94" s="20" t="s">
        <v>589</v>
      </c>
      <c r="V94" s="28"/>
      <c r="W94" s="28" t="s">
        <v>929</v>
      </c>
      <c r="X94" s="43"/>
      <c r="Y94" s="40" t="s">
        <v>990</v>
      </c>
      <c r="Z94" s="40" t="s">
        <v>990</v>
      </c>
      <c r="AA94" s="28"/>
      <c r="AB94" s="28"/>
      <c r="AC94" s="28"/>
      <c r="AD94" t="s">
        <v>1331</v>
      </c>
      <c r="AE94" s="28"/>
      <c r="AF94" s="28"/>
      <c r="AG94" s="28"/>
      <c r="AH94" s="28"/>
      <c r="AI94" s="20" t="s">
        <v>1326</v>
      </c>
      <c r="AJ94" s="28"/>
      <c r="AK94" s="28"/>
      <c r="AL94" s="28"/>
      <c r="AM94" s="28"/>
      <c r="AN94" s="35" t="s">
        <v>542</v>
      </c>
      <c r="AO94" s="28"/>
      <c r="AP94" s="28"/>
      <c r="AQ94" s="44"/>
      <c r="AR94" s="20" t="s">
        <v>1308</v>
      </c>
      <c r="AS94" s="40" t="s">
        <v>990</v>
      </c>
      <c r="AT94" s="40" t="s">
        <v>1308</v>
      </c>
      <c r="AU94" s="47"/>
      <c r="AV94" s="28"/>
      <c r="AW94" s="66"/>
      <c r="AX94" s="36"/>
    </row>
    <row r="95" spans="1:50" ht="47.25" customHeight="1">
      <c r="A95" s="7"/>
      <c r="B95" s="8">
        <v>92</v>
      </c>
      <c r="C95" s="20" t="s">
        <v>168</v>
      </c>
      <c r="D95" s="20" t="s">
        <v>168</v>
      </c>
      <c r="E95" s="8" t="s">
        <v>74</v>
      </c>
      <c r="F95" s="8" t="s">
        <v>75</v>
      </c>
      <c r="G95" s="19" t="s">
        <v>73</v>
      </c>
      <c r="H95" s="29" t="s">
        <v>76</v>
      </c>
      <c r="I95" s="28"/>
      <c r="J95" s="24">
        <v>30049034</v>
      </c>
      <c r="K95" s="11">
        <v>0.05</v>
      </c>
      <c r="L95" s="21">
        <v>157.5</v>
      </c>
      <c r="M95" s="22">
        <f t="shared" si="3"/>
        <v>138.6</v>
      </c>
      <c r="N95" s="23">
        <f t="shared" si="4"/>
        <v>18.900000000000006</v>
      </c>
      <c r="O95" s="26">
        <f t="shared" si="5"/>
        <v>0.12000000000000004</v>
      </c>
      <c r="P95" s="28"/>
      <c r="Q95" s="28" t="s">
        <v>872</v>
      </c>
      <c r="R95" s="28" t="s">
        <v>890</v>
      </c>
      <c r="S95" s="28"/>
      <c r="T95" s="30">
        <v>1</v>
      </c>
      <c r="U95" s="20" t="s">
        <v>616</v>
      </c>
      <c r="V95" s="28"/>
      <c r="W95" s="28" t="s">
        <v>934</v>
      </c>
      <c r="X95" s="43"/>
      <c r="Y95" s="40" t="s">
        <v>991</v>
      </c>
      <c r="Z95" s="40" t="s">
        <v>991</v>
      </c>
      <c r="AA95" s="28"/>
      <c r="AB95" s="28"/>
      <c r="AC95" s="28"/>
      <c r="AD95" s="28"/>
      <c r="AE95" s="28"/>
      <c r="AF95" s="28"/>
      <c r="AG95" s="28"/>
      <c r="AH95" s="28"/>
      <c r="AI95" s="20" t="s">
        <v>1322</v>
      </c>
      <c r="AJ95" s="28"/>
      <c r="AK95" s="28"/>
      <c r="AL95" s="28"/>
      <c r="AM95" s="28"/>
      <c r="AN95" s="35" t="s">
        <v>543</v>
      </c>
      <c r="AO95" s="28"/>
      <c r="AP95" s="28"/>
      <c r="AQ95" s="44"/>
      <c r="AR95" s="20" t="s">
        <v>1308</v>
      </c>
      <c r="AS95" s="40" t="s">
        <v>991</v>
      </c>
      <c r="AT95" s="40" t="s">
        <v>1308</v>
      </c>
      <c r="AU95" s="47"/>
      <c r="AV95" s="28"/>
      <c r="AW95" s="66"/>
      <c r="AX95" s="36"/>
    </row>
    <row r="96" spans="1:50" ht="37.5" customHeight="1">
      <c r="A96" s="7"/>
      <c r="B96" s="8">
        <v>93</v>
      </c>
      <c r="C96" s="20" t="s">
        <v>169</v>
      </c>
      <c r="D96" s="20" t="s">
        <v>169</v>
      </c>
      <c r="E96" s="8" t="s">
        <v>74</v>
      </c>
      <c r="F96" s="8" t="s">
        <v>75</v>
      </c>
      <c r="G96" s="19" t="s">
        <v>73</v>
      </c>
      <c r="H96" s="29" t="s">
        <v>76</v>
      </c>
      <c r="I96" s="28"/>
      <c r="J96" s="24">
        <v>30049099</v>
      </c>
      <c r="K96" s="11">
        <v>0.05</v>
      </c>
      <c r="L96" s="21">
        <v>731.25</v>
      </c>
      <c r="M96" s="22">
        <f t="shared" si="3"/>
        <v>643.5</v>
      </c>
      <c r="N96" s="23">
        <f t="shared" si="4"/>
        <v>87.75</v>
      </c>
      <c r="O96" s="26">
        <f t="shared" si="5"/>
        <v>0.12</v>
      </c>
      <c r="P96" s="28"/>
      <c r="Q96" s="28" t="s">
        <v>859</v>
      </c>
      <c r="R96" s="28" t="s">
        <v>889</v>
      </c>
      <c r="S96" s="28"/>
      <c r="T96" s="30">
        <v>1</v>
      </c>
      <c r="U96" s="20" t="s">
        <v>617</v>
      </c>
      <c r="V96" s="28"/>
      <c r="W96" s="28" t="s">
        <v>929</v>
      </c>
      <c r="X96" s="43"/>
      <c r="Y96" s="40" t="s">
        <v>991</v>
      </c>
      <c r="Z96" s="40" t="s">
        <v>991</v>
      </c>
      <c r="AA96" s="28"/>
      <c r="AB96" s="28"/>
      <c r="AC96" s="28"/>
      <c r="AD96" s="28"/>
      <c r="AE96" s="28"/>
      <c r="AF96" s="28"/>
      <c r="AG96" s="28"/>
      <c r="AH96" s="28"/>
      <c r="AI96" s="20" t="s">
        <v>1322</v>
      </c>
      <c r="AJ96" s="28"/>
      <c r="AK96" s="28"/>
      <c r="AL96" s="28"/>
      <c r="AM96" s="28"/>
      <c r="AN96" s="35" t="s">
        <v>544</v>
      </c>
      <c r="AO96" s="28"/>
      <c r="AP96" s="28"/>
      <c r="AQ96" s="44"/>
      <c r="AR96" s="20" t="s">
        <v>1308</v>
      </c>
      <c r="AS96" s="40" t="s">
        <v>991</v>
      </c>
      <c r="AT96" s="40" t="s">
        <v>1308</v>
      </c>
      <c r="AU96" s="47"/>
      <c r="AV96" s="28"/>
      <c r="AW96" s="66"/>
      <c r="AX96" s="36"/>
    </row>
    <row r="97" spans="1:50" ht="31.5" customHeight="1">
      <c r="A97" s="7"/>
      <c r="B97" s="8">
        <v>94</v>
      </c>
      <c r="C97" s="20" t="s">
        <v>170</v>
      </c>
      <c r="D97" s="20" t="s">
        <v>170</v>
      </c>
      <c r="E97" s="8" t="s">
        <v>74</v>
      </c>
      <c r="F97" s="8" t="s">
        <v>75</v>
      </c>
      <c r="G97" s="19" t="s">
        <v>73</v>
      </c>
      <c r="H97" s="29" t="s">
        <v>76</v>
      </c>
      <c r="I97" s="28"/>
      <c r="J97" s="24">
        <v>30049069</v>
      </c>
      <c r="K97" s="11">
        <v>0.05</v>
      </c>
      <c r="L97" s="21">
        <v>820</v>
      </c>
      <c r="M97" s="22">
        <f t="shared" si="3"/>
        <v>721.6</v>
      </c>
      <c r="N97" s="23">
        <f t="shared" si="4"/>
        <v>98.399999999999977</v>
      </c>
      <c r="O97" s="26">
        <f t="shared" si="5"/>
        <v>0.11999999999999997</v>
      </c>
      <c r="P97" s="28"/>
      <c r="Q97" s="28" t="s">
        <v>859</v>
      </c>
      <c r="R97" s="28" t="s">
        <v>889</v>
      </c>
      <c r="S97" s="28"/>
      <c r="T97" s="30">
        <v>1</v>
      </c>
      <c r="U97" s="20" t="s">
        <v>589</v>
      </c>
      <c r="V97" s="28"/>
      <c r="W97" s="28" t="s">
        <v>929</v>
      </c>
      <c r="X97" s="43"/>
      <c r="Y97" s="40" t="s">
        <v>992</v>
      </c>
      <c r="Z97" s="40" t="s">
        <v>992</v>
      </c>
      <c r="AA97" s="28"/>
      <c r="AB97" s="28"/>
      <c r="AC97" s="28"/>
      <c r="AD97" t="s">
        <v>1331</v>
      </c>
      <c r="AE97" s="28"/>
      <c r="AF97" s="28"/>
      <c r="AG97" s="28"/>
      <c r="AH97" s="28"/>
      <c r="AI97" s="20" t="s">
        <v>1326</v>
      </c>
      <c r="AJ97" s="28"/>
      <c r="AK97" s="28"/>
      <c r="AL97" s="28"/>
      <c r="AM97" s="28"/>
      <c r="AN97" s="35" t="s">
        <v>545</v>
      </c>
      <c r="AO97" s="28"/>
      <c r="AP97" s="28"/>
      <c r="AQ97" s="44"/>
      <c r="AR97" s="20" t="s">
        <v>1308</v>
      </c>
      <c r="AS97" s="40" t="s">
        <v>992</v>
      </c>
      <c r="AT97" s="40" t="s">
        <v>1308</v>
      </c>
      <c r="AU97" s="47"/>
      <c r="AV97" s="28"/>
      <c r="AW97" s="66"/>
      <c r="AX97" s="36"/>
    </row>
    <row r="98" spans="1:50" ht="36" customHeight="1">
      <c r="A98" s="7"/>
      <c r="B98" s="8">
        <v>95</v>
      </c>
      <c r="C98" s="20" t="s">
        <v>171</v>
      </c>
      <c r="D98" s="20" t="s">
        <v>171</v>
      </c>
      <c r="E98" s="8" t="s">
        <v>74</v>
      </c>
      <c r="F98" s="8" t="s">
        <v>75</v>
      </c>
      <c r="G98" s="19" t="s">
        <v>73</v>
      </c>
      <c r="H98" s="29" t="s">
        <v>76</v>
      </c>
      <c r="I98" s="28"/>
      <c r="J98" s="24">
        <v>30042039</v>
      </c>
      <c r="K98" s="11">
        <v>0.05</v>
      </c>
      <c r="L98" s="21">
        <v>178</v>
      </c>
      <c r="M98" s="22">
        <f t="shared" si="3"/>
        <v>156.64000000000001</v>
      </c>
      <c r="N98" s="23">
        <f t="shared" si="4"/>
        <v>21.359999999999985</v>
      </c>
      <c r="O98" s="26">
        <f t="shared" si="5"/>
        <v>0.11999999999999991</v>
      </c>
      <c r="P98" s="28"/>
      <c r="Q98" s="28" t="s">
        <v>873</v>
      </c>
      <c r="R98" s="28" t="s">
        <v>889</v>
      </c>
      <c r="S98" s="28"/>
      <c r="T98" s="30">
        <v>1</v>
      </c>
      <c r="U98" s="20" t="s">
        <v>618</v>
      </c>
      <c r="V98" s="28"/>
      <c r="W98" s="20" t="s">
        <v>937</v>
      </c>
      <c r="X98" s="43"/>
      <c r="Y98" s="20" t="s">
        <v>993</v>
      </c>
      <c r="Z98" s="20" t="s">
        <v>993</v>
      </c>
      <c r="AA98" s="28"/>
      <c r="AB98" s="28"/>
      <c r="AC98" s="28"/>
      <c r="AD98" s="28"/>
      <c r="AE98" s="28"/>
      <c r="AF98" s="28"/>
      <c r="AG98" s="28"/>
      <c r="AH98" s="28"/>
      <c r="AI98" s="20" t="s">
        <v>1325</v>
      </c>
      <c r="AJ98" s="28"/>
      <c r="AK98" s="28"/>
      <c r="AL98" s="28"/>
      <c r="AM98" s="28"/>
      <c r="AN98" s="35" t="s">
        <v>546</v>
      </c>
      <c r="AO98" s="28"/>
      <c r="AP98" s="28"/>
      <c r="AQ98" s="44"/>
      <c r="AR98" s="20" t="s">
        <v>1312</v>
      </c>
      <c r="AS98" s="20" t="s">
        <v>993</v>
      </c>
      <c r="AT98" s="40" t="s">
        <v>1312</v>
      </c>
      <c r="AU98" s="47"/>
      <c r="AV98" s="28"/>
      <c r="AW98" s="66"/>
      <c r="AX98" s="36"/>
    </row>
    <row r="99" spans="1:50" ht="29.25" customHeight="1">
      <c r="A99" s="7"/>
      <c r="B99" s="8">
        <v>96</v>
      </c>
      <c r="C99" s="20" t="s">
        <v>172</v>
      </c>
      <c r="D99" s="20" t="s">
        <v>172</v>
      </c>
      <c r="E99" s="8" t="s">
        <v>74</v>
      </c>
      <c r="F99" s="8" t="s">
        <v>75</v>
      </c>
      <c r="G99" s="19" t="s">
        <v>73</v>
      </c>
      <c r="H99" s="29" t="s">
        <v>76</v>
      </c>
      <c r="I99" s="28"/>
      <c r="J99" s="24">
        <v>30042019</v>
      </c>
      <c r="K99" s="11">
        <v>0.05</v>
      </c>
      <c r="L99" s="21">
        <v>1453.13</v>
      </c>
      <c r="M99" s="22">
        <f t="shared" si="3"/>
        <v>1278.7544</v>
      </c>
      <c r="N99" s="23">
        <f t="shared" si="4"/>
        <v>174.37560000000008</v>
      </c>
      <c r="O99" s="26">
        <f t="shared" si="5"/>
        <v>0.12000000000000004</v>
      </c>
      <c r="P99" s="28"/>
      <c r="Q99" s="28" t="s">
        <v>859</v>
      </c>
      <c r="R99" s="28" t="s">
        <v>889</v>
      </c>
      <c r="S99" s="28"/>
      <c r="T99" s="30">
        <v>1</v>
      </c>
      <c r="U99" s="20" t="s">
        <v>589</v>
      </c>
      <c r="V99" s="28"/>
      <c r="W99" s="28" t="s">
        <v>929</v>
      </c>
      <c r="X99" s="43"/>
      <c r="Y99" s="20" t="s">
        <v>994</v>
      </c>
      <c r="Z99" s="20" t="s">
        <v>994</v>
      </c>
      <c r="AA99" s="28"/>
      <c r="AB99" s="28"/>
      <c r="AC99" s="28"/>
      <c r="AD99" t="s">
        <v>1331</v>
      </c>
      <c r="AE99" s="28"/>
      <c r="AF99" s="28"/>
      <c r="AG99" s="28"/>
      <c r="AH99" s="28"/>
      <c r="AI99" s="20" t="s">
        <v>1325</v>
      </c>
      <c r="AJ99" s="28"/>
      <c r="AK99" s="28"/>
      <c r="AL99" s="28"/>
      <c r="AM99" s="28"/>
      <c r="AN99" s="35" t="s">
        <v>547</v>
      </c>
      <c r="AO99" s="28"/>
      <c r="AP99" s="28"/>
      <c r="AQ99" s="44"/>
      <c r="AR99" s="20" t="s">
        <v>1312</v>
      </c>
      <c r="AS99" s="20" t="s">
        <v>994</v>
      </c>
      <c r="AT99" s="40" t="s">
        <v>1312</v>
      </c>
      <c r="AU99" s="47"/>
      <c r="AV99" s="28"/>
      <c r="AW99" s="66"/>
      <c r="AX99" s="36"/>
    </row>
    <row r="100" spans="1:50" ht="36.75" customHeight="1">
      <c r="A100" s="7"/>
      <c r="B100" s="8">
        <v>97</v>
      </c>
      <c r="C100" s="20" t="s">
        <v>173</v>
      </c>
      <c r="D100" s="20" t="s">
        <v>173</v>
      </c>
      <c r="E100" s="8" t="s">
        <v>74</v>
      </c>
      <c r="F100" s="8" t="s">
        <v>75</v>
      </c>
      <c r="G100" s="19" t="s">
        <v>73</v>
      </c>
      <c r="H100" s="29" t="s">
        <v>76</v>
      </c>
      <c r="I100" s="28"/>
      <c r="J100" s="24">
        <v>30042019</v>
      </c>
      <c r="K100" s="11">
        <v>0.05</v>
      </c>
      <c r="L100" s="21">
        <v>2450</v>
      </c>
      <c r="M100" s="22">
        <f t="shared" si="3"/>
        <v>2156</v>
      </c>
      <c r="N100" s="23">
        <f t="shared" si="4"/>
        <v>294</v>
      </c>
      <c r="O100" s="26">
        <f t="shared" si="5"/>
        <v>0.12</v>
      </c>
      <c r="P100" s="28"/>
      <c r="Q100" s="28" t="s">
        <v>859</v>
      </c>
      <c r="R100" s="28" t="s">
        <v>889</v>
      </c>
      <c r="S100" s="28"/>
      <c r="T100" s="30">
        <v>1</v>
      </c>
      <c r="U100" s="20" t="s">
        <v>589</v>
      </c>
      <c r="V100" s="28"/>
      <c r="W100" s="28" t="s">
        <v>929</v>
      </c>
      <c r="X100" s="43"/>
      <c r="Y100" s="20" t="s">
        <v>995</v>
      </c>
      <c r="Z100" s="20" t="s">
        <v>995</v>
      </c>
      <c r="AA100" s="28"/>
      <c r="AB100" s="28"/>
      <c r="AC100" s="28"/>
      <c r="AD100" t="s">
        <v>1331</v>
      </c>
      <c r="AE100" s="28"/>
      <c r="AF100" s="28"/>
      <c r="AG100" s="28"/>
      <c r="AH100" s="28"/>
      <c r="AI100" s="20" t="s">
        <v>1325</v>
      </c>
      <c r="AJ100" s="28"/>
      <c r="AK100" s="28"/>
      <c r="AL100" s="28"/>
      <c r="AM100" s="28"/>
      <c r="AN100" s="35" t="s">
        <v>548</v>
      </c>
      <c r="AO100" s="28"/>
      <c r="AP100" s="28"/>
      <c r="AQ100" s="44"/>
      <c r="AR100" s="20" t="s">
        <v>1312</v>
      </c>
      <c r="AS100" s="20" t="s">
        <v>995</v>
      </c>
      <c r="AT100" s="40" t="s">
        <v>1312</v>
      </c>
      <c r="AU100" s="47"/>
      <c r="AV100" s="28"/>
      <c r="AW100" s="66"/>
      <c r="AX100" s="36"/>
    </row>
    <row r="101" spans="1:50" ht="29.25" customHeight="1">
      <c r="A101" s="7"/>
      <c r="B101" s="8">
        <v>98</v>
      </c>
      <c r="C101" s="20" t="s">
        <v>174</v>
      </c>
      <c r="D101" s="20" t="s">
        <v>174</v>
      </c>
      <c r="E101" s="8" t="s">
        <v>74</v>
      </c>
      <c r="F101" s="8" t="s">
        <v>75</v>
      </c>
      <c r="G101" s="19" t="s">
        <v>73</v>
      </c>
      <c r="H101" s="29" t="s">
        <v>76</v>
      </c>
      <c r="I101" s="28"/>
      <c r="J101" s="24">
        <v>30042039</v>
      </c>
      <c r="K101" s="11">
        <v>0.05</v>
      </c>
      <c r="L101" s="21">
        <v>107.8</v>
      </c>
      <c r="M101" s="22">
        <f t="shared" si="3"/>
        <v>94.864000000000004</v>
      </c>
      <c r="N101" s="23">
        <f t="shared" si="4"/>
        <v>12.935999999999993</v>
      </c>
      <c r="O101" s="26">
        <f t="shared" si="5"/>
        <v>0.11999999999999994</v>
      </c>
      <c r="P101" s="28"/>
      <c r="Q101" s="28" t="s">
        <v>873</v>
      </c>
      <c r="R101" s="28" t="s">
        <v>889</v>
      </c>
      <c r="S101" s="28"/>
      <c r="T101" s="30">
        <v>1</v>
      </c>
      <c r="U101" s="20" t="s">
        <v>618</v>
      </c>
      <c r="V101" s="28"/>
      <c r="W101" s="20" t="s">
        <v>937</v>
      </c>
      <c r="X101" s="43"/>
      <c r="Y101" s="20" t="s">
        <v>996</v>
      </c>
      <c r="Z101" s="20" t="s">
        <v>996</v>
      </c>
      <c r="AA101" s="28"/>
      <c r="AB101" s="28"/>
      <c r="AC101" s="28"/>
      <c r="AD101" s="28"/>
      <c r="AE101" s="28"/>
      <c r="AF101" s="28"/>
      <c r="AG101" s="28"/>
      <c r="AH101" s="28"/>
      <c r="AI101" s="20" t="s">
        <v>1325</v>
      </c>
      <c r="AJ101" s="28"/>
      <c r="AK101" s="28"/>
      <c r="AL101" s="28"/>
      <c r="AM101" s="28"/>
      <c r="AN101" s="35" t="s">
        <v>549</v>
      </c>
      <c r="AO101" s="28"/>
      <c r="AP101" s="28"/>
      <c r="AQ101" s="44"/>
      <c r="AR101" s="20" t="s">
        <v>1312</v>
      </c>
      <c r="AS101" s="20" t="s">
        <v>996</v>
      </c>
      <c r="AT101" s="40" t="s">
        <v>1312</v>
      </c>
      <c r="AU101" s="47"/>
      <c r="AV101" s="28"/>
      <c r="AW101" s="66"/>
      <c r="AX101" s="36"/>
    </row>
    <row r="102" spans="1:50" ht="31.5" customHeight="1">
      <c r="A102" s="7"/>
      <c r="B102" s="8">
        <v>99</v>
      </c>
      <c r="C102" s="20" t="s">
        <v>175</v>
      </c>
      <c r="D102" s="20" t="s">
        <v>175</v>
      </c>
      <c r="E102" s="8" t="s">
        <v>74</v>
      </c>
      <c r="F102" s="8" t="s">
        <v>75</v>
      </c>
      <c r="G102" s="19" t="s">
        <v>73</v>
      </c>
      <c r="H102" s="29" t="s">
        <v>76</v>
      </c>
      <c r="I102" s="28"/>
      <c r="J102" s="24">
        <v>30042019</v>
      </c>
      <c r="K102" s="11">
        <v>0.05</v>
      </c>
      <c r="L102" s="21">
        <v>195.94</v>
      </c>
      <c r="M102" s="22">
        <f t="shared" si="3"/>
        <v>172.4272</v>
      </c>
      <c r="N102" s="23">
        <f t="shared" si="4"/>
        <v>23.512799999999999</v>
      </c>
      <c r="O102" s="26">
        <f t="shared" si="5"/>
        <v>0.12</v>
      </c>
      <c r="P102" s="28"/>
      <c r="Q102" s="28" t="s">
        <v>873</v>
      </c>
      <c r="R102" s="28" t="s">
        <v>889</v>
      </c>
      <c r="S102" s="28"/>
      <c r="T102" s="30">
        <v>1</v>
      </c>
      <c r="U102" s="20" t="s">
        <v>619</v>
      </c>
      <c r="V102" s="28"/>
      <c r="W102" s="20" t="s">
        <v>937</v>
      </c>
      <c r="X102" s="43"/>
      <c r="Y102" s="20" t="s">
        <v>993</v>
      </c>
      <c r="Z102" s="20" t="s">
        <v>993</v>
      </c>
      <c r="AA102" s="28"/>
      <c r="AB102" s="28"/>
      <c r="AC102" s="28"/>
      <c r="AD102" s="28"/>
      <c r="AE102" s="28"/>
      <c r="AF102" s="28"/>
      <c r="AG102" s="28"/>
      <c r="AH102" s="28"/>
      <c r="AI102" s="20" t="s">
        <v>1325</v>
      </c>
      <c r="AJ102" s="28"/>
      <c r="AK102" s="28"/>
      <c r="AL102" s="28"/>
      <c r="AM102" s="28"/>
      <c r="AN102" s="35" t="s">
        <v>546</v>
      </c>
      <c r="AO102" s="28"/>
      <c r="AP102" s="28"/>
      <c r="AQ102" s="44"/>
      <c r="AR102" s="20" t="s">
        <v>1312</v>
      </c>
      <c r="AS102" s="20" t="s">
        <v>993</v>
      </c>
      <c r="AT102" s="40" t="s">
        <v>1312</v>
      </c>
      <c r="AU102" s="47"/>
      <c r="AV102" s="28"/>
      <c r="AW102" s="66"/>
      <c r="AX102" s="36"/>
    </row>
    <row r="103" spans="1:50" ht="31.5" customHeight="1">
      <c r="A103" s="7"/>
      <c r="B103" s="8">
        <v>100</v>
      </c>
      <c r="C103" s="20" t="s">
        <v>176</v>
      </c>
      <c r="D103" s="20" t="s">
        <v>176</v>
      </c>
      <c r="E103" s="8" t="s">
        <v>74</v>
      </c>
      <c r="F103" s="8" t="s">
        <v>75</v>
      </c>
      <c r="G103" s="19" t="s">
        <v>73</v>
      </c>
      <c r="H103" s="29" t="s">
        <v>76</v>
      </c>
      <c r="I103" s="28"/>
      <c r="J103" s="24">
        <v>30042019</v>
      </c>
      <c r="K103" s="11">
        <v>0.05</v>
      </c>
      <c r="L103" s="21">
        <v>120.94</v>
      </c>
      <c r="M103" s="22">
        <f t="shared" si="3"/>
        <v>106.4272</v>
      </c>
      <c r="N103" s="23">
        <f t="shared" si="4"/>
        <v>14.512799999999999</v>
      </c>
      <c r="O103" s="26">
        <f t="shared" si="5"/>
        <v>0.12</v>
      </c>
      <c r="P103" s="28"/>
      <c r="Q103" s="28" t="s">
        <v>873</v>
      </c>
      <c r="R103" s="28" t="s">
        <v>889</v>
      </c>
      <c r="S103" s="28"/>
      <c r="T103" s="30">
        <v>1</v>
      </c>
      <c r="U103" s="20" t="s">
        <v>620</v>
      </c>
      <c r="V103" s="28"/>
      <c r="W103" s="20" t="s">
        <v>937</v>
      </c>
      <c r="X103" s="43"/>
      <c r="Y103" s="20" t="s">
        <v>996</v>
      </c>
      <c r="Z103" s="20" t="s">
        <v>996</v>
      </c>
      <c r="AA103" s="28"/>
      <c r="AB103" s="28"/>
      <c r="AC103" s="28"/>
      <c r="AD103" s="28"/>
      <c r="AE103" s="28"/>
      <c r="AF103" s="28"/>
      <c r="AG103" s="28"/>
      <c r="AH103" s="28"/>
      <c r="AI103" s="20" t="s">
        <v>1325</v>
      </c>
      <c r="AJ103" s="28"/>
      <c r="AK103" s="28"/>
      <c r="AL103" s="28"/>
      <c r="AM103" s="28"/>
      <c r="AN103" s="35" t="s">
        <v>550</v>
      </c>
      <c r="AO103" s="28"/>
      <c r="AP103" s="28"/>
      <c r="AQ103" s="44"/>
      <c r="AR103" s="20" t="s">
        <v>1312</v>
      </c>
      <c r="AS103" s="20" t="s">
        <v>996</v>
      </c>
      <c r="AT103" s="40" t="s">
        <v>1312</v>
      </c>
      <c r="AU103" s="47"/>
      <c r="AV103" s="28"/>
      <c r="AW103" s="66"/>
      <c r="AX103" s="36"/>
    </row>
    <row r="104" spans="1:50" ht="31.5" customHeight="1">
      <c r="A104" s="7"/>
      <c r="B104" s="8">
        <v>101</v>
      </c>
      <c r="C104" s="20" t="s">
        <v>177</v>
      </c>
      <c r="D104" s="20" t="s">
        <v>177</v>
      </c>
      <c r="E104" s="8" t="s">
        <v>74</v>
      </c>
      <c r="F104" s="8" t="s">
        <v>75</v>
      </c>
      <c r="G104" s="19" t="s">
        <v>73</v>
      </c>
      <c r="H104" s="29" t="s">
        <v>76</v>
      </c>
      <c r="I104" s="28"/>
      <c r="J104" s="24">
        <v>30042019</v>
      </c>
      <c r="K104" s="11">
        <v>0.05</v>
      </c>
      <c r="L104" s="21">
        <v>1968</v>
      </c>
      <c r="M104" s="22">
        <f t="shared" si="3"/>
        <v>1731.84</v>
      </c>
      <c r="N104" s="23">
        <f t="shared" si="4"/>
        <v>236.16000000000008</v>
      </c>
      <c r="O104" s="26">
        <f t="shared" si="5"/>
        <v>0.12000000000000004</v>
      </c>
      <c r="P104" s="28"/>
      <c r="Q104" s="28" t="s">
        <v>859</v>
      </c>
      <c r="R104" s="28" t="s">
        <v>889</v>
      </c>
      <c r="S104" s="28"/>
      <c r="T104" s="30">
        <v>1</v>
      </c>
      <c r="U104" s="20" t="s">
        <v>621</v>
      </c>
      <c r="V104" s="28"/>
      <c r="W104" s="28" t="s">
        <v>929</v>
      </c>
      <c r="X104" s="43"/>
      <c r="Y104" s="20" t="s">
        <v>997</v>
      </c>
      <c r="Z104" s="20" t="s">
        <v>997</v>
      </c>
      <c r="AA104" s="28"/>
      <c r="AB104" s="28"/>
      <c r="AC104" s="28"/>
      <c r="AD104" s="28"/>
      <c r="AE104" s="28"/>
      <c r="AF104" s="28"/>
      <c r="AG104" s="28"/>
      <c r="AH104" s="28"/>
      <c r="AI104" s="20" t="s">
        <v>1325</v>
      </c>
      <c r="AJ104" s="28"/>
      <c r="AK104" s="28"/>
      <c r="AL104" s="28"/>
      <c r="AM104" s="28"/>
      <c r="AN104" s="35" t="s">
        <v>551</v>
      </c>
      <c r="AO104" s="28"/>
      <c r="AP104" s="28"/>
      <c r="AQ104" s="44"/>
      <c r="AR104" s="20" t="s">
        <v>1312</v>
      </c>
      <c r="AS104" s="20" t="s">
        <v>997</v>
      </c>
      <c r="AT104" s="40" t="s">
        <v>1312</v>
      </c>
      <c r="AU104" s="47"/>
      <c r="AV104" s="28"/>
      <c r="AW104" s="66"/>
      <c r="AX104" s="36"/>
    </row>
    <row r="105" spans="1:50" ht="33" customHeight="1">
      <c r="A105" s="7"/>
      <c r="B105" s="8">
        <v>102</v>
      </c>
      <c r="C105" s="20" t="s">
        <v>178</v>
      </c>
      <c r="D105" s="20" t="s">
        <v>178</v>
      </c>
      <c r="E105" s="8" t="s">
        <v>74</v>
      </c>
      <c r="F105" s="8" t="s">
        <v>75</v>
      </c>
      <c r="G105" s="19" t="s">
        <v>73</v>
      </c>
      <c r="H105" s="29" t="s">
        <v>76</v>
      </c>
      <c r="I105" s="28"/>
      <c r="J105" s="24">
        <v>30042019</v>
      </c>
      <c r="K105" s="11">
        <v>0.05</v>
      </c>
      <c r="L105" s="21">
        <v>169.69</v>
      </c>
      <c r="M105" s="22">
        <f t="shared" si="3"/>
        <v>149.3272</v>
      </c>
      <c r="N105" s="23">
        <f t="shared" si="4"/>
        <v>20.362799999999993</v>
      </c>
      <c r="O105" s="26">
        <f t="shared" si="5"/>
        <v>0.11999999999999995</v>
      </c>
      <c r="P105" s="28"/>
      <c r="Q105" s="28" t="s">
        <v>873</v>
      </c>
      <c r="R105" s="28" t="s">
        <v>889</v>
      </c>
      <c r="S105" s="28"/>
      <c r="T105" s="30">
        <v>1</v>
      </c>
      <c r="U105" s="20" t="s">
        <v>622</v>
      </c>
      <c r="V105" s="28"/>
      <c r="W105" s="20" t="s">
        <v>937</v>
      </c>
      <c r="X105" s="43"/>
      <c r="Y105" s="20" t="s">
        <v>998</v>
      </c>
      <c r="Z105" s="20" t="s">
        <v>998</v>
      </c>
      <c r="AA105" s="28"/>
      <c r="AB105" s="28"/>
      <c r="AC105" s="28"/>
      <c r="AD105" s="28"/>
      <c r="AE105" s="28"/>
      <c r="AF105" s="28"/>
      <c r="AG105" s="28"/>
      <c r="AH105" s="28"/>
      <c r="AI105" s="20" t="s">
        <v>1327</v>
      </c>
      <c r="AJ105" s="28"/>
      <c r="AK105" s="28"/>
      <c r="AL105" s="28"/>
      <c r="AM105" s="28"/>
      <c r="AN105" s="35" t="s">
        <v>552</v>
      </c>
      <c r="AO105" s="28"/>
      <c r="AP105" s="28"/>
      <c r="AQ105" s="44"/>
      <c r="AR105" s="20" t="s">
        <v>1312</v>
      </c>
      <c r="AS105" s="20" t="s">
        <v>998</v>
      </c>
      <c r="AT105" s="40" t="s">
        <v>1312</v>
      </c>
      <c r="AU105" s="47"/>
      <c r="AV105" s="28"/>
      <c r="AW105" s="66"/>
      <c r="AX105" s="36"/>
    </row>
    <row r="106" spans="1:50" ht="33.75" customHeight="1">
      <c r="A106" s="7"/>
      <c r="B106" s="8">
        <v>103</v>
      </c>
      <c r="C106" s="20" t="s">
        <v>179</v>
      </c>
      <c r="D106" s="20" t="s">
        <v>179</v>
      </c>
      <c r="E106" s="8" t="s">
        <v>74</v>
      </c>
      <c r="F106" s="8" t="s">
        <v>75</v>
      </c>
      <c r="G106" s="19" t="s">
        <v>73</v>
      </c>
      <c r="H106" s="29" t="s">
        <v>76</v>
      </c>
      <c r="I106" s="28"/>
      <c r="J106" s="24">
        <v>30049099</v>
      </c>
      <c r="K106" s="11">
        <v>0.05</v>
      </c>
      <c r="L106" s="21">
        <v>900</v>
      </c>
      <c r="M106" s="22">
        <f t="shared" si="3"/>
        <v>792</v>
      </c>
      <c r="N106" s="23">
        <f t="shared" si="4"/>
        <v>108</v>
      </c>
      <c r="O106" s="26">
        <f t="shared" si="5"/>
        <v>0.12</v>
      </c>
      <c r="P106" s="28"/>
      <c r="Q106" s="28" t="s">
        <v>859</v>
      </c>
      <c r="R106" s="28" t="s">
        <v>889</v>
      </c>
      <c r="S106" s="28"/>
      <c r="T106" s="30">
        <v>1</v>
      </c>
      <c r="U106" s="20" t="s">
        <v>623</v>
      </c>
      <c r="V106" s="28"/>
      <c r="W106" s="28" t="s">
        <v>929</v>
      </c>
      <c r="X106" s="43"/>
      <c r="Y106" s="20" t="s">
        <v>999</v>
      </c>
      <c r="Z106" s="20" t="s">
        <v>999</v>
      </c>
      <c r="AA106" s="28"/>
      <c r="AB106" s="28"/>
      <c r="AC106" s="28"/>
      <c r="AD106" s="28"/>
      <c r="AE106" s="28"/>
      <c r="AF106" s="28"/>
      <c r="AG106" s="28"/>
      <c r="AH106" s="28"/>
      <c r="AI106" s="20" t="s">
        <v>1327</v>
      </c>
      <c r="AJ106" s="28"/>
      <c r="AK106" s="28"/>
      <c r="AL106" s="28"/>
      <c r="AM106" s="28"/>
      <c r="AN106" s="35" t="s">
        <v>553</v>
      </c>
      <c r="AO106" s="28"/>
      <c r="AP106" s="28"/>
      <c r="AQ106" s="44"/>
      <c r="AR106" s="20" t="s">
        <v>1312</v>
      </c>
      <c r="AS106" s="20" t="s">
        <v>999</v>
      </c>
      <c r="AT106" s="40" t="s">
        <v>1312</v>
      </c>
      <c r="AU106" s="47"/>
      <c r="AV106" s="28"/>
      <c r="AW106" s="66"/>
      <c r="AX106" s="36"/>
    </row>
    <row r="107" spans="1:50" ht="43.5" customHeight="1">
      <c r="A107" s="7"/>
      <c r="B107" s="8">
        <v>104</v>
      </c>
      <c r="C107" s="20" t="s">
        <v>180</v>
      </c>
      <c r="D107" s="20" t="s">
        <v>180</v>
      </c>
      <c r="E107" s="8" t="s">
        <v>74</v>
      </c>
      <c r="F107" s="8" t="s">
        <v>75</v>
      </c>
      <c r="G107" s="19" t="s">
        <v>73</v>
      </c>
      <c r="H107" s="29" t="s">
        <v>76</v>
      </c>
      <c r="I107" s="28"/>
      <c r="J107" s="24">
        <v>30049039</v>
      </c>
      <c r="K107" s="11">
        <v>0.05</v>
      </c>
      <c r="L107" s="21">
        <v>1617.19</v>
      </c>
      <c r="M107" s="22">
        <f t="shared" si="3"/>
        <v>1423.1272000000001</v>
      </c>
      <c r="N107" s="23">
        <f t="shared" si="4"/>
        <v>194.06279999999992</v>
      </c>
      <c r="O107" s="26">
        <f t="shared" si="5"/>
        <v>0.11999999999999995</v>
      </c>
      <c r="P107" s="28"/>
      <c r="Q107" s="28" t="s">
        <v>859</v>
      </c>
      <c r="R107" s="28" t="s">
        <v>889</v>
      </c>
      <c r="S107" s="28"/>
      <c r="T107" s="30">
        <v>1</v>
      </c>
      <c r="U107" s="20" t="s">
        <v>623</v>
      </c>
      <c r="V107" s="28"/>
      <c r="W107" s="28" t="s">
        <v>929</v>
      </c>
      <c r="X107" s="43"/>
      <c r="Y107" s="20" t="s">
        <v>1000</v>
      </c>
      <c r="Z107" s="20" t="s">
        <v>1000</v>
      </c>
      <c r="AA107" s="28"/>
      <c r="AB107" s="28"/>
      <c r="AC107" s="28"/>
      <c r="AD107" s="28"/>
      <c r="AE107" s="28"/>
      <c r="AF107" s="28"/>
      <c r="AG107" s="28"/>
      <c r="AH107" s="28"/>
      <c r="AI107" s="20" t="s">
        <v>1327</v>
      </c>
      <c r="AJ107" s="28"/>
      <c r="AK107" s="28"/>
      <c r="AL107" s="28"/>
      <c r="AM107" s="28"/>
      <c r="AN107" s="35" t="s">
        <v>554</v>
      </c>
      <c r="AO107" s="28"/>
      <c r="AP107" s="28"/>
      <c r="AQ107" s="44"/>
      <c r="AR107" s="20" t="s">
        <v>1312</v>
      </c>
      <c r="AS107" s="20" t="s">
        <v>1000</v>
      </c>
      <c r="AT107" s="40" t="s">
        <v>1312</v>
      </c>
      <c r="AU107" s="47"/>
      <c r="AV107" s="28"/>
      <c r="AW107" s="66"/>
      <c r="AX107" s="36"/>
    </row>
    <row r="108" spans="1:50" ht="33" customHeight="1">
      <c r="A108" s="7"/>
      <c r="B108" s="8">
        <v>105</v>
      </c>
      <c r="C108" s="20" t="s">
        <v>181</v>
      </c>
      <c r="D108" s="20" t="s">
        <v>181</v>
      </c>
      <c r="E108" s="8" t="s">
        <v>74</v>
      </c>
      <c r="F108" s="8" t="s">
        <v>75</v>
      </c>
      <c r="G108" s="19" t="s">
        <v>73</v>
      </c>
      <c r="H108" s="29" t="s">
        <v>76</v>
      </c>
      <c r="I108" s="28"/>
      <c r="J108" s="24">
        <v>30042019</v>
      </c>
      <c r="K108" s="11">
        <v>0.05</v>
      </c>
      <c r="L108" s="21">
        <v>5906.2</v>
      </c>
      <c r="M108" s="22">
        <f t="shared" si="3"/>
        <v>5197.4560000000001</v>
      </c>
      <c r="N108" s="23">
        <f t="shared" si="4"/>
        <v>708.74399999999969</v>
      </c>
      <c r="O108" s="26">
        <f t="shared" si="5"/>
        <v>0.11999999999999995</v>
      </c>
      <c r="P108" s="28"/>
      <c r="Q108" s="28" t="s">
        <v>859</v>
      </c>
      <c r="R108" s="28" t="s">
        <v>889</v>
      </c>
      <c r="S108" s="28"/>
      <c r="T108" s="30">
        <v>1</v>
      </c>
      <c r="U108" s="20" t="s">
        <v>597</v>
      </c>
      <c r="V108" s="28"/>
      <c r="W108" s="28" t="s">
        <v>929</v>
      </c>
      <c r="X108" s="43"/>
      <c r="Y108" s="20" t="s">
        <v>1001</v>
      </c>
      <c r="Z108" s="20" t="s">
        <v>1001</v>
      </c>
      <c r="AA108" s="28"/>
      <c r="AB108" s="28"/>
      <c r="AC108" s="28"/>
      <c r="AD108" s="28"/>
      <c r="AE108" s="28"/>
      <c r="AF108" s="28"/>
      <c r="AG108" s="28"/>
      <c r="AH108" s="28"/>
      <c r="AI108" s="20" t="s">
        <v>1327</v>
      </c>
      <c r="AJ108" s="28"/>
      <c r="AK108" s="28"/>
      <c r="AL108" s="28"/>
      <c r="AM108" s="28"/>
      <c r="AN108" s="35" t="s">
        <v>555</v>
      </c>
      <c r="AO108" s="28"/>
      <c r="AP108" s="28"/>
      <c r="AQ108" s="44"/>
      <c r="AR108" s="20" t="s">
        <v>1312</v>
      </c>
      <c r="AS108" s="20" t="s">
        <v>1001</v>
      </c>
      <c r="AT108" s="40" t="s">
        <v>1312</v>
      </c>
      <c r="AU108" s="47"/>
      <c r="AV108" s="28"/>
      <c r="AW108" s="66"/>
      <c r="AX108" s="36"/>
    </row>
    <row r="109" spans="1:50" ht="33.75" customHeight="1">
      <c r="A109" s="7"/>
      <c r="B109" s="8">
        <v>106</v>
      </c>
      <c r="C109" s="20" t="s">
        <v>182</v>
      </c>
      <c r="D109" s="20" t="s">
        <v>182</v>
      </c>
      <c r="E109" s="8" t="s">
        <v>74</v>
      </c>
      <c r="F109" s="8" t="s">
        <v>75</v>
      </c>
      <c r="G109" s="19" t="s">
        <v>73</v>
      </c>
      <c r="H109" s="29" t="s">
        <v>76</v>
      </c>
      <c r="I109" s="28"/>
      <c r="J109" s="24">
        <v>30049011</v>
      </c>
      <c r="K109" s="11">
        <v>0.05</v>
      </c>
      <c r="L109" s="21">
        <v>143</v>
      </c>
      <c r="M109" s="22">
        <f t="shared" si="3"/>
        <v>125.84</v>
      </c>
      <c r="N109" s="23">
        <f t="shared" si="4"/>
        <v>17.159999999999997</v>
      </c>
      <c r="O109" s="26">
        <f t="shared" si="5"/>
        <v>0.11999999999999998</v>
      </c>
      <c r="P109" s="28"/>
      <c r="Q109" s="28" t="s">
        <v>874</v>
      </c>
      <c r="R109" s="28" t="s">
        <v>890</v>
      </c>
      <c r="S109" s="28"/>
      <c r="T109" s="30">
        <v>1</v>
      </c>
      <c r="U109" s="20" t="s">
        <v>624</v>
      </c>
      <c r="V109" s="28"/>
      <c r="W109" s="28" t="s">
        <v>930</v>
      </c>
      <c r="X109" s="43"/>
      <c r="Y109" s="20" t="s">
        <v>1002</v>
      </c>
      <c r="Z109" s="20" t="s">
        <v>1002</v>
      </c>
      <c r="AA109" s="28"/>
      <c r="AB109" s="28"/>
      <c r="AC109" s="28"/>
      <c r="AD109" s="28"/>
      <c r="AE109" s="28"/>
      <c r="AF109" s="28"/>
      <c r="AG109" s="28"/>
      <c r="AH109" s="28"/>
      <c r="AI109" s="20" t="s">
        <v>1326</v>
      </c>
      <c r="AJ109" s="28"/>
      <c r="AK109" s="28"/>
      <c r="AL109" s="28"/>
      <c r="AM109" s="28"/>
      <c r="AN109" s="35" t="s">
        <v>556</v>
      </c>
      <c r="AO109" s="28"/>
      <c r="AP109" s="28"/>
      <c r="AQ109" s="44"/>
      <c r="AR109" s="20" t="s">
        <v>1309</v>
      </c>
      <c r="AS109" s="20" t="s">
        <v>1002</v>
      </c>
      <c r="AT109" s="40" t="s">
        <v>1309</v>
      </c>
      <c r="AU109" s="47"/>
      <c r="AV109" s="28"/>
      <c r="AW109" s="66"/>
      <c r="AX109" s="36"/>
    </row>
    <row r="110" spans="1:50" ht="36" customHeight="1">
      <c r="A110" s="7"/>
      <c r="B110" s="8">
        <v>107</v>
      </c>
      <c r="C110" s="20" t="s">
        <v>183</v>
      </c>
      <c r="D110" s="20" t="s">
        <v>183</v>
      </c>
      <c r="E110" s="8" t="s">
        <v>74</v>
      </c>
      <c r="F110" s="8" t="s">
        <v>75</v>
      </c>
      <c r="G110" s="19" t="s">
        <v>73</v>
      </c>
      <c r="H110" s="29" t="s">
        <v>76</v>
      </c>
      <c r="I110" s="28"/>
      <c r="J110" s="24">
        <v>30049029</v>
      </c>
      <c r="K110" s="11">
        <v>0.05</v>
      </c>
      <c r="L110" s="21">
        <v>1115.6300000000001</v>
      </c>
      <c r="M110" s="22">
        <f t="shared" si="3"/>
        <v>981.75440000000015</v>
      </c>
      <c r="N110" s="23">
        <f t="shared" si="4"/>
        <v>133.87559999999996</v>
      </c>
      <c r="O110" s="26">
        <f t="shared" si="5"/>
        <v>0.11999999999999995</v>
      </c>
      <c r="P110" s="28"/>
      <c r="Q110" s="28" t="s">
        <v>859</v>
      </c>
      <c r="R110" s="28" t="s">
        <v>889</v>
      </c>
      <c r="S110" s="28"/>
      <c r="T110" s="30">
        <v>1</v>
      </c>
      <c r="U110" s="20" t="s">
        <v>589</v>
      </c>
      <c r="V110" s="28"/>
      <c r="W110" s="28" t="s">
        <v>929</v>
      </c>
      <c r="X110" s="43"/>
      <c r="Y110" s="20" t="s">
        <v>1003</v>
      </c>
      <c r="Z110" s="20" t="s">
        <v>1003</v>
      </c>
      <c r="AA110" s="28"/>
      <c r="AB110" s="28"/>
      <c r="AC110" s="28"/>
      <c r="AD110" t="s">
        <v>1331</v>
      </c>
      <c r="AE110" s="28"/>
      <c r="AF110" s="28"/>
      <c r="AG110" s="28"/>
      <c r="AH110" s="28"/>
      <c r="AI110" s="20" t="s">
        <v>1326</v>
      </c>
      <c r="AJ110" s="28"/>
      <c r="AK110" s="28"/>
      <c r="AL110" s="28"/>
      <c r="AM110" s="28"/>
      <c r="AN110" s="35" t="s">
        <v>557</v>
      </c>
      <c r="AO110" s="28"/>
      <c r="AP110" s="28"/>
      <c r="AQ110" s="44"/>
      <c r="AR110" s="20" t="s">
        <v>1308</v>
      </c>
      <c r="AS110" s="20" t="s">
        <v>1003</v>
      </c>
      <c r="AT110" s="40" t="s">
        <v>1308</v>
      </c>
      <c r="AU110" s="47"/>
      <c r="AV110" s="28"/>
      <c r="AW110" s="66"/>
      <c r="AX110" s="36"/>
    </row>
    <row r="111" spans="1:50" ht="36.75" customHeight="1">
      <c r="A111" s="7"/>
      <c r="B111" s="8">
        <v>108</v>
      </c>
      <c r="C111" s="20" t="s">
        <v>184</v>
      </c>
      <c r="D111" s="20" t="s">
        <v>184</v>
      </c>
      <c r="E111" s="8" t="s">
        <v>74</v>
      </c>
      <c r="F111" s="8" t="s">
        <v>75</v>
      </c>
      <c r="G111" s="19" t="s">
        <v>73</v>
      </c>
      <c r="H111" s="29" t="s">
        <v>76</v>
      </c>
      <c r="I111" s="28"/>
      <c r="J111" s="24">
        <v>30049069</v>
      </c>
      <c r="K111" s="11">
        <v>0.05</v>
      </c>
      <c r="L111" s="21">
        <v>956.25</v>
      </c>
      <c r="M111" s="22">
        <f t="shared" si="3"/>
        <v>841.5</v>
      </c>
      <c r="N111" s="23">
        <f t="shared" si="4"/>
        <v>114.75</v>
      </c>
      <c r="O111" s="26">
        <f t="shared" si="5"/>
        <v>0.12</v>
      </c>
      <c r="P111" s="28"/>
      <c r="Q111" s="28" t="s">
        <v>859</v>
      </c>
      <c r="R111" s="28" t="s">
        <v>889</v>
      </c>
      <c r="S111" s="28"/>
      <c r="T111" s="30">
        <v>1</v>
      </c>
      <c r="U111" s="20" t="s">
        <v>589</v>
      </c>
      <c r="V111" s="28"/>
      <c r="W111" s="28" t="s">
        <v>929</v>
      </c>
      <c r="X111" s="43"/>
      <c r="Y111" s="20" t="s">
        <v>1004</v>
      </c>
      <c r="Z111" s="20" t="s">
        <v>1004</v>
      </c>
      <c r="AA111" s="28"/>
      <c r="AB111" s="28"/>
      <c r="AC111" s="28"/>
      <c r="AD111" t="s">
        <v>1331</v>
      </c>
      <c r="AE111" s="28"/>
      <c r="AF111" s="28"/>
      <c r="AG111" s="28"/>
      <c r="AH111" s="28"/>
      <c r="AI111" s="20" t="s">
        <v>1326</v>
      </c>
      <c r="AJ111" s="28"/>
      <c r="AK111" s="28"/>
      <c r="AL111" s="28"/>
      <c r="AM111" s="28"/>
      <c r="AN111" s="35" t="s">
        <v>558</v>
      </c>
      <c r="AO111" s="28"/>
      <c r="AP111" s="28"/>
      <c r="AQ111" s="44"/>
      <c r="AR111" s="20" t="s">
        <v>1308</v>
      </c>
      <c r="AS111" s="20" t="s">
        <v>1004</v>
      </c>
      <c r="AT111" s="40" t="s">
        <v>1308</v>
      </c>
      <c r="AU111" s="47"/>
      <c r="AV111" s="28"/>
      <c r="AW111" s="66"/>
      <c r="AX111" s="36"/>
    </row>
    <row r="112" spans="1:50" ht="15.75" customHeight="1">
      <c r="A112" s="7"/>
      <c r="B112" s="8">
        <v>109</v>
      </c>
      <c r="C112" s="20" t="s">
        <v>185</v>
      </c>
      <c r="D112" s="20" t="s">
        <v>185</v>
      </c>
      <c r="E112" s="8" t="s">
        <v>74</v>
      </c>
      <c r="F112" s="8" t="s">
        <v>75</v>
      </c>
      <c r="G112" s="19" t="s">
        <v>73</v>
      </c>
      <c r="H112" s="29" t="s">
        <v>76</v>
      </c>
      <c r="I112" s="28"/>
      <c r="J112" s="24">
        <v>30049099</v>
      </c>
      <c r="K112" s="11">
        <v>0.05</v>
      </c>
      <c r="L112" s="21">
        <v>543.75</v>
      </c>
      <c r="M112" s="22">
        <f t="shared" si="3"/>
        <v>478.5</v>
      </c>
      <c r="N112" s="23">
        <f t="shared" si="4"/>
        <v>65.25</v>
      </c>
      <c r="O112" s="26">
        <f t="shared" si="5"/>
        <v>0.12</v>
      </c>
      <c r="P112" s="28"/>
      <c r="Q112" s="28" t="s">
        <v>859</v>
      </c>
      <c r="R112" s="28" t="s">
        <v>889</v>
      </c>
      <c r="S112" s="28"/>
      <c r="T112" s="30">
        <v>1</v>
      </c>
      <c r="U112" s="20" t="s">
        <v>589</v>
      </c>
      <c r="V112" s="28"/>
      <c r="W112" s="28" t="s">
        <v>929</v>
      </c>
      <c r="X112" s="43"/>
      <c r="Y112" s="20" t="s">
        <v>1005</v>
      </c>
      <c r="Z112" s="20" t="s">
        <v>1005</v>
      </c>
      <c r="AA112" s="28"/>
      <c r="AB112" s="28"/>
      <c r="AC112" s="28"/>
      <c r="AD112" s="28"/>
      <c r="AE112" s="28"/>
      <c r="AF112" s="28"/>
      <c r="AG112" s="28"/>
      <c r="AH112" s="28"/>
      <c r="AI112" s="20" t="s">
        <v>1326</v>
      </c>
      <c r="AJ112" s="28"/>
      <c r="AK112" s="28"/>
      <c r="AL112" s="28"/>
      <c r="AM112" s="28"/>
      <c r="AN112" s="37"/>
      <c r="AO112" s="28"/>
      <c r="AP112" s="28"/>
      <c r="AQ112" s="44"/>
      <c r="AR112" s="20" t="s">
        <v>1308</v>
      </c>
      <c r="AS112" s="20" t="s">
        <v>1005</v>
      </c>
      <c r="AT112" s="40" t="s">
        <v>1308</v>
      </c>
      <c r="AU112" s="47"/>
      <c r="AV112" s="28"/>
      <c r="AW112" s="66"/>
      <c r="AX112" s="36"/>
    </row>
    <row r="113" spans="1:50" ht="28.5" customHeight="1">
      <c r="A113" s="7"/>
      <c r="B113" s="8">
        <v>110</v>
      </c>
      <c r="C113" s="20" t="s">
        <v>186</v>
      </c>
      <c r="D113" s="20" t="s">
        <v>186</v>
      </c>
      <c r="E113" s="8" t="s">
        <v>74</v>
      </c>
      <c r="F113" s="8" t="s">
        <v>75</v>
      </c>
      <c r="G113" s="19" t="s">
        <v>73</v>
      </c>
      <c r="H113" s="29" t="s">
        <v>76</v>
      </c>
      <c r="I113" s="28"/>
      <c r="J113" s="24">
        <v>30049099</v>
      </c>
      <c r="K113" s="11">
        <v>0.05</v>
      </c>
      <c r="L113" s="21">
        <v>540</v>
      </c>
      <c r="M113" s="22">
        <f t="shared" si="3"/>
        <v>475.2</v>
      </c>
      <c r="N113" s="23">
        <f t="shared" si="4"/>
        <v>64.800000000000011</v>
      </c>
      <c r="O113" s="26">
        <f t="shared" si="5"/>
        <v>0.12000000000000002</v>
      </c>
      <c r="P113" s="28"/>
      <c r="Q113" s="28" t="s">
        <v>859</v>
      </c>
      <c r="R113" s="28" t="s">
        <v>889</v>
      </c>
      <c r="S113" s="28"/>
      <c r="T113" s="30">
        <v>1</v>
      </c>
      <c r="U113" s="20" t="s">
        <v>589</v>
      </c>
      <c r="V113" s="28"/>
      <c r="W113" s="28" t="s">
        <v>929</v>
      </c>
      <c r="X113" s="43"/>
      <c r="Y113" s="20" t="s">
        <v>1005</v>
      </c>
      <c r="Z113" s="20" t="s">
        <v>1005</v>
      </c>
      <c r="AA113" s="28"/>
      <c r="AB113" s="28"/>
      <c r="AC113" s="28"/>
      <c r="AD113" s="28"/>
      <c r="AE113" s="28"/>
      <c r="AF113" s="28"/>
      <c r="AG113" s="28"/>
      <c r="AH113" s="28"/>
      <c r="AI113" s="20" t="s">
        <v>1326</v>
      </c>
      <c r="AJ113" s="28"/>
      <c r="AK113" s="28"/>
      <c r="AL113" s="28"/>
      <c r="AM113" s="28"/>
      <c r="AN113" s="35" t="s">
        <v>559</v>
      </c>
      <c r="AO113" s="28"/>
      <c r="AP113" s="28"/>
      <c r="AQ113" s="44"/>
      <c r="AR113" s="20" t="s">
        <v>1308</v>
      </c>
      <c r="AS113" s="20" t="s">
        <v>1005</v>
      </c>
      <c r="AT113" s="40" t="s">
        <v>1308</v>
      </c>
      <c r="AU113" s="47"/>
      <c r="AV113" s="28"/>
      <c r="AW113" s="66"/>
      <c r="AX113" s="36"/>
    </row>
    <row r="114" spans="1:50" ht="32.25" customHeight="1">
      <c r="A114" s="7"/>
      <c r="B114" s="8">
        <v>111</v>
      </c>
      <c r="C114" s="20" t="s">
        <v>187</v>
      </c>
      <c r="D114" s="20" t="s">
        <v>187</v>
      </c>
      <c r="E114" s="8" t="s">
        <v>74</v>
      </c>
      <c r="F114" s="8" t="s">
        <v>75</v>
      </c>
      <c r="G114" s="19" t="s">
        <v>73</v>
      </c>
      <c r="H114" s="29" t="s">
        <v>76</v>
      </c>
      <c r="I114" s="28"/>
      <c r="J114" s="24">
        <v>30049069</v>
      </c>
      <c r="K114" s="11">
        <v>0.05</v>
      </c>
      <c r="L114" s="21">
        <v>2430</v>
      </c>
      <c r="M114" s="22">
        <f t="shared" si="3"/>
        <v>2138.4</v>
      </c>
      <c r="N114" s="23">
        <f t="shared" si="4"/>
        <v>291.59999999999991</v>
      </c>
      <c r="O114" s="26">
        <f t="shared" si="5"/>
        <v>0.11999999999999997</v>
      </c>
      <c r="P114" s="28"/>
      <c r="Q114" s="28" t="s">
        <v>859</v>
      </c>
      <c r="R114" s="28" t="s">
        <v>889</v>
      </c>
      <c r="S114" s="28"/>
      <c r="T114" s="30">
        <v>1</v>
      </c>
      <c r="U114" s="20" t="s">
        <v>589</v>
      </c>
      <c r="V114" s="28"/>
      <c r="W114" s="28" t="s">
        <v>929</v>
      </c>
      <c r="X114" s="43"/>
      <c r="Y114" s="40" t="s">
        <v>1006</v>
      </c>
      <c r="Z114" s="40" t="s">
        <v>1006</v>
      </c>
      <c r="AA114" s="28"/>
      <c r="AB114" s="28"/>
      <c r="AC114" s="28"/>
      <c r="AD114" t="s">
        <v>1331</v>
      </c>
      <c r="AE114" s="28"/>
      <c r="AF114" s="28"/>
      <c r="AG114" s="28"/>
      <c r="AH114" s="28"/>
      <c r="AI114" s="20" t="s">
        <v>1326</v>
      </c>
      <c r="AJ114" s="28"/>
      <c r="AK114" s="28"/>
      <c r="AL114" s="28"/>
      <c r="AM114" s="28"/>
      <c r="AN114" s="35" t="s">
        <v>560</v>
      </c>
      <c r="AO114" s="28"/>
      <c r="AP114" s="28"/>
      <c r="AQ114" s="44"/>
      <c r="AR114" s="20" t="s">
        <v>1308</v>
      </c>
      <c r="AS114" s="40" t="s">
        <v>1006</v>
      </c>
      <c r="AT114" s="40" t="s">
        <v>1308</v>
      </c>
      <c r="AU114" s="47"/>
      <c r="AV114" s="28"/>
      <c r="AW114" s="66"/>
      <c r="AX114" s="36"/>
    </row>
    <row r="115" spans="1:50" ht="15.75" customHeight="1">
      <c r="A115" s="7"/>
      <c r="B115" s="8">
        <v>112</v>
      </c>
      <c r="C115" s="20" t="s">
        <v>188</v>
      </c>
      <c r="D115" s="20" t="s">
        <v>188</v>
      </c>
      <c r="E115" s="8" t="s">
        <v>74</v>
      </c>
      <c r="F115" s="8" t="s">
        <v>75</v>
      </c>
      <c r="G115" s="19" t="s">
        <v>73</v>
      </c>
      <c r="H115" s="29" t="s">
        <v>76</v>
      </c>
      <c r="I115" s="28"/>
      <c r="J115" s="24">
        <v>30049039</v>
      </c>
      <c r="K115" s="11">
        <v>0.05</v>
      </c>
      <c r="L115" s="21">
        <v>1150</v>
      </c>
      <c r="M115" s="22">
        <f t="shared" si="3"/>
        <v>1012</v>
      </c>
      <c r="N115" s="23">
        <f t="shared" si="4"/>
        <v>138</v>
      </c>
      <c r="O115" s="26">
        <f t="shared" si="5"/>
        <v>0.12</v>
      </c>
      <c r="P115" s="28"/>
      <c r="Q115" s="28" t="s">
        <v>865</v>
      </c>
      <c r="R115" s="28" t="s">
        <v>889</v>
      </c>
      <c r="S115" s="28"/>
      <c r="T115" s="30">
        <v>1</v>
      </c>
      <c r="U115" s="20" t="s">
        <v>589</v>
      </c>
      <c r="V115" s="28"/>
      <c r="W115" s="28" t="s">
        <v>929</v>
      </c>
      <c r="X115" s="43"/>
      <c r="Y115" s="20" t="s">
        <v>1007</v>
      </c>
      <c r="Z115" s="20" t="s">
        <v>1007</v>
      </c>
      <c r="AA115" s="28"/>
      <c r="AB115" s="28"/>
      <c r="AC115" s="28"/>
      <c r="AD115" s="20" t="s">
        <v>1331</v>
      </c>
      <c r="AE115" s="28"/>
      <c r="AF115" s="28"/>
      <c r="AG115" s="28"/>
      <c r="AH115" s="28"/>
      <c r="AI115" s="20" t="s">
        <v>1323</v>
      </c>
      <c r="AJ115" s="28"/>
      <c r="AK115" s="28"/>
      <c r="AL115" s="28"/>
      <c r="AM115" s="28"/>
      <c r="AN115" s="37"/>
      <c r="AO115" s="28"/>
      <c r="AP115" s="28"/>
      <c r="AQ115" s="44"/>
      <c r="AR115" s="20" t="s">
        <v>1307</v>
      </c>
      <c r="AS115" s="20" t="s">
        <v>1007</v>
      </c>
      <c r="AT115" s="40" t="s">
        <v>1307</v>
      </c>
      <c r="AU115" s="47"/>
      <c r="AV115" s="28"/>
      <c r="AW115" s="66"/>
      <c r="AX115" s="36"/>
    </row>
    <row r="116" spans="1:50" ht="28.5" customHeight="1">
      <c r="A116" s="7"/>
      <c r="B116" s="8">
        <v>113</v>
      </c>
      <c r="C116" s="20" t="s">
        <v>189</v>
      </c>
      <c r="D116" s="20" t="s">
        <v>189</v>
      </c>
      <c r="E116" s="8" t="s">
        <v>74</v>
      </c>
      <c r="F116" s="8" t="s">
        <v>75</v>
      </c>
      <c r="G116" s="19" t="s">
        <v>73</v>
      </c>
      <c r="H116" s="29" t="s">
        <v>76</v>
      </c>
      <c r="I116" s="28"/>
      <c r="J116" s="24">
        <v>30049099</v>
      </c>
      <c r="K116" s="11">
        <v>0.05</v>
      </c>
      <c r="L116" s="21">
        <v>1170</v>
      </c>
      <c r="M116" s="22">
        <f t="shared" si="3"/>
        <v>1029.5999999999999</v>
      </c>
      <c r="N116" s="23">
        <f t="shared" si="4"/>
        <v>140.40000000000009</v>
      </c>
      <c r="O116" s="26">
        <f t="shared" si="5"/>
        <v>0.12000000000000008</v>
      </c>
      <c r="P116" s="28"/>
      <c r="Q116" s="28" t="s">
        <v>859</v>
      </c>
      <c r="R116" s="28" t="s">
        <v>889</v>
      </c>
      <c r="S116" s="28"/>
      <c r="T116" s="30">
        <v>1</v>
      </c>
      <c r="U116" s="20" t="s">
        <v>589</v>
      </c>
      <c r="V116" s="28"/>
      <c r="W116" s="28" t="s">
        <v>929</v>
      </c>
      <c r="X116" s="43"/>
      <c r="Y116" s="40" t="s">
        <v>1008</v>
      </c>
      <c r="Z116" s="40" t="s">
        <v>1008</v>
      </c>
      <c r="AA116" s="28"/>
      <c r="AB116" s="28"/>
      <c r="AC116" s="28"/>
      <c r="AD116" s="20" t="s">
        <v>1331</v>
      </c>
      <c r="AE116" s="28"/>
      <c r="AF116" s="28"/>
      <c r="AG116" s="28"/>
      <c r="AH116" s="28"/>
      <c r="AI116" s="20" t="s">
        <v>1326</v>
      </c>
      <c r="AJ116" s="28"/>
      <c r="AK116" s="28"/>
      <c r="AL116" s="28"/>
      <c r="AM116" s="28"/>
      <c r="AN116" s="35" t="s">
        <v>561</v>
      </c>
      <c r="AO116" s="28"/>
      <c r="AP116" s="28"/>
      <c r="AQ116" s="44"/>
      <c r="AR116" s="20" t="s">
        <v>1308</v>
      </c>
      <c r="AS116" s="40" t="s">
        <v>1008</v>
      </c>
      <c r="AT116" s="40" t="s">
        <v>1308</v>
      </c>
      <c r="AU116" s="47"/>
      <c r="AV116" s="28"/>
      <c r="AW116" s="66"/>
      <c r="AX116" s="36"/>
    </row>
    <row r="117" spans="1:50" ht="34.5" customHeight="1">
      <c r="A117" s="7"/>
      <c r="B117" s="8">
        <v>114</v>
      </c>
      <c r="C117" s="20" t="s">
        <v>190</v>
      </c>
      <c r="D117" s="20" t="s">
        <v>190</v>
      </c>
      <c r="E117" s="8" t="s">
        <v>74</v>
      </c>
      <c r="F117" s="8" t="s">
        <v>75</v>
      </c>
      <c r="G117" s="19" t="s">
        <v>73</v>
      </c>
      <c r="H117" s="29" t="s">
        <v>76</v>
      </c>
      <c r="I117" s="28"/>
      <c r="J117" s="24">
        <v>30049069</v>
      </c>
      <c r="K117" s="11">
        <v>0.05</v>
      </c>
      <c r="L117" s="21">
        <v>3187.5</v>
      </c>
      <c r="M117" s="22">
        <f t="shared" si="3"/>
        <v>2805</v>
      </c>
      <c r="N117" s="23">
        <f t="shared" si="4"/>
        <v>382.5</v>
      </c>
      <c r="O117" s="26">
        <f t="shared" si="5"/>
        <v>0.12</v>
      </c>
      <c r="P117" s="28"/>
      <c r="Q117" s="28" t="s">
        <v>859</v>
      </c>
      <c r="R117" s="28" t="s">
        <v>889</v>
      </c>
      <c r="S117" s="28"/>
      <c r="T117" s="30">
        <v>1</v>
      </c>
      <c r="U117" s="20" t="s">
        <v>589</v>
      </c>
      <c r="V117" s="28"/>
      <c r="W117" s="28" t="s">
        <v>929</v>
      </c>
      <c r="X117" s="43"/>
      <c r="Y117" s="20" t="s">
        <v>1009</v>
      </c>
      <c r="Z117" s="20" t="s">
        <v>1009</v>
      </c>
      <c r="AA117" s="28"/>
      <c r="AB117" s="28"/>
      <c r="AC117" s="28"/>
      <c r="AD117" s="20" t="s">
        <v>1331</v>
      </c>
      <c r="AE117" s="28"/>
      <c r="AF117" s="28"/>
      <c r="AG117" s="28"/>
      <c r="AH117" s="28"/>
      <c r="AI117" s="20" t="s">
        <v>1326</v>
      </c>
      <c r="AJ117" s="28"/>
      <c r="AK117" s="28"/>
      <c r="AL117" s="28"/>
      <c r="AM117" s="28"/>
      <c r="AN117" s="35" t="s">
        <v>562</v>
      </c>
      <c r="AO117" s="28"/>
      <c r="AP117" s="28"/>
      <c r="AQ117" s="44"/>
      <c r="AR117" s="20" t="s">
        <v>1308</v>
      </c>
      <c r="AS117" s="20" t="s">
        <v>1009</v>
      </c>
      <c r="AT117" s="40" t="s">
        <v>1308</v>
      </c>
      <c r="AU117" s="47"/>
      <c r="AV117" s="28"/>
      <c r="AW117" s="66"/>
      <c r="AX117" s="36"/>
    </row>
    <row r="118" spans="1:50" ht="33.75" customHeight="1">
      <c r="A118" s="7"/>
      <c r="B118" s="8">
        <v>115</v>
      </c>
      <c r="C118" s="20" t="s">
        <v>191</v>
      </c>
      <c r="D118" s="20" t="s">
        <v>191</v>
      </c>
      <c r="E118" s="8" t="s">
        <v>74</v>
      </c>
      <c r="F118" s="8" t="s">
        <v>75</v>
      </c>
      <c r="G118" s="19" t="s">
        <v>73</v>
      </c>
      <c r="H118" s="29" t="s">
        <v>76</v>
      </c>
      <c r="I118" s="28"/>
      <c r="J118" s="24">
        <v>300490</v>
      </c>
      <c r="K118" s="11">
        <v>0.05</v>
      </c>
      <c r="L118" s="21">
        <v>843.75</v>
      </c>
      <c r="M118" s="22">
        <f t="shared" si="3"/>
        <v>742.5</v>
      </c>
      <c r="N118" s="23">
        <f t="shared" si="4"/>
        <v>101.25</v>
      </c>
      <c r="O118" s="26">
        <f t="shared" si="5"/>
        <v>0.12</v>
      </c>
      <c r="P118" s="28"/>
      <c r="Q118" s="28" t="s">
        <v>859</v>
      </c>
      <c r="R118" s="28" t="s">
        <v>889</v>
      </c>
      <c r="S118" s="28"/>
      <c r="T118" s="30">
        <v>1</v>
      </c>
      <c r="U118" s="20" t="s">
        <v>589</v>
      </c>
      <c r="V118" s="28"/>
      <c r="W118" s="28" t="s">
        <v>929</v>
      </c>
      <c r="X118" s="43"/>
      <c r="Y118" s="20" t="s">
        <v>1010</v>
      </c>
      <c r="Z118" s="20" t="s">
        <v>1010</v>
      </c>
      <c r="AA118" s="28"/>
      <c r="AB118" s="28"/>
      <c r="AC118" s="28"/>
      <c r="AD118" s="20" t="s">
        <v>1331</v>
      </c>
      <c r="AE118" s="28"/>
      <c r="AF118" s="28"/>
      <c r="AG118" s="28"/>
      <c r="AH118" s="28"/>
      <c r="AI118" s="20" t="s">
        <v>1327</v>
      </c>
      <c r="AJ118" s="28"/>
      <c r="AK118" s="28"/>
      <c r="AL118" s="28"/>
      <c r="AM118" s="28"/>
      <c r="AN118" s="35" t="s">
        <v>563</v>
      </c>
      <c r="AO118" s="28"/>
      <c r="AP118" s="28"/>
      <c r="AQ118" s="44"/>
      <c r="AR118" s="20" t="s">
        <v>1309</v>
      </c>
      <c r="AS118" s="20" t="s">
        <v>1010</v>
      </c>
      <c r="AT118" s="40" t="s">
        <v>1309</v>
      </c>
      <c r="AU118" s="47"/>
      <c r="AV118" s="28"/>
      <c r="AW118" s="66"/>
      <c r="AX118" s="36"/>
    </row>
    <row r="119" spans="1:50" ht="34.5" customHeight="1">
      <c r="A119" s="7"/>
      <c r="B119" s="8">
        <v>116</v>
      </c>
      <c r="C119" s="20" t="s">
        <v>192</v>
      </c>
      <c r="D119" s="20" t="s">
        <v>192</v>
      </c>
      <c r="E119" s="8" t="s">
        <v>74</v>
      </c>
      <c r="F119" s="8" t="s">
        <v>75</v>
      </c>
      <c r="G119" s="19" t="s">
        <v>73</v>
      </c>
      <c r="H119" s="29" t="s">
        <v>76</v>
      </c>
      <c r="I119" s="28"/>
      <c r="J119" s="24">
        <v>30049099</v>
      </c>
      <c r="K119" s="11">
        <v>0.05</v>
      </c>
      <c r="L119" s="21">
        <v>80.63</v>
      </c>
      <c r="M119" s="22">
        <f t="shared" si="3"/>
        <v>70.954399999999993</v>
      </c>
      <c r="N119" s="23">
        <f t="shared" si="4"/>
        <v>9.6756000000000029</v>
      </c>
      <c r="O119" s="26">
        <f t="shared" si="5"/>
        <v>0.12000000000000004</v>
      </c>
      <c r="P119" s="28"/>
      <c r="Q119" s="28" t="s">
        <v>875</v>
      </c>
      <c r="R119" s="28" t="s">
        <v>889</v>
      </c>
      <c r="S119" s="28"/>
      <c r="T119" s="30">
        <v>1</v>
      </c>
      <c r="U119" s="20" t="s">
        <v>625</v>
      </c>
      <c r="V119" s="28"/>
      <c r="W119" s="28" t="s">
        <v>930</v>
      </c>
      <c r="X119" s="43"/>
      <c r="Y119" s="40" t="s">
        <v>1011</v>
      </c>
      <c r="Z119" s="40" t="s">
        <v>1011</v>
      </c>
      <c r="AA119" s="28"/>
      <c r="AB119" s="28"/>
      <c r="AC119" s="28"/>
      <c r="AD119" s="28"/>
      <c r="AE119" s="28"/>
      <c r="AF119" s="28"/>
      <c r="AG119" s="28"/>
      <c r="AH119" s="28"/>
      <c r="AI119" s="20" t="s">
        <v>1324</v>
      </c>
      <c r="AJ119" s="28"/>
      <c r="AK119" s="28"/>
      <c r="AL119" s="28"/>
      <c r="AM119" s="28"/>
      <c r="AN119" s="35" t="s">
        <v>564</v>
      </c>
      <c r="AO119" s="28"/>
      <c r="AP119" s="28"/>
      <c r="AQ119" s="44"/>
      <c r="AR119" s="20" t="s">
        <v>1308</v>
      </c>
      <c r="AS119" s="40" t="s">
        <v>1011</v>
      </c>
      <c r="AT119" s="40" t="s">
        <v>1308</v>
      </c>
      <c r="AU119" s="47"/>
      <c r="AV119" s="28"/>
      <c r="AW119" s="66"/>
      <c r="AX119" s="36"/>
    </row>
    <row r="120" spans="1:50" ht="33" customHeight="1">
      <c r="A120" s="7"/>
      <c r="B120" s="8">
        <v>117</v>
      </c>
      <c r="C120" s="20" t="s">
        <v>193</v>
      </c>
      <c r="D120" s="20" t="s">
        <v>193</v>
      </c>
      <c r="E120" s="8" t="s">
        <v>74</v>
      </c>
      <c r="F120" s="8" t="s">
        <v>75</v>
      </c>
      <c r="G120" s="19" t="s">
        <v>73</v>
      </c>
      <c r="H120" s="29" t="s">
        <v>76</v>
      </c>
      <c r="I120" s="28"/>
      <c r="J120" s="24">
        <v>30049099</v>
      </c>
      <c r="K120" s="11">
        <v>0.05</v>
      </c>
      <c r="L120" s="21">
        <v>53</v>
      </c>
      <c r="M120" s="22">
        <f t="shared" si="3"/>
        <v>46.64</v>
      </c>
      <c r="N120" s="23">
        <f t="shared" si="4"/>
        <v>6.3599999999999994</v>
      </c>
      <c r="O120" s="26">
        <f t="shared" si="5"/>
        <v>0.12</v>
      </c>
      <c r="P120" s="28"/>
      <c r="Q120" s="28" t="s">
        <v>876</v>
      </c>
      <c r="R120" s="28" t="s">
        <v>890</v>
      </c>
      <c r="S120" s="28"/>
      <c r="T120" s="30">
        <v>1</v>
      </c>
      <c r="U120" s="20" t="s">
        <v>613</v>
      </c>
      <c r="V120" s="28"/>
      <c r="W120" s="28" t="s">
        <v>930</v>
      </c>
      <c r="X120" s="43"/>
      <c r="Y120" s="20" t="s">
        <v>1012</v>
      </c>
      <c r="Z120" s="20" t="s">
        <v>1012</v>
      </c>
      <c r="AA120" s="28"/>
      <c r="AB120" s="28"/>
      <c r="AC120" s="28"/>
      <c r="AD120" s="28"/>
      <c r="AE120" s="28"/>
      <c r="AF120" s="28"/>
      <c r="AG120" s="28"/>
      <c r="AH120" s="28"/>
      <c r="AI120" s="20" t="s">
        <v>1328</v>
      </c>
      <c r="AJ120" s="28"/>
      <c r="AK120" s="28"/>
      <c r="AL120" s="28"/>
      <c r="AM120" s="28"/>
      <c r="AN120" s="35" t="s">
        <v>565</v>
      </c>
      <c r="AO120" s="28"/>
      <c r="AP120" s="28"/>
      <c r="AQ120" s="44"/>
      <c r="AR120" s="20" t="s">
        <v>1309</v>
      </c>
      <c r="AS120" s="20" t="s">
        <v>1012</v>
      </c>
      <c r="AT120" s="40" t="s">
        <v>1309</v>
      </c>
      <c r="AU120" s="47"/>
      <c r="AV120" s="28"/>
      <c r="AW120" s="66"/>
      <c r="AX120" s="36"/>
    </row>
    <row r="121" spans="1:50" ht="47.25" customHeight="1">
      <c r="A121" s="7"/>
      <c r="B121" s="8">
        <v>118</v>
      </c>
      <c r="C121" s="20" t="s">
        <v>194</v>
      </c>
      <c r="D121" s="20" t="s">
        <v>194</v>
      </c>
      <c r="E121" s="8" t="s">
        <v>74</v>
      </c>
      <c r="F121" s="8" t="s">
        <v>75</v>
      </c>
      <c r="G121" s="19" t="s">
        <v>73</v>
      </c>
      <c r="H121" s="29" t="s">
        <v>76</v>
      </c>
      <c r="I121" s="28"/>
      <c r="J121" s="24">
        <v>30049099</v>
      </c>
      <c r="K121" s="11">
        <v>0.05</v>
      </c>
      <c r="L121" s="21">
        <v>720</v>
      </c>
      <c r="M121" s="22">
        <f t="shared" si="3"/>
        <v>633.6</v>
      </c>
      <c r="N121" s="23">
        <f t="shared" si="4"/>
        <v>86.399999999999977</v>
      </c>
      <c r="O121" s="26">
        <f t="shared" si="5"/>
        <v>0.11999999999999997</v>
      </c>
      <c r="P121" s="28"/>
      <c r="Q121" s="28" t="s">
        <v>859</v>
      </c>
      <c r="R121" s="28" t="s">
        <v>889</v>
      </c>
      <c r="S121" s="28"/>
      <c r="T121" s="30">
        <v>1</v>
      </c>
      <c r="U121" s="20" t="s">
        <v>589</v>
      </c>
      <c r="V121" s="28"/>
      <c r="W121" s="28" t="s">
        <v>929</v>
      </c>
      <c r="X121" s="43"/>
      <c r="Y121" s="40" t="s">
        <v>1013</v>
      </c>
      <c r="Z121" s="40" t="s">
        <v>1013</v>
      </c>
      <c r="AA121" s="28"/>
      <c r="AB121" s="28"/>
      <c r="AC121" s="28"/>
      <c r="AD121" t="s">
        <v>1331</v>
      </c>
      <c r="AE121" s="28"/>
      <c r="AF121" s="28"/>
      <c r="AG121" s="28"/>
      <c r="AH121" s="28"/>
      <c r="AI121" s="20" t="s">
        <v>1324</v>
      </c>
      <c r="AJ121" s="28"/>
      <c r="AK121" s="28"/>
      <c r="AL121" s="28"/>
      <c r="AM121" s="28"/>
      <c r="AN121" s="37"/>
      <c r="AO121" s="28"/>
      <c r="AP121" s="28"/>
      <c r="AQ121" s="44"/>
      <c r="AR121" s="20" t="s">
        <v>1308</v>
      </c>
      <c r="AS121" s="40" t="s">
        <v>1013</v>
      </c>
      <c r="AT121" s="40" t="s">
        <v>1308</v>
      </c>
      <c r="AU121" s="47"/>
      <c r="AV121" s="28"/>
      <c r="AW121" s="66"/>
      <c r="AX121" s="36"/>
    </row>
    <row r="122" spans="1:50" ht="30.75" customHeight="1">
      <c r="A122" s="7"/>
      <c r="B122" s="8">
        <v>119</v>
      </c>
      <c r="C122" s="20" t="s">
        <v>195</v>
      </c>
      <c r="D122" s="20" t="s">
        <v>195</v>
      </c>
      <c r="E122" s="8" t="s">
        <v>74</v>
      </c>
      <c r="F122" s="8" t="s">
        <v>75</v>
      </c>
      <c r="G122" s="19" t="s">
        <v>73</v>
      </c>
      <c r="H122" s="29" t="s">
        <v>76</v>
      </c>
      <c r="I122" s="28"/>
      <c r="J122" s="24">
        <v>30049099</v>
      </c>
      <c r="K122" s="11">
        <v>0.05</v>
      </c>
      <c r="L122" s="21">
        <v>43.99</v>
      </c>
      <c r="M122" s="22">
        <f t="shared" si="3"/>
        <v>38.711200000000005</v>
      </c>
      <c r="N122" s="23">
        <f t="shared" si="4"/>
        <v>5.2787999999999968</v>
      </c>
      <c r="O122" s="26">
        <f t="shared" si="5"/>
        <v>0.11999999999999993</v>
      </c>
      <c r="P122" s="28"/>
      <c r="Q122" s="28" t="s">
        <v>876</v>
      </c>
      <c r="R122" s="28" t="s">
        <v>890</v>
      </c>
      <c r="S122" s="28"/>
      <c r="T122" s="30">
        <v>1</v>
      </c>
      <c r="U122" s="20" t="s">
        <v>613</v>
      </c>
      <c r="V122" s="28"/>
      <c r="W122" s="28" t="s">
        <v>930</v>
      </c>
      <c r="X122" s="43"/>
      <c r="Y122" s="20" t="s">
        <v>1014</v>
      </c>
      <c r="Z122" s="20" t="s">
        <v>1014</v>
      </c>
      <c r="AA122" s="28"/>
      <c r="AB122" s="28"/>
      <c r="AC122" s="28"/>
      <c r="AD122" s="28"/>
      <c r="AE122" s="28"/>
      <c r="AF122" s="28"/>
      <c r="AG122" s="28"/>
      <c r="AH122" s="28"/>
      <c r="AI122" s="20" t="s">
        <v>1328</v>
      </c>
      <c r="AJ122" s="28"/>
      <c r="AK122" s="28"/>
      <c r="AL122" s="28"/>
      <c r="AM122" s="28"/>
      <c r="AN122" s="35" t="s">
        <v>566</v>
      </c>
      <c r="AO122" s="28"/>
      <c r="AP122" s="28"/>
      <c r="AQ122" s="44"/>
      <c r="AR122" s="20" t="s">
        <v>1309</v>
      </c>
      <c r="AS122" s="20" t="s">
        <v>1014</v>
      </c>
      <c r="AT122" s="40" t="s">
        <v>1309</v>
      </c>
      <c r="AU122" s="47"/>
      <c r="AV122" s="28"/>
      <c r="AW122" s="66"/>
      <c r="AX122" s="36"/>
    </row>
    <row r="123" spans="1:50" ht="34.5" customHeight="1">
      <c r="A123" s="7"/>
      <c r="B123" s="8">
        <v>120</v>
      </c>
      <c r="C123" s="20" t="s">
        <v>196</v>
      </c>
      <c r="D123" s="20" t="s">
        <v>196</v>
      </c>
      <c r="E123" s="8" t="s">
        <v>74</v>
      </c>
      <c r="F123" s="8" t="s">
        <v>75</v>
      </c>
      <c r="G123" s="19" t="s">
        <v>73</v>
      </c>
      <c r="H123" s="29" t="s">
        <v>76</v>
      </c>
      <c r="I123" s="28"/>
      <c r="J123" s="24">
        <v>30049099</v>
      </c>
      <c r="K123" s="11">
        <v>0.05</v>
      </c>
      <c r="L123" s="21">
        <v>498.75</v>
      </c>
      <c r="M123" s="22">
        <f t="shared" si="3"/>
        <v>438.9</v>
      </c>
      <c r="N123" s="23">
        <f t="shared" si="4"/>
        <v>59.850000000000023</v>
      </c>
      <c r="O123" s="26">
        <f t="shared" si="5"/>
        <v>0.12000000000000005</v>
      </c>
      <c r="P123" s="28"/>
      <c r="Q123" s="28" t="s">
        <v>876</v>
      </c>
      <c r="R123" s="28" t="s">
        <v>890</v>
      </c>
      <c r="S123" s="28"/>
      <c r="T123" s="30">
        <v>1</v>
      </c>
      <c r="U123" s="20" t="s">
        <v>592</v>
      </c>
      <c r="V123" s="28"/>
      <c r="W123" s="28" t="s">
        <v>930</v>
      </c>
      <c r="X123" s="43"/>
      <c r="Y123" s="40" t="s">
        <v>1015</v>
      </c>
      <c r="Z123" s="40" t="s">
        <v>1015</v>
      </c>
      <c r="AA123" s="28"/>
      <c r="AB123" s="28"/>
      <c r="AC123" s="28"/>
      <c r="AD123" s="28"/>
      <c r="AE123" s="28"/>
      <c r="AF123" s="28"/>
      <c r="AG123" s="28"/>
      <c r="AH123" s="28"/>
      <c r="AI123" s="20" t="s">
        <v>1328</v>
      </c>
      <c r="AJ123" s="28"/>
      <c r="AK123" s="28"/>
      <c r="AL123" s="28"/>
      <c r="AM123" s="28"/>
      <c r="AN123" s="35" t="s">
        <v>567</v>
      </c>
      <c r="AO123" s="28"/>
      <c r="AP123" s="28"/>
      <c r="AQ123" s="44"/>
      <c r="AR123" s="20" t="s">
        <v>1309</v>
      </c>
      <c r="AS123" s="40" t="s">
        <v>1015</v>
      </c>
      <c r="AT123" s="40" t="s">
        <v>1309</v>
      </c>
      <c r="AU123" s="47"/>
      <c r="AV123" s="28"/>
      <c r="AW123" s="66"/>
      <c r="AX123" s="36"/>
    </row>
    <row r="124" spans="1:50" ht="31.5" customHeight="1">
      <c r="A124" s="7"/>
      <c r="B124" s="8">
        <v>121</v>
      </c>
      <c r="C124" s="20" t="s">
        <v>197</v>
      </c>
      <c r="D124" s="20" t="s">
        <v>197</v>
      </c>
      <c r="E124" s="8" t="s">
        <v>74</v>
      </c>
      <c r="F124" s="8" t="s">
        <v>75</v>
      </c>
      <c r="G124" s="19" t="s">
        <v>73</v>
      </c>
      <c r="H124" s="29" t="s">
        <v>76</v>
      </c>
      <c r="I124" s="28"/>
      <c r="J124" s="24">
        <v>30049069</v>
      </c>
      <c r="K124" s="11">
        <v>0.05</v>
      </c>
      <c r="L124" s="21">
        <v>637.5</v>
      </c>
      <c r="M124" s="22">
        <f t="shared" si="3"/>
        <v>561</v>
      </c>
      <c r="N124" s="23">
        <f t="shared" si="4"/>
        <v>76.5</v>
      </c>
      <c r="O124" s="26">
        <f t="shared" si="5"/>
        <v>0.12</v>
      </c>
      <c r="P124" s="28"/>
      <c r="Q124" s="28" t="s">
        <v>859</v>
      </c>
      <c r="R124" s="28" t="s">
        <v>889</v>
      </c>
      <c r="S124" s="28"/>
      <c r="T124" s="30">
        <v>1</v>
      </c>
      <c r="U124" s="20" t="s">
        <v>589</v>
      </c>
      <c r="V124" s="28"/>
      <c r="W124" s="28" t="s">
        <v>929</v>
      </c>
      <c r="X124" s="43"/>
      <c r="Y124" s="40" t="s">
        <v>1016</v>
      </c>
      <c r="Z124" s="40" t="s">
        <v>1016</v>
      </c>
      <c r="AA124" s="28"/>
      <c r="AB124" s="28"/>
      <c r="AC124" s="28"/>
      <c r="AD124" t="s">
        <v>1331</v>
      </c>
      <c r="AE124" s="28"/>
      <c r="AF124" s="28"/>
      <c r="AG124" s="28"/>
      <c r="AH124" s="28"/>
      <c r="AI124" s="20" t="s">
        <v>1324</v>
      </c>
      <c r="AJ124" s="28"/>
      <c r="AK124" s="28"/>
      <c r="AL124" s="28"/>
      <c r="AM124" s="28"/>
      <c r="AN124" s="35" t="s">
        <v>568</v>
      </c>
      <c r="AO124" s="28"/>
      <c r="AP124" s="28"/>
      <c r="AQ124" s="44"/>
      <c r="AR124" s="20" t="s">
        <v>1308</v>
      </c>
      <c r="AS124" s="40" t="s">
        <v>1016</v>
      </c>
      <c r="AT124" s="40" t="s">
        <v>1308</v>
      </c>
      <c r="AU124" s="47"/>
      <c r="AV124" s="28"/>
      <c r="AW124" s="66"/>
      <c r="AX124" s="36"/>
    </row>
    <row r="125" spans="1:50" ht="36.75" customHeight="1">
      <c r="A125" s="7"/>
      <c r="B125" s="8">
        <v>122</v>
      </c>
      <c r="C125" s="20" t="s">
        <v>198</v>
      </c>
      <c r="D125" s="20" t="s">
        <v>198</v>
      </c>
      <c r="E125" s="8" t="s">
        <v>74</v>
      </c>
      <c r="F125" s="8" t="s">
        <v>75</v>
      </c>
      <c r="G125" s="19" t="s">
        <v>73</v>
      </c>
      <c r="H125" s="29" t="s">
        <v>76</v>
      </c>
      <c r="I125" s="28"/>
      <c r="J125" s="24">
        <v>30049093</v>
      </c>
      <c r="K125" s="11">
        <v>0.05</v>
      </c>
      <c r="L125" s="21">
        <v>75</v>
      </c>
      <c r="M125" s="22">
        <f t="shared" si="3"/>
        <v>66</v>
      </c>
      <c r="N125" s="23">
        <f t="shared" si="4"/>
        <v>9</v>
      </c>
      <c r="O125" s="26">
        <f t="shared" si="5"/>
        <v>0.12</v>
      </c>
      <c r="P125" s="28"/>
      <c r="Q125" s="28" t="s">
        <v>863</v>
      </c>
      <c r="R125" s="28" t="s">
        <v>889</v>
      </c>
      <c r="S125" s="28"/>
      <c r="T125" s="30">
        <v>1</v>
      </c>
      <c r="U125" s="20" t="s">
        <v>624</v>
      </c>
      <c r="V125" s="28"/>
      <c r="W125" s="28" t="s">
        <v>931</v>
      </c>
      <c r="X125" s="43"/>
      <c r="Y125" s="40" t="s">
        <v>1017</v>
      </c>
      <c r="Z125" s="40" t="s">
        <v>1017</v>
      </c>
      <c r="AA125" s="28"/>
      <c r="AB125" s="28"/>
      <c r="AC125" s="28"/>
      <c r="AD125" s="28"/>
      <c r="AE125" s="28"/>
      <c r="AF125" s="28"/>
      <c r="AG125" s="28"/>
      <c r="AH125" s="28"/>
      <c r="AI125" s="20" t="s">
        <v>1324</v>
      </c>
      <c r="AJ125" s="28"/>
      <c r="AK125" s="28"/>
      <c r="AL125" s="28"/>
      <c r="AM125" s="28"/>
      <c r="AN125" s="35" t="s">
        <v>569</v>
      </c>
      <c r="AO125" s="28"/>
      <c r="AP125" s="28"/>
      <c r="AQ125" s="44"/>
      <c r="AR125" s="20" t="s">
        <v>1308</v>
      </c>
      <c r="AS125" s="40" t="s">
        <v>1017</v>
      </c>
      <c r="AT125" s="40" t="s">
        <v>1308</v>
      </c>
      <c r="AU125" s="47"/>
      <c r="AV125" s="28"/>
      <c r="AW125" s="66"/>
      <c r="AX125" s="36"/>
    </row>
    <row r="126" spans="1:50" ht="34.5" customHeight="1">
      <c r="A126" s="7"/>
      <c r="B126" s="8">
        <v>123</v>
      </c>
      <c r="C126" s="20" t="s">
        <v>199</v>
      </c>
      <c r="D126" s="20" t="s">
        <v>199</v>
      </c>
      <c r="E126" s="8" t="s">
        <v>74</v>
      </c>
      <c r="F126" s="8" t="s">
        <v>75</v>
      </c>
      <c r="G126" s="19" t="s">
        <v>73</v>
      </c>
      <c r="H126" s="29" t="s">
        <v>76</v>
      </c>
      <c r="I126" s="28"/>
      <c r="J126" s="24">
        <v>30049099</v>
      </c>
      <c r="K126" s="11">
        <v>0.05</v>
      </c>
      <c r="L126" s="21">
        <v>64.69</v>
      </c>
      <c r="M126" s="22">
        <f t="shared" si="3"/>
        <v>56.927199999999999</v>
      </c>
      <c r="N126" s="23">
        <f t="shared" si="4"/>
        <v>7.7627999999999986</v>
      </c>
      <c r="O126" s="26">
        <f t="shared" si="5"/>
        <v>0.11999999999999998</v>
      </c>
      <c r="P126" s="28"/>
      <c r="Q126" s="28" t="s">
        <v>876</v>
      </c>
      <c r="R126" s="28" t="s">
        <v>890</v>
      </c>
      <c r="S126" s="28"/>
      <c r="T126" s="30">
        <v>1</v>
      </c>
      <c r="U126" s="20" t="s">
        <v>613</v>
      </c>
      <c r="V126" s="28"/>
      <c r="W126" s="28" t="s">
        <v>930</v>
      </c>
      <c r="X126" s="43"/>
      <c r="Y126" s="40" t="s">
        <v>1018</v>
      </c>
      <c r="Z126" s="40" t="s">
        <v>1018</v>
      </c>
      <c r="AA126" s="28"/>
      <c r="AB126" s="28"/>
      <c r="AC126" s="28"/>
      <c r="AD126" s="28"/>
      <c r="AE126" s="28"/>
      <c r="AF126" s="28"/>
      <c r="AG126" s="28"/>
      <c r="AH126" s="28"/>
      <c r="AI126" s="20" t="s">
        <v>1328</v>
      </c>
      <c r="AJ126" s="28"/>
      <c r="AK126" s="28"/>
      <c r="AL126" s="28"/>
      <c r="AM126" s="28"/>
      <c r="AN126" s="35" t="s">
        <v>570</v>
      </c>
      <c r="AO126" s="28"/>
      <c r="AP126" s="28"/>
      <c r="AQ126" s="44"/>
      <c r="AR126" s="20" t="s">
        <v>1309</v>
      </c>
      <c r="AS126" s="40" t="s">
        <v>1018</v>
      </c>
      <c r="AT126" s="40" t="s">
        <v>1309</v>
      </c>
      <c r="AU126" s="47"/>
      <c r="AV126" s="28"/>
      <c r="AW126" s="66"/>
      <c r="AX126" s="36"/>
    </row>
    <row r="127" spans="1:50" ht="34.5" customHeight="1">
      <c r="A127" s="7"/>
      <c r="B127" s="8">
        <v>124</v>
      </c>
      <c r="C127" s="20" t="s">
        <v>200</v>
      </c>
      <c r="D127" s="20" t="s">
        <v>200</v>
      </c>
      <c r="E127" s="8" t="s">
        <v>74</v>
      </c>
      <c r="F127" s="8" t="s">
        <v>75</v>
      </c>
      <c r="G127" s="19" t="s">
        <v>73</v>
      </c>
      <c r="H127" s="29" t="s">
        <v>76</v>
      </c>
      <c r="I127" s="28"/>
      <c r="J127" s="24">
        <v>30049099</v>
      </c>
      <c r="K127" s="11">
        <v>0.05</v>
      </c>
      <c r="L127" s="21">
        <v>125</v>
      </c>
      <c r="M127" s="22">
        <f t="shared" si="3"/>
        <v>110</v>
      </c>
      <c r="N127" s="23">
        <f t="shared" si="4"/>
        <v>15</v>
      </c>
      <c r="O127" s="26">
        <f t="shared" si="5"/>
        <v>0.12</v>
      </c>
      <c r="P127" s="28"/>
      <c r="Q127" s="28" t="s">
        <v>876</v>
      </c>
      <c r="R127" s="28" t="s">
        <v>890</v>
      </c>
      <c r="S127" s="28"/>
      <c r="T127" s="30">
        <v>1</v>
      </c>
      <c r="U127" s="20" t="s">
        <v>626</v>
      </c>
      <c r="V127" s="28"/>
      <c r="W127" s="28" t="s">
        <v>930</v>
      </c>
      <c r="X127" s="43"/>
      <c r="Y127" s="40" t="s">
        <v>1018</v>
      </c>
      <c r="Z127" s="40" t="s">
        <v>1018</v>
      </c>
      <c r="AA127" s="28"/>
      <c r="AB127" s="28"/>
      <c r="AC127" s="28"/>
      <c r="AD127" s="28"/>
      <c r="AE127" s="28"/>
      <c r="AF127" s="28"/>
      <c r="AG127" s="28"/>
      <c r="AH127" s="28"/>
      <c r="AI127" s="20" t="s">
        <v>1328</v>
      </c>
      <c r="AJ127" s="28"/>
      <c r="AK127" s="28"/>
      <c r="AL127" s="28"/>
      <c r="AM127" s="28"/>
      <c r="AN127" s="37"/>
      <c r="AO127" s="28"/>
      <c r="AP127" s="28"/>
      <c r="AQ127" s="44"/>
      <c r="AR127" s="20" t="s">
        <v>1309</v>
      </c>
      <c r="AS127" s="40" t="s">
        <v>1018</v>
      </c>
      <c r="AT127" s="40" t="s">
        <v>1309</v>
      </c>
      <c r="AU127" s="47"/>
      <c r="AV127" s="28"/>
      <c r="AW127" s="66"/>
      <c r="AX127" s="36"/>
    </row>
    <row r="128" spans="1:50" ht="38.25" customHeight="1">
      <c r="A128" s="7"/>
      <c r="B128" s="8">
        <v>125</v>
      </c>
      <c r="C128" s="20" t="s">
        <v>201</v>
      </c>
      <c r="D128" s="20" t="s">
        <v>201</v>
      </c>
      <c r="E128" s="8" t="s">
        <v>74</v>
      </c>
      <c r="F128" s="8" t="s">
        <v>75</v>
      </c>
      <c r="G128" s="19" t="s">
        <v>73</v>
      </c>
      <c r="H128" s="29" t="s">
        <v>76</v>
      </c>
      <c r="I128" s="28"/>
      <c r="J128" s="24">
        <v>30049099</v>
      </c>
      <c r="K128" s="11">
        <v>0.05</v>
      </c>
      <c r="L128" s="21">
        <v>700</v>
      </c>
      <c r="M128" s="22">
        <f t="shared" si="3"/>
        <v>616</v>
      </c>
      <c r="N128" s="23">
        <f t="shared" si="4"/>
        <v>84</v>
      </c>
      <c r="O128" s="26">
        <f t="shared" si="5"/>
        <v>0.12</v>
      </c>
      <c r="P128" s="28"/>
      <c r="Q128" s="28" t="s">
        <v>859</v>
      </c>
      <c r="R128" s="28" t="s">
        <v>889</v>
      </c>
      <c r="S128" s="28"/>
      <c r="T128" s="30">
        <v>1</v>
      </c>
      <c r="U128" s="20" t="s">
        <v>589</v>
      </c>
      <c r="V128" s="28"/>
      <c r="W128" s="28" t="s">
        <v>929</v>
      </c>
      <c r="X128" s="43"/>
      <c r="Y128" s="40" t="s">
        <v>1019</v>
      </c>
      <c r="Z128" s="40" t="s">
        <v>1019</v>
      </c>
      <c r="AA128" s="28"/>
      <c r="AB128" s="28"/>
      <c r="AC128" s="28"/>
      <c r="AD128" t="s">
        <v>1331</v>
      </c>
      <c r="AE128" s="28"/>
      <c r="AF128" s="28"/>
      <c r="AG128" s="28"/>
      <c r="AH128" s="28"/>
      <c r="AI128" s="20" t="s">
        <v>1324</v>
      </c>
      <c r="AJ128" s="28"/>
      <c r="AK128" s="28"/>
      <c r="AL128" s="28"/>
      <c r="AM128" s="28"/>
      <c r="AN128" s="37"/>
      <c r="AO128" s="28"/>
      <c r="AP128" s="28"/>
      <c r="AQ128" s="44"/>
      <c r="AR128" s="20" t="s">
        <v>1308</v>
      </c>
      <c r="AS128" s="40" t="s">
        <v>1019</v>
      </c>
      <c r="AT128" s="40" t="s">
        <v>1308</v>
      </c>
      <c r="AU128" s="47"/>
      <c r="AV128" s="28"/>
      <c r="AW128" s="66"/>
      <c r="AX128" s="36"/>
    </row>
    <row r="129" spans="1:50" ht="37.5" customHeight="1">
      <c r="A129" s="7"/>
      <c r="B129" s="8">
        <v>126</v>
      </c>
      <c r="C129" s="20" t="s">
        <v>202</v>
      </c>
      <c r="D129" s="20" t="s">
        <v>202</v>
      </c>
      <c r="E129" s="8" t="s">
        <v>74</v>
      </c>
      <c r="F129" s="8" t="s">
        <v>75</v>
      </c>
      <c r="G129" s="19" t="s">
        <v>73</v>
      </c>
      <c r="H129" s="29" t="s">
        <v>76</v>
      </c>
      <c r="I129" s="28"/>
      <c r="J129" s="24">
        <v>30049011</v>
      </c>
      <c r="K129" s="11">
        <v>0.05</v>
      </c>
      <c r="L129" s="21">
        <v>75</v>
      </c>
      <c r="M129" s="22">
        <f t="shared" si="3"/>
        <v>66</v>
      </c>
      <c r="N129" s="23">
        <f t="shared" si="4"/>
        <v>9</v>
      </c>
      <c r="O129" s="26">
        <f t="shared" si="5"/>
        <v>0.12</v>
      </c>
      <c r="P129" s="28"/>
      <c r="Q129" s="28" t="s">
        <v>862</v>
      </c>
      <c r="R129" s="28" t="s">
        <v>889</v>
      </c>
      <c r="S129" s="28"/>
      <c r="T129" s="30">
        <v>1</v>
      </c>
      <c r="U129" s="20" t="s">
        <v>592</v>
      </c>
      <c r="V129" s="28"/>
      <c r="W129" s="28" t="s">
        <v>931</v>
      </c>
      <c r="X129" s="43"/>
      <c r="Y129" s="20" t="s">
        <v>1020</v>
      </c>
      <c r="Z129" s="20" t="s">
        <v>1020</v>
      </c>
      <c r="AA129" s="28"/>
      <c r="AB129" s="28"/>
      <c r="AC129" s="28"/>
      <c r="AD129" s="28"/>
      <c r="AE129" s="28"/>
      <c r="AF129" s="28"/>
      <c r="AG129" s="28"/>
      <c r="AH129" s="28"/>
      <c r="AI129" s="20" t="s">
        <v>1327</v>
      </c>
      <c r="AJ129" s="28"/>
      <c r="AK129" s="28"/>
      <c r="AL129" s="28"/>
      <c r="AM129" s="28"/>
      <c r="AN129" s="35" t="s">
        <v>571</v>
      </c>
      <c r="AO129" s="28"/>
      <c r="AP129" s="28"/>
      <c r="AQ129" s="44"/>
      <c r="AR129" s="20" t="s">
        <v>1309</v>
      </c>
      <c r="AS129" s="20" t="s">
        <v>1020</v>
      </c>
      <c r="AT129" s="40" t="s">
        <v>1309</v>
      </c>
      <c r="AU129" s="47"/>
      <c r="AV129" s="28"/>
      <c r="AW129" s="66"/>
      <c r="AX129" s="36"/>
    </row>
    <row r="130" spans="1:50" ht="37.5" customHeight="1">
      <c r="A130" s="7"/>
      <c r="B130" s="8">
        <v>127</v>
      </c>
      <c r="C130" s="20" t="s">
        <v>203</v>
      </c>
      <c r="D130" s="20" t="s">
        <v>203</v>
      </c>
      <c r="E130" s="8" t="s">
        <v>74</v>
      </c>
      <c r="F130" s="8" t="s">
        <v>75</v>
      </c>
      <c r="G130" s="19" t="s">
        <v>73</v>
      </c>
      <c r="H130" s="29" t="s">
        <v>76</v>
      </c>
      <c r="I130" s="28"/>
      <c r="J130" s="24">
        <v>30049011</v>
      </c>
      <c r="K130" s="11">
        <v>0.05</v>
      </c>
      <c r="L130" s="21">
        <v>131</v>
      </c>
      <c r="M130" s="22">
        <f t="shared" si="3"/>
        <v>115.28</v>
      </c>
      <c r="N130" s="23">
        <f t="shared" si="4"/>
        <v>15.719999999999999</v>
      </c>
      <c r="O130" s="26">
        <f t="shared" si="5"/>
        <v>0.12</v>
      </c>
      <c r="P130" s="28"/>
      <c r="Q130" s="28" t="s">
        <v>862</v>
      </c>
      <c r="R130" s="28" t="s">
        <v>889</v>
      </c>
      <c r="S130" s="28"/>
      <c r="T130" s="30">
        <v>1</v>
      </c>
      <c r="U130" s="20" t="s">
        <v>601</v>
      </c>
      <c r="V130" s="28"/>
      <c r="W130" s="28" t="s">
        <v>931</v>
      </c>
      <c r="X130" s="43"/>
      <c r="Y130" s="20" t="s">
        <v>1020</v>
      </c>
      <c r="Z130" s="20" t="s">
        <v>1020</v>
      </c>
      <c r="AA130" s="28"/>
      <c r="AB130" s="28"/>
      <c r="AC130" s="28"/>
      <c r="AD130" s="28"/>
      <c r="AE130" s="28"/>
      <c r="AF130" s="28"/>
      <c r="AG130" s="28"/>
      <c r="AH130" s="28"/>
      <c r="AI130" s="20" t="s">
        <v>1327</v>
      </c>
      <c r="AJ130" s="28"/>
      <c r="AK130" s="28"/>
      <c r="AL130" s="28"/>
      <c r="AM130" s="28"/>
      <c r="AN130" s="35" t="s">
        <v>572</v>
      </c>
      <c r="AO130" s="28"/>
      <c r="AP130" s="28"/>
      <c r="AQ130" s="44"/>
      <c r="AR130" s="20" t="s">
        <v>1309</v>
      </c>
      <c r="AS130" s="20" t="s">
        <v>1020</v>
      </c>
      <c r="AT130" s="40" t="s">
        <v>1309</v>
      </c>
      <c r="AU130" s="47"/>
      <c r="AV130" s="28"/>
      <c r="AW130" s="66"/>
      <c r="AX130" s="36"/>
    </row>
    <row r="131" spans="1:50" ht="33" customHeight="1">
      <c r="A131" s="7"/>
      <c r="B131" s="8">
        <v>128</v>
      </c>
      <c r="C131" s="20" t="s">
        <v>204</v>
      </c>
      <c r="D131" s="20" t="s">
        <v>204</v>
      </c>
      <c r="E131" s="8" t="s">
        <v>74</v>
      </c>
      <c r="F131" s="8" t="s">
        <v>75</v>
      </c>
      <c r="G131" s="19" t="s">
        <v>73</v>
      </c>
      <c r="H131" s="29" t="s">
        <v>76</v>
      </c>
      <c r="I131" s="28"/>
      <c r="J131" s="24">
        <v>30049011</v>
      </c>
      <c r="K131" s="11">
        <v>0.05</v>
      </c>
      <c r="L131" s="21">
        <v>154.69</v>
      </c>
      <c r="M131" s="22">
        <f t="shared" si="3"/>
        <v>136.12719999999999</v>
      </c>
      <c r="N131" s="23">
        <f t="shared" si="4"/>
        <v>18.56280000000001</v>
      </c>
      <c r="O131" s="26">
        <f t="shared" si="5"/>
        <v>0.12000000000000006</v>
      </c>
      <c r="P131" s="28"/>
      <c r="Q131" s="28" t="s">
        <v>862</v>
      </c>
      <c r="R131" s="28" t="s">
        <v>889</v>
      </c>
      <c r="S131" s="28"/>
      <c r="T131" s="30">
        <v>1</v>
      </c>
      <c r="U131" s="20" t="s">
        <v>601</v>
      </c>
      <c r="V131" s="28"/>
      <c r="W131" s="28" t="s">
        <v>931</v>
      </c>
      <c r="X131" s="43"/>
      <c r="Y131" s="20" t="s">
        <v>1021</v>
      </c>
      <c r="Z131" s="20" t="s">
        <v>1021</v>
      </c>
      <c r="AA131" s="28"/>
      <c r="AB131" s="28"/>
      <c r="AC131" s="28"/>
      <c r="AD131" s="28"/>
      <c r="AE131" s="28"/>
      <c r="AF131" s="28"/>
      <c r="AG131" s="28"/>
      <c r="AH131" s="28"/>
      <c r="AI131" s="20" t="s">
        <v>1327</v>
      </c>
      <c r="AJ131" s="28"/>
      <c r="AK131" s="28"/>
      <c r="AL131" s="28"/>
      <c r="AM131" s="28"/>
      <c r="AN131" s="35" t="s">
        <v>573</v>
      </c>
      <c r="AO131" s="28"/>
      <c r="AP131" s="28"/>
      <c r="AQ131" s="44"/>
      <c r="AR131" s="20" t="s">
        <v>1309</v>
      </c>
      <c r="AS131" s="20" t="s">
        <v>1021</v>
      </c>
      <c r="AT131" s="40" t="s">
        <v>1309</v>
      </c>
      <c r="AU131" s="47"/>
      <c r="AV131" s="28"/>
      <c r="AW131" s="66"/>
      <c r="AX131" s="36"/>
    </row>
    <row r="132" spans="1:50" ht="15.75" customHeight="1">
      <c r="A132" s="7"/>
      <c r="B132" s="8">
        <v>129</v>
      </c>
      <c r="C132" s="20" t="s">
        <v>205</v>
      </c>
      <c r="D132" s="20" t="s">
        <v>205</v>
      </c>
      <c r="E132" s="8" t="s">
        <v>74</v>
      </c>
      <c r="F132" s="8" t="s">
        <v>75</v>
      </c>
      <c r="G132" s="19" t="s">
        <v>73</v>
      </c>
      <c r="H132" s="29" t="s">
        <v>76</v>
      </c>
      <c r="I132" s="28"/>
      <c r="J132" s="24">
        <v>30049011</v>
      </c>
      <c r="K132" s="11">
        <v>0.05</v>
      </c>
      <c r="L132" s="21">
        <v>240</v>
      </c>
      <c r="M132" s="22">
        <f t="shared" si="3"/>
        <v>211.2</v>
      </c>
      <c r="N132" s="23">
        <f t="shared" si="4"/>
        <v>28.800000000000011</v>
      </c>
      <c r="O132" s="26">
        <f t="shared" si="5"/>
        <v>0.12000000000000005</v>
      </c>
      <c r="P132" s="28"/>
      <c r="Q132" s="28" t="s">
        <v>859</v>
      </c>
      <c r="R132" s="28" t="s">
        <v>889</v>
      </c>
      <c r="S132" s="28"/>
      <c r="T132" s="30">
        <v>1</v>
      </c>
      <c r="U132" s="20" t="s">
        <v>627</v>
      </c>
      <c r="V132" s="28"/>
      <c r="W132" s="28" t="s">
        <v>932</v>
      </c>
      <c r="X132" s="43"/>
      <c r="Y132" s="20" t="s">
        <v>1022</v>
      </c>
      <c r="Z132" s="20" t="s">
        <v>1022</v>
      </c>
      <c r="AA132" s="28"/>
      <c r="AB132" s="28"/>
      <c r="AC132" s="28"/>
      <c r="AD132" s="28"/>
      <c r="AE132" s="28"/>
      <c r="AF132" s="28"/>
      <c r="AG132" s="28"/>
      <c r="AH132" s="28"/>
      <c r="AI132" s="20" t="s">
        <v>1327</v>
      </c>
      <c r="AJ132" s="28"/>
      <c r="AK132" s="28"/>
      <c r="AL132" s="28"/>
      <c r="AM132" s="28"/>
      <c r="AN132" s="37"/>
      <c r="AO132" s="28"/>
      <c r="AP132" s="28"/>
      <c r="AQ132" s="44"/>
      <c r="AR132" s="20" t="s">
        <v>1309</v>
      </c>
      <c r="AS132" s="20" t="s">
        <v>1022</v>
      </c>
      <c r="AT132" s="40" t="s">
        <v>1309</v>
      </c>
      <c r="AU132" s="47"/>
      <c r="AV132" s="28"/>
      <c r="AW132" s="66"/>
      <c r="AX132" s="36"/>
    </row>
    <row r="133" spans="1:50" ht="29.25" customHeight="1">
      <c r="A133" s="7"/>
      <c r="B133" s="8">
        <v>130</v>
      </c>
      <c r="C133" s="20" t="s">
        <v>206</v>
      </c>
      <c r="D133" s="20" t="s">
        <v>206</v>
      </c>
      <c r="E133" s="8" t="s">
        <v>74</v>
      </c>
      <c r="F133" s="8" t="s">
        <v>75</v>
      </c>
      <c r="G133" s="19" t="s">
        <v>73</v>
      </c>
      <c r="H133" s="29" t="s">
        <v>76</v>
      </c>
      <c r="I133" s="28"/>
      <c r="J133" s="24">
        <v>30049099</v>
      </c>
      <c r="K133" s="11">
        <v>0.05</v>
      </c>
      <c r="L133" s="21">
        <v>336.56</v>
      </c>
      <c r="M133" s="22">
        <f t="shared" ref="M133:M196" si="6">L133*0.88</f>
        <v>296.1728</v>
      </c>
      <c r="N133" s="23">
        <f t="shared" ref="N133:N196" si="7">L133-M133</f>
        <v>40.387200000000007</v>
      </c>
      <c r="O133" s="26">
        <f t="shared" ref="O133:O196" si="8">N133/L133</f>
        <v>0.12000000000000002</v>
      </c>
      <c r="P133" s="28"/>
      <c r="Q133" s="28" t="s">
        <v>876</v>
      </c>
      <c r="R133" s="28" t="s">
        <v>890</v>
      </c>
      <c r="S133" s="28"/>
      <c r="T133" s="30">
        <v>1</v>
      </c>
      <c r="U133" s="20" t="s">
        <v>613</v>
      </c>
      <c r="V133" s="28"/>
      <c r="W133" s="28" t="s">
        <v>930</v>
      </c>
      <c r="X133" s="43"/>
      <c r="Y133" s="20" t="s">
        <v>1023</v>
      </c>
      <c r="Z133" s="20" t="s">
        <v>1023</v>
      </c>
      <c r="AA133" s="28"/>
      <c r="AB133" s="28"/>
      <c r="AC133" s="28"/>
      <c r="AD133" s="28"/>
      <c r="AE133" s="28"/>
      <c r="AF133" s="28"/>
      <c r="AG133" s="28"/>
      <c r="AH133" s="28"/>
      <c r="AI133" s="20" t="s">
        <v>1322</v>
      </c>
      <c r="AJ133" s="28"/>
      <c r="AK133" s="28"/>
      <c r="AL133" s="28"/>
      <c r="AM133" s="28"/>
      <c r="AN133" s="35" t="s">
        <v>574</v>
      </c>
      <c r="AO133" s="28"/>
      <c r="AP133" s="28"/>
      <c r="AQ133" s="44"/>
      <c r="AR133" s="20" t="s">
        <v>1309</v>
      </c>
      <c r="AS133" s="20" t="s">
        <v>1023</v>
      </c>
      <c r="AT133" s="40" t="s">
        <v>1309</v>
      </c>
      <c r="AU133" s="47"/>
      <c r="AV133" s="28"/>
      <c r="AW133" s="66"/>
      <c r="AX133" s="36"/>
    </row>
    <row r="134" spans="1:50" ht="33" customHeight="1">
      <c r="A134" s="7"/>
      <c r="B134" s="8">
        <v>131</v>
      </c>
      <c r="C134" s="20" t="s">
        <v>207</v>
      </c>
      <c r="D134" s="20" t="s">
        <v>207</v>
      </c>
      <c r="E134" s="8" t="s">
        <v>74</v>
      </c>
      <c r="F134" s="8" t="s">
        <v>75</v>
      </c>
      <c r="G134" s="19" t="s">
        <v>73</v>
      </c>
      <c r="H134" s="29" t="s">
        <v>76</v>
      </c>
      <c r="I134" s="28"/>
      <c r="J134" s="24">
        <v>30049091</v>
      </c>
      <c r="K134" s="11">
        <v>0.05</v>
      </c>
      <c r="L134" s="21">
        <v>56.25</v>
      </c>
      <c r="M134" s="22">
        <f t="shared" si="6"/>
        <v>49.5</v>
      </c>
      <c r="N134" s="23">
        <f t="shared" si="7"/>
        <v>6.75</v>
      </c>
      <c r="O134" s="26">
        <f t="shared" si="8"/>
        <v>0.12</v>
      </c>
      <c r="P134" s="28"/>
      <c r="Q134" s="28" t="s">
        <v>862</v>
      </c>
      <c r="R134" s="28" t="s">
        <v>889</v>
      </c>
      <c r="S134" s="28"/>
      <c r="T134" s="30">
        <v>1</v>
      </c>
      <c r="U134" s="20" t="s">
        <v>624</v>
      </c>
      <c r="V134" s="28"/>
      <c r="W134" s="28" t="s">
        <v>930</v>
      </c>
      <c r="X134" s="43"/>
      <c r="Y134" s="40" t="s">
        <v>1024</v>
      </c>
      <c r="Z134" s="40" t="s">
        <v>1024</v>
      </c>
      <c r="AA134" s="28"/>
      <c r="AB134" s="28"/>
      <c r="AC134" s="28"/>
      <c r="AD134" s="28"/>
      <c r="AE134" s="28"/>
      <c r="AF134" s="28"/>
      <c r="AG134" s="28"/>
      <c r="AH134" s="28"/>
      <c r="AI134" s="20" t="s">
        <v>1324</v>
      </c>
      <c r="AJ134" s="28"/>
      <c r="AK134" s="28"/>
      <c r="AL134" s="28"/>
      <c r="AM134" s="28"/>
      <c r="AN134" s="35" t="s">
        <v>575</v>
      </c>
      <c r="AO134" s="28"/>
      <c r="AP134" s="28"/>
      <c r="AQ134" s="44"/>
      <c r="AR134" s="20" t="s">
        <v>1313</v>
      </c>
      <c r="AS134" s="40" t="s">
        <v>1024</v>
      </c>
      <c r="AT134" s="40" t="s">
        <v>1313</v>
      </c>
      <c r="AU134" s="47"/>
      <c r="AV134" s="28"/>
      <c r="AW134" s="66"/>
      <c r="AX134" s="36"/>
    </row>
    <row r="135" spans="1:50" ht="30.75" customHeight="1">
      <c r="A135" s="7"/>
      <c r="B135" s="8">
        <v>132</v>
      </c>
      <c r="C135" s="20" t="s">
        <v>208</v>
      </c>
      <c r="D135" s="20" t="s">
        <v>208</v>
      </c>
      <c r="E135" s="8" t="s">
        <v>74</v>
      </c>
      <c r="F135" s="8" t="s">
        <v>75</v>
      </c>
      <c r="G135" s="19" t="s">
        <v>73</v>
      </c>
      <c r="H135" s="29" t="s">
        <v>76</v>
      </c>
      <c r="I135" s="28"/>
      <c r="J135" s="24">
        <v>30049039</v>
      </c>
      <c r="K135" s="11">
        <v>0.05</v>
      </c>
      <c r="L135" s="21">
        <v>98.44</v>
      </c>
      <c r="M135" s="22">
        <f t="shared" si="6"/>
        <v>86.627200000000002</v>
      </c>
      <c r="N135" s="23">
        <f t="shared" si="7"/>
        <v>11.812799999999996</v>
      </c>
      <c r="O135" s="26">
        <f t="shared" si="8"/>
        <v>0.11999999999999995</v>
      </c>
      <c r="P135" s="28"/>
      <c r="Q135" s="28" t="s">
        <v>862</v>
      </c>
      <c r="R135" s="28" t="s">
        <v>889</v>
      </c>
      <c r="S135" s="28"/>
      <c r="T135" s="30">
        <v>1</v>
      </c>
      <c r="U135" s="20" t="s">
        <v>592</v>
      </c>
      <c r="V135" s="28"/>
      <c r="W135" s="28" t="s">
        <v>931</v>
      </c>
      <c r="X135" s="43"/>
      <c r="Y135" s="40" t="s">
        <v>1025</v>
      </c>
      <c r="Z135" s="40" t="s">
        <v>1025</v>
      </c>
      <c r="AA135" s="28"/>
      <c r="AB135" s="28"/>
      <c r="AC135" s="28"/>
      <c r="AD135" s="28"/>
      <c r="AE135" s="28"/>
      <c r="AF135" s="28"/>
      <c r="AG135" s="28"/>
      <c r="AH135" s="28"/>
      <c r="AI135" s="20" t="s">
        <v>1324</v>
      </c>
      <c r="AJ135" s="28"/>
      <c r="AK135" s="28"/>
      <c r="AL135" s="28"/>
      <c r="AM135" s="28"/>
      <c r="AN135" s="35" t="s">
        <v>576</v>
      </c>
      <c r="AO135" s="28"/>
      <c r="AP135" s="28"/>
      <c r="AQ135" s="44"/>
      <c r="AR135" s="20" t="s">
        <v>1313</v>
      </c>
      <c r="AS135" s="40" t="s">
        <v>1025</v>
      </c>
      <c r="AT135" s="40" t="s">
        <v>1313</v>
      </c>
      <c r="AU135" s="47"/>
      <c r="AV135" s="28"/>
      <c r="AW135" s="66"/>
      <c r="AX135" s="36"/>
    </row>
    <row r="136" spans="1:50" ht="33.75" customHeight="1">
      <c r="A136" s="7"/>
      <c r="B136" s="8">
        <v>133</v>
      </c>
      <c r="C136" s="20" t="s">
        <v>209</v>
      </c>
      <c r="D136" s="20" t="s">
        <v>209</v>
      </c>
      <c r="E136" s="8" t="s">
        <v>74</v>
      </c>
      <c r="F136" s="8" t="s">
        <v>75</v>
      </c>
      <c r="G136" s="19" t="s">
        <v>73</v>
      </c>
      <c r="H136" s="29" t="s">
        <v>76</v>
      </c>
      <c r="I136" s="28"/>
      <c r="J136" s="24">
        <v>30049027</v>
      </c>
      <c r="K136" s="11">
        <v>0.05</v>
      </c>
      <c r="L136" s="21">
        <v>1312.5</v>
      </c>
      <c r="M136" s="22">
        <f t="shared" si="6"/>
        <v>1155</v>
      </c>
      <c r="N136" s="23">
        <f t="shared" si="7"/>
        <v>157.5</v>
      </c>
      <c r="O136" s="26">
        <f t="shared" si="8"/>
        <v>0.12</v>
      </c>
      <c r="P136" s="28"/>
      <c r="Q136" s="28" t="s">
        <v>865</v>
      </c>
      <c r="R136" s="28" t="s">
        <v>889</v>
      </c>
      <c r="S136" s="28"/>
      <c r="T136" s="30">
        <v>1</v>
      </c>
      <c r="U136" s="20" t="s">
        <v>589</v>
      </c>
      <c r="V136" s="28"/>
      <c r="W136" s="28" t="s">
        <v>929</v>
      </c>
      <c r="X136" s="43"/>
      <c r="Y136" s="20" t="s">
        <v>1026</v>
      </c>
      <c r="Z136" s="20" t="s">
        <v>1026</v>
      </c>
      <c r="AA136" s="28"/>
      <c r="AB136" s="28"/>
      <c r="AC136" s="28"/>
      <c r="AD136" t="s">
        <v>1331</v>
      </c>
      <c r="AE136" s="28"/>
      <c r="AF136" s="28"/>
      <c r="AG136" s="28"/>
      <c r="AH136" s="28"/>
      <c r="AI136" s="20" t="s">
        <v>1327</v>
      </c>
      <c r="AJ136" s="28"/>
      <c r="AK136" s="28"/>
      <c r="AL136" s="28"/>
      <c r="AM136" s="28"/>
      <c r="AN136" s="35" t="s">
        <v>577</v>
      </c>
      <c r="AO136" s="28"/>
      <c r="AP136" s="28"/>
      <c r="AQ136" s="44"/>
      <c r="AR136" s="20" t="s">
        <v>1313</v>
      </c>
      <c r="AS136" s="20" t="s">
        <v>1026</v>
      </c>
      <c r="AT136" s="40" t="s">
        <v>1313</v>
      </c>
      <c r="AU136" s="47"/>
      <c r="AV136" s="28"/>
      <c r="AW136" s="66"/>
      <c r="AX136" s="36"/>
    </row>
    <row r="137" spans="1:50" ht="33" customHeight="1">
      <c r="A137" s="7"/>
      <c r="B137" s="8">
        <v>134</v>
      </c>
      <c r="C137" s="20" t="s">
        <v>210</v>
      </c>
      <c r="D137" s="20" t="s">
        <v>210</v>
      </c>
      <c r="E137" s="8" t="s">
        <v>74</v>
      </c>
      <c r="F137" s="8" t="s">
        <v>75</v>
      </c>
      <c r="G137" s="19" t="s">
        <v>73</v>
      </c>
      <c r="H137" s="29" t="s">
        <v>76</v>
      </c>
      <c r="I137" s="28"/>
      <c r="J137" s="24">
        <v>30049099</v>
      </c>
      <c r="K137" s="11">
        <v>0.05</v>
      </c>
      <c r="L137" s="21">
        <v>1828.13</v>
      </c>
      <c r="M137" s="22">
        <f t="shared" si="6"/>
        <v>1608.7544</v>
      </c>
      <c r="N137" s="23">
        <f t="shared" si="7"/>
        <v>219.37560000000008</v>
      </c>
      <c r="O137" s="26">
        <f t="shared" si="8"/>
        <v>0.12000000000000004</v>
      </c>
      <c r="P137" s="28"/>
      <c r="Q137" s="28" t="s">
        <v>859</v>
      </c>
      <c r="R137" s="28" t="s">
        <v>889</v>
      </c>
      <c r="S137" s="28"/>
      <c r="T137" s="30">
        <v>1</v>
      </c>
      <c r="U137" s="20" t="s">
        <v>589</v>
      </c>
      <c r="V137" s="28"/>
      <c r="W137" s="28" t="s">
        <v>929</v>
      </c>
      <c r="X137" s="43"/>
      <c r="Y137" s="20" t="s">
        <v>1027</v>
      </c>
      <c r="Z137" s="20" t="s">
        <v>1027</v>
      </c>
      <c r="AA137" s="28"/>
      <c r="AB137" s="28"/>
      <c r="AC137" s="28"/>
      <c r="AD137" t="s">
        <v>1331</v>
      </c>
      <c r="AE137" s="28"/>
      <c r="AF137" s="28"/>
      <c r="AG137" s="28"/>
      <c r="AH137" s="28"/>
      <c r="AI137" s="20" t="s">
        <v>1327</v>
      </c>
      <c r="AJ137" s="28"/>
      <c r="AK137" s="28"/>
      <c r="AL137" s="28"/>
      <c r="AM137" s="28"/>
      <c r="AN137" s="35" t="s">
        <v>578</v>
      </c>
      <c r="AO137" s="28"/>
      <c r="AP137" s="28"/>
      <c r="AQ137" s="44"/>
      <c r="AR137" s="20" t="s">
        <v>1313</v>
      </c>
      <c r="AS137" s="20" t="s">
        <v>1027</v>
      </c>
      <c r="AT137" s="40" t="s">
        <v>1313</v>
      </c>
      <c r="AU137" s="47"/>
      <c r="AV137" s="28"/>
      <c r="AW137" s="66"/>
      <c r="AX137" s="36"/>
    </row>
    <row r="138" spans="1:50" ht="15.75" customHeight="1">
      <c r="A138" s="7"/>
      <c r="B138" s="8">
        <v>135</v>
      </c>
      <c r="C138" s="20" t="s">
        <v>211</v>
      </c>
      <c r="D138" s="20" t="s">
        <v>211</v>
      </c>
      <c r="E138" s="8" t="s">
        <v>74</v>
      </c>
      <c r="F138" s="8" t="s">
        <v>75</v>
      </c>
      <c r="G138" s="19" t="s">
        <v>73</v>
      </c>
      <c r="H138" s="29" t="s">
        <v>76</v>
      </c>
      <c r="I138" s="28"/>
      <c r="J138" s="24">
        <v>30049099</v>
      </c>
      <c r="K138" s="11">
        <v>0.05</v>
      </c>
      <c r="L138" s="21">
        <v>1300</v>
      </c>
      <c r="M138" s="22">
        <f t="shared" si="6"/>
        <v>1144</v>
      </c>
      <c r="N138" s="23">
        <f t="shared" si="7"/>
        <v>156</v>
      </c>
      <c r="O138" s="26">
        <f t="shared" si="8"/>
        <v>0.12</v>
      </c>
      <c r="P138" s="28"/>
      <c r="Q138" s="28" t="s">
        <v>859</v>
      </c>
      <c r="R138" s="28" t="s">
        <v>889</v>
      </c>
      <c r="S138" s="28"/>
      <c r="T138" s="30">
        <v>1</v>
      </c>
      <c r="U138" s="20" t="s">
        <v>589</v>
      </c>
      <c r="V138" s="28"/>
      <c r="W138" s="28" t="s">
        <v>929</v>
      </c>
      <c r="X138" s="43"/>
      <c r="Y138" s="20" t="s">
        <v>1262</v>
      </c>
      <c r="Z138" s="20" t="s">
        <v>1262</v>
      </c>
      <c r="AA138" s="28"/>
      <c r="AB138" s="28"/>
      <c r="AC138" s="28"/>
      <c r="AD138" t="s">
        <v>1331</v>
      </c>
      <c r="AE138" s="28"/>
      <c r="AF138" s="28"/>
      <c r="AG138" s="28"/>
      <c r="AH138" s="28"/>
      <c r="AI138" s="20" t="s">
        <v>1324</v>
      </c>
      <c r="AJ138" s="28"/>
      <c r="AK138" s="28"/>
      <c r="AL138" s="28"/>
      <c r="AM138" s="28"/>
      <c r="AN138" s="37"/>
      <c r="AO138" s="28"/>
      <c r="AP138" s="28"/>
      <c r="AQ138" s="44"/>
      <c r="AR138" s="20" t="s">
        <v>1313</v>
      </c>
      <c r="AS138" s="20" t="s">
        <v>1262</v>
      </c>
      <c r="AT138" s="40" t="s">
        <v>1313</v>
      </c>
      <c r="AU138" s="47"/>
      <c r="AV138" s="28"/>
      <c r="AW138" s="66"/>
      <c r="AX138" s="36"/>
    </row>
    <row r="139" spans="1:50" ht="32.25" customHeight="1">
      <c r="A139" s="7"/>
      <c r="B139" s="8">
        <v>136</v>
      </c>
      <c r="C139" s="20" t="s">
        <v>212</v>
      </c>
      <c r="D139" s="20" t="s">
        <v>212</v>
      </c>
      <c r="E139" s="8" t="s">
        <v>74</v>
      </c>
      <c r="F139" s="8" t="s">
        <v>75</v>
      </c>
      <c r="G139" s="19" t="s">
        <v>73</v>
      </c>
      <c r="H139" s="29" t="s">
        <v>76</v>
      </c>
      <c r="I139" s="28"/>
      <c r="J139" s="24">
        <v>30049039</v>
      </c>
      <c r="K139" s="11">
        <v>0.05</v>
      </c>
      <c r="L139" s="21">
        <v>79.69</v>
      </c>
      <c r="M139" s="22">
        <f t="shared" si="6"/>
        <v>70.127200000000002</v>
      </c>
      <c r="N139" s="23">
        <f t="shared" si="7"/>
        <v>9.5627999999999957</v>
      </c>
      <c r="O139" s="26">
        <f t="shared" si="8"/>
        <v>0.11999999999999995</v>
      </c>
      <c r="P139" s="28"/>
      <c r="Q139" s="28" t="s">
        <v>862</v>
      </c>
      <c r="R139" s="28" t="s">
        <v>889</v>
      </c>
      <c r="S139" s="28"/>
      <c r="T139" s="30">
        <v>1</v>
      </c>
      <c r="U139" s="20" t="s">
        <v>624</v>
      </c>
      <c r="V139" s="28"/>
      <c r="W139" s="28" t="s">
        <v>931</v>
      </c>
      <c r="X139" s="43"/>
      <c r="Y139" s="40" t="s">
        <v>1028</v>
      </c>
      <c r="Z139" s="40" t="s">
        <v>1028</v>
      </c>
      <c r="AA139" s="28"/>
      <c r="AB139" s="28"/>
      <c r="AC139" s="28"/>
      <c r="AD139" s="28"/>
      <c r="AE139" s="28"/>
      <c r="AF139" s="28"/>
      <c r="AG139" s="28"/>
      <c r="AH139" s="28"/>
      <c r="AI139" s="20" t="s">
        <v>1324</v>
      </c>
      <c r="AJ139" s="28"/>
      <c r="AK139" s="28"/>
      <c r="AL139" s="28"/>
      <c r="AM139" s="28"/>
      <c r="AN139" s="35" t="s">
        <v>579</v>
      </c>
      <c r="AO139" s="28"/>
      <c r="AP139" s="28"/>
      <c r="AQ139" s="44"/>
      <c r="AR139" s="20" t="s">
        <v>1313</v>
      </c>
      <c r="AS139" s="40" t="s">
        <v>1028</v>
      </c>
      <c r="AT139" s="40" t="s">
        <v>1313</v>
      </c>
      <c r="AU139" s="47"/>
      <c r="AV139" s="28"/>
      <c r="AW139" s="66"/>
      <c r="AX139" s="36"/>
    </row>
    <row r="140" spans="1:50" ht="33" customHeight="1">
      <c r="A140" s="7"/>
      <c r="B140" s="8">
        <v>137</v>
      </c>
      <c r="C140" s="20" t="s">
        <v>213</v>
      </c>
      <c r="D140" s="20" t="s">
        <v>213</v>
      </c>
      <c r="E140" s="8" t="s">
        <v>74</v>
      </c>
      <c r="F140" s="8" t="s">
        <v>75</v>
      </c>
      <c r="G140" s="19" t="s">
        <v>73</v>
      </c>
      <c r="H140" s="29" t="s">
        <v>76</v>
      </c>
      <c r="I140" s="28"/>
      <c r="J140" s="24">
        <v>30049039</v>
      </c>
      <c r="K140" s="11">
        <v>0.05</v>
      </c>
      <c r="L140" s="21">
        <v>178.13</v>
      </c>
      <c r="M140" s="22">
        <f t="shared" si="6"/>
        <v>156.7544</v>
      </c>
      <c r="N140" s="23">
        <f t="shared" si="7"/>
        <v>21.375599999999991</v>
      </c>
      <c r="O140" s="26">
        <f t="shared" si="8"/>
        <v>0.11999999999999995</v>
      </c>
      <c r="P140" s="28"/>
      <c r="Q140" s="28" t="s">
        <v>862</v>
      </c>
      <c r="R140" s="28" t="s">
        <v>889</v>
      </c>
      <c r="S140" s="28"/>
      <c r="T140" s="30">
        <v>1</v>
      </c>
      <c r="U140" s="20" t="s">
        <v>592</v>
      </c>
      <c r="V140" s="28"/>
      <c r="W140" s="28" t="s">
        <v>931</v>
      </c>
      <c r="X140" s="43"/>
      <c r="Y140" s="40" t="s">
        <v>1029</v>
      </c>
      <c r="Z140" s="40" t="s">
        <v>1029</v>
      </c>
      <c r="AA140" s="28"/>
      <c r="AB140" s="28"/>
      <c r="AC140" s="28"/>
      <c r="AD140" s="28"/>
      <c r="AE140" s="28"/>
      <c r="AF140" s="28"/>
      <c r="AG140" s="28"/>
      <c r="AH140" s="28"/>
      <c r="AI140" s="20" t="s">
        <v>1327</v>
      </c>
      <c r="AJ140" s="28"/>
      <c r="AK140" s="28"/>
      <c r="AL140" s="28"/>
      <c r="AM140" s="28"/>
      <c r="AN140" s="35" t="s">
        <v>580</v>
      </c>
      <c r="AO140" s="28"/>
      <c r="AP140" s="28"/>
      <c r="AQ140" s="44"/>
      <c r="AR140" s="20" t="s">
        <v>1309</v>
      </c>
      <c r="AS140" s="40" t="s">
        <v>1029</v>
      </c>
      <c r="AT140" s="40" t="s">
        <v>1309</v>
      </c>
      <c r="AU140" s="47"/>
      <c r="AV140" s="28"/>
      <c r="AW140" s="66"/>
      <c r="AX140" s="36"/>
    </row>
    <row r="141" spans="1:50" ht="36" customHeight="1">
      <c r="A141" s="7"/>
      <c r="B141" s="8">
        <v>138</v>
      </c>
      <c r="C141" s="20" t="s">
        <v>214</v>
      </c>
      <c r="D141" s="20" t="s">
        <v>214</v>
      </c>
      <c r="E141" s="8" t="s">
        <v>74</v>
      </c>
      <c r="F141" s="8" t="s">
        <v>75</v>
      </c>
      <c r="G141" s="19" t="s">
        <v>73</v>
      </c>
      <c r="H141" s="29" t="s">
        <v>76</v>
      </c>
      <c r="I141" s="28"/>
      <c r="J141" s="24">
        <v>30049099</v>
      </c>
      <c r="K141" s="11">
        <v>0.05</v>
      </c>
      <c r="L141" s="21">
        <v>64.69</v>
      </c>
      <c r="M141" s="22">
        <f t="shared" si="6"/>
        <v>56.927199999999999</v>
      </c>
      <c r="N141" s="23">
        <f t="shared" si="7"/>
        <v>7.7627999999999986</v>
      </c>
      <c r="O141" s="26">
        <f t="shared" si="8"/>
        <v>0.11999999999999998</v>
      </c>
      <c r="P141" s="28"/>
      <c r="Q141" s="28" t="s">
        <v>875</v>
      </c>
      <c r="R141" s="28" t="s">
        <v>889</v>
      </c>
      <c r="S141" s="28"/>
      <c r="T141" s="30">
        <v>1</v>
      </c>
      <c r="U141" s="20" t="s">
        <v>625</v>
      </c>
      <c r="V141" s="28"/>
      <c r="W141" s="28" t="s">
        <v>930</v>
      </c>
      <c r="X141" s="43"/>
      <c r="Y141" s="40" t="s">
        <v>1030</v>
      </c>
      <c r="Z141" s="40" t="s">
        <v>1030</v>
      </c>
      <c r="AA141" s="28"/>
      <c r="AB141" s="28"/>
      <c r="AC141" s="28"/>
      <c r="AD141" s="28"/>
      <c r="AE141" s="28"/>
      <c r="AF141" s="28"/>
      <c r="AG141" s="28"/>
      <c r="AH141" s="28"/>
      <c r="AI141" s="20" t="s">
        <v>1324</v>
      </c>
      <c r="AJ141" s="28"/>
      <c r="AK141" s="28"/>
      <c r="AL141" s="28"/>
      <c r="AM141" s="28"/>
      <c r="AN141" s="35" t="s">
        <v>581</v>
      </c>
      <c r="AO141" s="28"/>
      <c r="AP141" s="28"/>
      <c r="AQ141" s="44"/>
      <c r="AR141" s="20" t="s">
        <v>1313</v>
      </c>
      <c r="AS141" s="40" t="s">
        <v>1030</v>
      </c>
      <c r="AT141" s="40" t="s">
        <v>1313</v>
      </c>
      <c r="AU141" s="47"/>
      <c r="AV141" s="28"/>
      <c r="AW141" s="66"/>
      <c r="AX141" s="36"/>
    </row>
    <row r="142" spans="1:50" ht="36.75" customHeight="1">
      <c r="A142" s="7"/>
      <c r="B142" s="8">
        <v>139</v>
      </c>
      <c r="C142" s="20" t="s">
        <v>215</v>
      </c>
      <c r="D142" s="20" t="s">
        <v>215</v>
      </c>
      <c r="E142" s="8" t="s">
        <v>74</v>
      </c>
      <c r="F142" s="8" t="s">
        <v>75</v>
      </c>
      <c r="G142" s="19" t="s">
        <v>73</v>
      </c>
      <c r="H142" s="29" t="s">
        <v>76</v>
      </c>
      <c r="I142" s="28"/>
      <c r="J142" s="24">
        <v>30049099</v>
      </c>
      <c r="K142" s="11">
        <v>0.05</v>
      </c>
      <c r="L142" s="21">
        <v>67</v>
      </c>
      <c r="M142" s="22">
        <f t="shared" si="6"/>
        <v>58.96</v>
      </c>
      <c r="N142" s="23">
        <f t="shared" si="7"/>
        <v>8.0399999999999991</v>
      </c>
      <c r="O142" s="26">
        <f t="shared" si="8"/>
        <v>0.11999999999999998</v>
      </c>
      <c r="P142" s="28"/>
      <c r="Q142" s="28" t="s">
        <v>862</v>
      </c>
      <c r="R142" s="28" t="s">
        <v>889</v>
      </c>
      <c r="S142" s="28"/>
      <c r="T142" s="30">
        <v>1</v>
      </c>
      <c r="U142" s="20" t="s">
        <v>624</v>
      </c>
      <c r="V142" s="28"/>
      <c r="W142" s="28" t="s">
        <v>931</v>
      </c>
      <c r="X142" s="43"/>
      <c r="Y142" s="40" t="s">
        <v>1031</v>
      </c>
      <c r="Z142" s="40" t="s">
        <v>1031</v>
      </c>
      <c r="AA142" s="28"/>
      <c r="AB142" s="28"/>
      <c r="AC142" s="28"/>
      <c r="AD142" s="28"/>
      <c r="AE142" s="28"/>
      <c r="AF142" s="28"/>
      <c r="AG142" s="28"/>
      <c r="AH142" s="28"/>
      <c r="AI142" s="20" t="s">
        <v>1324</v>
      </c>
      <c r="AJ142" s="28"/>
      <c r="AK142" s="28"/>
      <c r="AL142" s="28"/>
      <c r="AM142" s="28"/>
      <c r="AN142" s="37"/>
      <c r="AO142" s="28"/>
      <c r="AP142" s="28"/>
      <c r="AQ142" s="44"/>
      <c r="AR142" s="20" t="s">
        <v>1313</v>
      </c>
      <c r="AS142" s="40" t="s">
        <v>1031</v>
      </c>
      <c r="AT142" s="40" t="s">
        <v>1313</v>
      </c>
      <c r="AU142" s="47"/>
      <c r="AV142" s="28"/>
      <c r="AW142" s="66"/>
      <c r="AX142" s="36"/>
    </row>
    <row r="143" spans="1:50" ht="28.5" customHeight="1">
      <c r="A143" s="7"/>
      <c r="B143" s="8">
        <v>140</v>
      </c>
      <c r="C143" s="20" t="s">
        <v>216</v>
      </c>
      <c r="D143" s="20" t="s">
        <v>216</v>
      </c>
      <c r="E143" s="8" t="s">
        <v>74</v>
      </c>
      <c r="F143" s="8" t="s">
        <v>75</v>
      </c>
      <c r="G143" s="19" t="s">
        <v>73</v>
      </c>
      <c r="H143" s="29" t="s">
        <v>76</v>
      </c>
      <c r="I143" s="28"/>
      <c r="J143" s="24">
        <v>30049039</v>
      </c>
      <c r="K143" s="11">
        <v>0.05</v>
      </c>
      <c r="L143" s="21">
        <v>111</v>
      </c>
      <c r="M143" s="22">
        <f t="shared" si="6"/>
        <v>97.68</v>
      </c>
      <c r="N143" s="23">
        <f t="shared" si="7"/>
        <v>13.319999999999993</v>
      </c>
      <c r="O143" s="26">
        <f t="shared" si="8"/>
        <v>0.11999999999999994</v>
      </c>
      <c r="P143" s="28"/>
      <c r="Q143" s="28" t="s">
        <v>862</v>
      </c>
      <c r="R143" s="28" t="s">
        <v>889</v>
      </c>
      <c r="S143" s="28"/>
      <c r="T143" s="30">
        <v>1</v>
      </c>
      <c r="U143" s="20" t="s">
        <v>592</v>
      </c>
      <c r="V143" s="28"/>
      <c r="W143" s="28" t="s">
        <v>931</v>
      </c>
      <c r="X143" s="43"/>
      <c r="Y143" s="40" t="s">
        <v>1031</v>
      </c>
      <c r="Z143" s="40" t="s">
        <v>1031</v>
      </c>
      <c r="AA143" s="28"/>
      <c r="AB143" s="28"/>
      <c r="AC143" s="28"/>
      <c r="AD143" s="28"/>
      <c r="AE143" s="28"/>
      <c r="AF143" s="28"/>
      <c r="AG143" s="28"/>
      <c r="AH143" s="28"/>
      <c r="AI143" s="20" t="s">
        <v>1324</v>
      </c>
      <c r="AJ143" s="28"/>
      <c r="AK143" s="28"/>
      <c r="AL143" s="28"/>
      <c r="AM143" s="28"/>
      <c r="AN143" s="35" t="s">
        <v>582</v>
      </c>
      <c r="AO143" s="28"/>
      <c r="AP143" s="28"/>
      <c r="AQ143" s="44"/>
      <c r="AR143" s="20" t="s">
        <v>1313</v>
      </c>
      <c r="AS143" s="40" t="s">
        <v>1031</v>
      </c>
      <c r="AT143" s="40" t="s">
        <v>1313</v>
      </c>
      <c r="AU143" s="47"/>
      <c r="AV143" s="28"/>
      <c r="AW143" s="66"/>
      <c r="AX143" s="36"/>
    </row>
    <row r="144" spans="1:50" ht="25.5" customHeight="1">
      <c r="A144" s="7"/>
      <c r="B144" s="8">
        <v>141</v>
      </c>
      <c r="C144" s="20" t="s">
        <v>217</v>
      </c>
      <c r="D144" s="20" t="s">
        <v>217</v>
      </c>
      <c r="E144" s="8" t="s">
        <v>74</v>
      </c>
      <c r="F144" s="8" t="s">
        <v>75</v>
      </c>
      <c r="G144" s="19" t="s">
        <v>73</v>
      </c>
      <c r="H144" s="29" t="s">
        <v>76</v>
      </c>
      <c r="I144" s="28"/>
      <c r="J144" s="24">
        <v>30049031</v>
      </c>
      <c r="K144" s="11">
        <v>0.05</v>
      </c>
      <c r="L144" s="21">
        <v>63</v>
      </c>
      <c r="M144" s="22">
        <f t="shared" si="6"/>
        <v>55.44</v>
      </c>
      <c r="N144" s="23">
        <f t="shared" si="7"/>
        <v>7.5600000000000023</v>
      </c>
      <c r="O144" s="26">
        <f t="shared" si="8"/>
        <v>0.12000000000000004</v>
      </c>
      <c r="P144" s="28"/>
      <c r="Q144" s="28" t="s">
        <v>862</v>
      </c>
      <c r="R144" s="28" t="s">
        <v>889</v>
      </c>
      <c r="S144" s="28"/>
      <c r="T144" s="30">
        <v>1</v>
      </c>
      <c r="U144" s="20" t="s">
        <v>624</v>
      </c>
      <c r="V144" s="28"/>
      <c r="W144" s="28" t="s">
        <v>931</v>
      </c>
      <c r="X144" s="43"/>
      <c r="Y144" s="20" t="s">
        <v>1032</v>
      </c>
      <c r="Z144" s="20" t="s">
        <v>1032</v>
      </c>
      <c r="AA144" s="28"/>
      <c r="AB144" s="28"/>
      <c r="AC144" s="28"/>
      <c r="AD144" s="28"/>
      <c r="AE144" s="28"/>
      <c r="AF144" s="28"/>
      <c r="AG144" s="28"/>
      <c r="AH144" s="28"/>
      <c r="AI144" s="20" t="s">
        <v>1324</v>
      </c>
      <c r="AJ144" s="28"/>
      <c r="AK144" s="28"/>
      <c r="AL144" s="28"/>
      <c r="AM144" s="28"/>
      <c r="AN144" s="37"/>
      <c r="AO144" s="28"/>
      <c r="AP144" s="28"/>
      <c r="AQ144" s="44"/>
      <c r="AR144" s="20" t="s">
        <v>1313</v>
      </c>
      <c r="AS144" s="20" t="s">
        <v>1032</v>
      </c>
      <c r="AT144" s="40" t="s">
        <v>1313</v>
      </c>
      <c r="AU144" s="47"/>
      <c r="AV144" s="28"/>
      <c r="AW144" s="66"/>
      <c r="AX144" s="36"/>
    </row>
    <row r="145" spans="1:50" ht="39" customHeight="1">
      <c r="A145" s="7"/>
      <c r="B145" s="8">
        <v>142</v>
      </c>
      <c r="C145" s="20" t="s">
        <v>218</v>
      </c>
      <c r="D145" s="20" t="s">
        <v>218</v>
      </c>
      <c r="E145" s="8" t="s">
        <v>74</v>
      </c>
      <c r="F145" s="8" t="s">
        <v>75</v>
      </c>
      <c r="G145" s="19" t="s">
        <v>73</v>
      </c>
      <c r="H145" s="29" t="s">
        <v>76</v>
      </c>
      <c r="I145" s="28"/>
      <c r="J145" s="24">
        <v>30049099</v>
      </c>
      <c r="K145" s="11">
        <v>0.05</v>
      </c>
      <c r="L145" s="21">
        <v>116.25</v>
      </c>
      <c r="M145" s="22">
        <f t="shared" si="6"/>
        <v>102.3</v>
      </c>
      <c r="N145" s="23">
        <f t="shared" si="7"/>
        <v>13.950000000000003</v>
      </c>
      <c r="O145" s="26">
        <f t="shared" si="8"/>
        <v>0.12000000000000002</v>
      </c>
      <c r="P145" s="28"/>
      <c r="Q145" s="28" t="s">
        <v>862</v>
      </c>
      <c r="R145" s="28" t="s">
        <v>889</v>
      </c>
      <c r="S145" s="28"/>
      <c r="T145" s="30">
        <v>1</v>
      </c>
      <c r="U145" s="20" t="s">
        <v>592</v>
      </c>
      <c r="V145" s="28"/>
      <c r="W145" s="28" t="s">
        <v>931</v>
      </c>
      <c r="X145" s="43"/>
      <c r="Y145" s="40" t="s">
        <v>1033</v>
      </c>
      <c r="Z145" s="40" t="s">
        <v>1033</v>
      </c>
      <c r="AA145" s="28"/>
      <c r="AB145" s="28"/>
      <c r="AC145" s="28"/>
      <c r="AD145" s="28"/>
      <c r="AE145" s="28"/>
      <c r="AF145" s="28"/>
      <c r="AG145" s="28"/>
      <c r="AH145" s="28"/>
      <c r="AI145" s="20" t="s">
        <v>1324</v>
      </c>
      <c r="AJ145" s="28"/>
      <c r="AK145" s="28"/>
      <c r="AL145" s="28"/>
      <c r="AM145" s="28"/>
      <c r="AN145" s="35" t="s">
        <v>583</v>
      </c>
      <c r="AO145" s="28"/>
      <c r="AP145" s="28"/>
      <c r="AQ145" s="44"/>
      <c r="AR145" s="20" t="s">
        <v>1313</v>
      </c>
      <c r="AS145" s="40" t="s">
        <v>1033</v>
      </c>
      <c r="AT145" s="40" t="s">
        <v>1313</v>
      </c>
      <c r="AU145" s="47"/>
      <c r="AV145" s="28"/>
      <c r="AW145" s="66"/>
      <c r="AX145" s="36"/>
    </row>
    <row r="146" spans="1:50" ht="29.25" customHeight="1">
      <c r="A146" s="7"/>
      <c r="B146" s="8">
        <v>143</v>
      </c>
      <c r="C146" s="20" t="s">
        <v>219</v>
      </c>
      <c r="D146" s="20" t="s">
        <v>219</v>
      </c>
      <c r="E146" s="8" t="s">
        <v>74</v>
      </c>
      <c r="F146" s="8" t="s">
        <v>75</v>
      </c>
      <c r="G146" s="19" t="s">
        <v>73</v>
      </c>
      <c r="H146" s="29" t="s">
        <v>76</v>
      </c>
      <c r="I146" s="28"/>
      <c r="J146" s="24">
        <v>30049099</v>
      </c>
      <c r="K146" s="11">
        <v>0.05</v>
      </c>
      <c r="L146" s="21">
        <v>82.5</v>
      </c>
      <c r="M146" s="22">
        <f t="shared" si="6"/>
        <v>72.599999999999994</v>
      </c>
      <c r="N146" s="23">
        <f t="shared" si="7"/>
        <v>9.9000000000000057</v>
      </c>
      <c r="O146" s="26">
        <f t="shared" si="8"/>
        <v>0.12000000000000006</v>
      </c>
      <c r="P146" s="28"/>
      <c r="Q146" s="28" t="s">
        <v>858</v>
      </c>
      <c r="R146" s="28" t="s">
        <v>890</v>
      </c>
      <c r="S146" s="28"/>
      <c r="T146" s="30">
        <v>1</v>
      </c>
      <c r="U146" s="20" t="s">
        <v>608</v>
      </c>
      <c r="V146" s="28"/>
      <c r="W146" s="28" t="s">
        <v>928</v>
      </c>
      <c r="X146" s="43"/>
      <c r="Y146" s="40" t="s">
        <v>1034</v>
      </c>
      <c r="Z146" s="40" t="s">
        <v>1034</v>
      </c>
      <c r="AA146" s="28"/>
      <c r="AB146" s="28"/>
      <c r="AC146" s="28"/>
      <c r="AD146" s="28"/>
      <c r="AE146" s="28"/>
      <c r="AF146" s="28"/>
      <c r="AG146" s="28"/>
      <c r="AH146" s="28"/>
      <c r="AI146" s="20" t="s">
        <v>1322</v>
      </c>
      <c r="AJ146" s="28"/>
      <c r="AK146" s="28"/>
      <c r="AL146" s="28"/>
      <c r="AM146" s="28"/>
      <c r="AN146" s="35" t="s">
        <v>584</v>
      </c>
      <c r="AO146" s="28"/>
      <c r="AP146" s="28"/>
      <c r="AQ146" s="44"/>
      <c r="AR146" s="20" t="s">
        <v>1309</v>
      </c>
      <c r="AS146" s="40" t="s">
        <v>1034</v>
      </c>
      <c r="AT146" s="40" t="s">
        <v>1309</v>
      </c>
      <c r="AU146" s="47"/>
      <c r="AV146" s="28"/>
      <c r="AW146" s="66"/>
      <c r="AX146" s="36"/>
    </row>
    <row r="147" spans="1:50" ht="36" customHeight="1">
      <c r="A147" s="7"/>
      <c r="B147" s="8">
        <v>144</v>
      </c>
      <c r="C147" s="20" t="s">
        <v>220</v>
      </c>
      <c r="D147" s="20" t="s">
        <v>220</v>
      </c>
      <c r="E147" s="8" t="s">
        <v>74</v>
      </c>
      <c r="F147" s="8" t="s">
        <v>75</v>
      </c>
      <c r="G147" s="19" t="s">
        <v>73</v>
      </c>
      <c r="H147" s="29" t="s">
        <v>76</v>
      </c>
      <c r="I147" s="28"/>
      <c r="J147" s="24">
        <v>30049099</v>
      </c>
      <c r="K147" s="11">
        <v>0.05</v>
      </c>
      <c r="L147" s="21">
        <v>3656.25</v>
      </c>
      <c r="M147" s="22">
        <f t="shared" si="6"/>
        <v>3217.5</v>
      </c>
      <c r="N147" s="23">
        <f t="shared" si="7"/>
        <v>438.75</v>
      </c>
      <c r="O147" s="26">
        <f t="shared" si="8"/>
        <v>0.12</v>
      </c>
      <c r="P147" s="28"/>
      <c r="Q147" s="28" t="s">
        <v>859</v>
      </c>
      <c r="R147" s="28" t="s">
        <v>889</v>
      </c>
      <c r="S147" s="28"/>
      <c r="T147" s="30">
        <v>1</v>
      </c>
      <c r="U147" s="20" t="s">
        <v>589</v>
      </c>
      <c r="V147" s="28"/>
      <c r="W147" s="28" t="s">
        <v>929</v>
      </c>
      <c r="X147" s="43"/>
      <c r="Y147" s="20" t="s">
        <v>1035</v>
      </c>
      <c r="Z147" s="20" t="s">
        <v>1035</v>
      </c>
      <c r="AA147" s="28"/>
      <c r="AB147" s="28"/>
      <c r="AC147" s="28"/>
      <c r="AD147" t="s">
        <v>1331</v>
      </c>
      <c r="AE147" s="28"/>
      <c r="AF147" s="28"/>
      <c r="AG147" s="28"/>
      <c r="AH147" s="28"/>
      <c r="AI147" s="20" t="s">
        <v>1327</v>
      </c>
      <c r="AJ147" s="28"/>
      <c r="AK147" s="28"/>
      <c r="AL147" s="28"/>
      <c r="AM147" s="28"/>
      <c r="AN147" s="35" t="s">
        <v>585</v>
      </c>
      <c r="AO147" s="28"/>
      <c r="AP147" s="28"/>
      <c r="AQ147" s="44"/>
      <c r="AR147" s="20" t="s">
        <v>1309</v>
      </c>
      <c r="AS147" s="20" t="s">
        <v>1035</v>
      </c>
      <c r="AT147" s="40" t="s">
        <v>1309</v>
      </c>
      <c r="AU147" s="47"/>
      <c r="AV147" s="28"/>
      <c r="AW147" s="66"/>
      <c r="AX147" s="36"/>
    </row>
    <row r="148" spans="1:50" ht="29.25" customHeight="1">
      <c r="A148" s="7"/>
      <c r="B148" s="8">
        <v>145</v>
      </c>
      <c r="C148" s="20" t="s">
        <v>221</v>
      </c>
      <c r="D148" s="20" t="s">
        <v>221</v>
      </c>
      <c r="E148" s="8" t="s">
        <v>74</v>
      </c>
      <c r="F148" s="8" t="s">
        <v>75</v>
      </c>
      <c r="G148" s="19" t="s">
        <v>73</v>
      </c>
      <c r="H148" s="29" t="s">
        <v>76</v>
      </c>
      <c r="I148" s="28"/>
      <c r="J148" s="24">
        <v>30049099</v>
      </c>
      <c r="K148" s="11">
        <v>0.05</v>
      </c>
      <c r="L148" s="21">
        <v>1387</v>
      </c>
      <c r="M148" s="22">
        <f t="shared" si="6"/>
        <v>1220.56</v>
      </c>
      <c r="N148" s="23">
        <f t="shared" si="7"/>
        <v>166.44000000000005</v>
      </c>
      <c r="O148" s="26">
        <f t="shared" si="8"/>
        <v>0.12000000000000004</v>
      </c>
      <c r="P148" s="28"/>
      <c r="Q148" s="28" t="s">
        <v>859</v>
      </c>
      <c r="R148" s="28" t="s">
        <v>889</v>
      </c>
      <c r="S148" s="28"/>
      <c r="T148" s="30">
        <v>1</v>
      </c>
      <c r="U148" s="20" t="s">
        <v>589</v>
      </c>
      <c r="V148" s="28"/>
      <c r="W148" s="28" t="s">
        <v>929</v>
      </c>
      <c r="X148" s="43"/>
      <c r="Y148" s="20" t="s">
        <v>1036</v>
      </c>
      <c r="Z148" s="20" t="s">
        <v>1036</v>
      </c>
      <c r="AA148" s="28"/>
      <c r="AB148" s="28"/>
      <c r="AC148" s="28"/>
      <c r="AD148" t="s">
        <v>1331</v>
      </c>
      <c r="AE148" s="28"/>
      <c r="AF148" s="28"/>
      <c r="AG148" s="28"/>
      <c r="AH148" s="28"/>
      <c r="AI148" s="20" t="s">
        <v>1327</v>
      </c>
      <c r="AJ148" s="28"/>
      <c r="AK148" s="28"/>
      <c r="AL148" s="28"/>
      <c r="AM148" s="28"/>
      <c r="AN148" s="37"/>
      <c r="AO148" s="28"/>
      <c r="AP148" s="28"/>
      <c r="AQ148" s="44"/>
      <c r="AR148" s="20" t="s">
        <v>1309</v>
      </c>
      <c r="AS148" s="20" t="s">
        <v>1036</v>
      </c>
      <c r="AT148" s="40" t="s">
        <v>1309</v>
      </c>
      <c r="AU148" s="47"/>
      <c r="AV148" s="28"/>
      <c r="AW148" s="66"/>
      <c r="AX148" s="36"/>
    </row>
    <row r="149" spans="1:50" ht="39.75" customHeight="1">
      <c r="A149" s="7"/>
      <c r="B149" s="8">
        <v>146</v>
      </c>
      <c r="C149" s="20" t="s">
        <v>222</v>
      </c>
      <c r="D149" s="20" t="s">
        <v>222</v>
      </c>
      <c r="E149" s="8" t="s">
        <v>74</v>
      </c>
      <c r="F149" s="8" t="s">
        <v>75</v>
      </c>
      <c r="G149" s="19" t="s">
        <v>73</v>
      </c>
      <c r="H149" s="29" t="s">
        <v>76</v>
      </c>
      <c r="I149" s="28"/>
      <c r="J149" s="24">
        <v>30045090</v>
      </c>
      <c r="K149" s="11">
        <v>0.05</v>
      </c>
      <c r="L149" s="21">
        <v>4500</v>
      </c>
      <c r="M149" s="22">
        <f t="shared" si="6"/>
        <v>3960</v>
      </c>
      <c r="N149" s="23">
        <f t="shared" si="7"/>
        <v>540</v>
      </c>
      <c r="O149" s="26">
        <f t="shared" si="8"/>
        <v>0.12</v>
      </c>
      <c r="P149" s="28"/>
      <c r="Q149" s="28" t="s">
        <v>859</v>
      </c>
      <c r="R149" s="28" t="s">
        <v>889</v>
      </c>
      <c r="S149" s="28"/>
      <c r="T149" s="30">
        <v>1</v>
      </c>
      <c r="U149" s="20" t="s">
        <v>628</v>
      </c>
      <c r="V149" s="28"/>
      <c r="W149" s="28" t="s">
        <v>929</v>
      </c>
      <c r="X149" s="43"/>
      <c r="Y149" s="20" t="s">
        <v>1037</v>
      </c>
      <c r="Z149" s="20" t="s">
        <v>1037</v>
      </c>
      <c r="AA149" s="28"/>
      <c r="AB149" s="28"/>
      <c r="AC149" s="28"/>
      <c r="AD149" s="28"/>
      <c r="AE149" s="28"/>
      <c r="AF149" s="28"/>
      <c r="AG149" s="28"/>
      <c r="AH149" s="28"/>
      <c r="AI149" s="20" t="s">
        <v>1327</v>
      </c>
      <c r="AJ149" s="28"/>
      <c r="AK149" s="28"/>
      <c r="AL149" s="28"/>
      <c r="AM149" s="28"/>
      <c r="AN149" s="35" t="s">
        <v>676</v>
      </c>
      <c r="AO149" s="28"/>
      <c r="AP149" s="28"/>
      <c r="AQ149" s="44"/>
      <c r="AR149" s="20" t="s">
        <v>1309</v>
      </c>
      <c r="AS149" s="20" t="s">
        <v>1037</v>
      </c>
      <c r="AT149" s="40" t="s">
        <v>1309</v>
      </c>
      <c r="AU149" s="47"/>
      <c r="AV149" s="28"/>
      <c r="AW149" s="66"/>
      <c r="AX149" s="36"/>
    </row>
    <row r="150" spans="1:50" ht="35.25" customHeight="1">
      <c r="A150" s="7"/>
      <c r="B150" s="8">
        <v>147</v>
      </c>
      <c r="C150" s="20" t="s">
        <v>223</v>
      </c>
      <c r="D150" s="20" t="s">
        <v>223</v>
      </c>
      <c r="E150" s="8" t="s">
        <v>74</v>
      </c>
      <c r="F150" s="8" t="s">
        <v>75</v>
      </c>
      <c r="G150" s="19" t="s">
        <v>73</v>
      </c>
      <c r="H150" s="29" t="s">
        <v>76</v>
      </c>
      <c r="I150" s="28"/>
      <c r="J150" s="24">
        <v>30049099</v>
      </c>
      <c r="K150" s="11">
        <v>0.05</v>
      </c>
      <c r="L150" s="21">
        <v>173.44</v>
      </c>
      <c r="M150" s="22">
        <f t="shared" si="6"/>
        <v>152.62719999999999</v>
      </c>
      <c r="N150" s="23">
        <f t="shared" si="7"/>
        <v>20.81280000000001</v>
      </c>
      <c r="O150" s="26">
        <f t="shared" si="8"/>
        <v>0.12000000000000006</v>
      </c>
      <c r="P150" s="28"/>
      <c r="Q150" s="28" t="s">
        <v>858</v>
      </c>
      <c r="R150" s="28" t="s">
        <v>890</v>
      </c>
      <c r="S150" s="28"/>
      <c r="T150" s="30">
        <v>1</v>
      </c>
      <c r="U150" s="20" t="s">
        <v>608</v>
      </c>
      <c r="V150" s="28"/>
      <c r="W150" s="28" t="s">
        <v>928</v>
      </c>
      <c r="X150" s="43"/>
      <c r="Y150" s="40" t="s">
        <v>1038</v>
      </c>
      <c r="Z150" s="40" t="s">
        <v>1038</v>
      </c>
      <c r="AA150" s="28"/>
      <c r="AB150" s="28"/>
      <c r="AC150" s="28"/>
      <c r="AD150" s="28"/>
      <c r="AE150" s="28"/>
      <c r="AF150" s="28"/>
      <c r="AG150" s="28"/>
      <c r="AH150" s="28"/>
      <c r="AI150" s="20" t="s">
        <v>1322</v>
      </c>
      <c r="AJ150" s="28"/>
      <c r="AK150" s="28"/>
      <c r="AL150" s="28"/>
      <c r="AM150" s="28"/>
      <c r="AN150" s="35" t="s">
        <v>677</v>
      </c>
      <c r="AO150" s="28"/>
      <c r="AP150" s="28"/>
      <c r="AQ150" s="44"/>
      <c r="AR150" s="20" t="s">
        <v>1309</v>
      </c>
      <c r="AS150" s="40" t="s">
        <v>1038</v>
      </c>
      <c r="AT150" s="40" t="s">
        <v>1309</v>
      </c>
      <c r="AU150" s="47"/>
      <c r="AV150" s="28"/>
      <c r="AW150" s="66"/>
      <c r="AX150" s="36"/>
    </row>
    <row r="151" spans="1:50" ht="30" customHeight="1">
      <c r="A151" s="7"/>
      <c r="B151" s="8">
        <v>148</v>
      </c>
      <c r="C151" s="20" t="s">
        <v>224</v>
      </c>
      <c r="D151" s="20" t="s">
        <v>224</v>
      </c>
      <c r="E151" s="8" t="s">
        <v>74</v>
      </c>
      <c r="F151" s="8" t="s">
        <v>75</v>
      </c>
      <c r="G151" s="19" t="s">
        <v>73</v>
      </c>
      <c r="H151" s="29" t="s">
        <v>76</v>
      </c>
      <c r="I151" s="28"/>
      <c r="J151" s="24">
        <v>30043919</v>
      </c>
      <c r="K151" s="11">
        <v>0.05</v>
      </c>
      <c r="L151" s="21">
        <v>6375</v>
      </c>
      <c r="M151" s="22">
        <f t="shared" si="6"/>
        <v>5610</v>
      </c>
      <c r="N151" s="23">
        <f t="shared" si="7"/>
        <v>765</v>
      </c>
      <c r="O151" s="26">
        <f t="shared" si="8"/>
        <v>0.12</v>
      </c>
      <c r="P151" s="28"/>
      <c r="Q151" s="28" t="s">
        <v>859</v>
      </c>
      <c r="R151" s="28" t="s">
        <v>889</v>
      </c>
      <c r="S151" s="28"/>
      <c r="T151" s="30">
        <v>1</v>
      </c>
      <c r="U151" s="20" t="s">
        <v>597</v>
      </c>
      <c r="V151" s="28"/>
      <c r="W151" s="28" t="s">
        <v>929</v>
      </c>
      <c r="X151" s="43"/>
      <c r="Y151" s="20" t="s">
        <v>1039</v>
      </c>
      <c r="Z151" s="20" t="s">
        <v>1039</v>
      </c>
      <c r="AA151" s="28"/>
      <c r="AB151" s="28"/>
      <c r="AC151" s="28"/>
      <c r="AD151" s="28"/>
      <c r="AE151" s="28"/>
      <c r="AF151" s="28"/>
      <c r="AG151" s="28"/>
      <c r="AH151" s="28"/>
      <c r="AI151" s="20" t="s">
        <v>1327</v>
      </c>
      <c r="AJ151" s="28"/>
      <c r="AK151" s="28"/>
      <c r="AL151" s="28"/>
      <c r="AM151" s="28"/>
      <c r="AN151" s="35" t="s">
        <v>678</v>
      </c>
      <c r="AO151" s="28"/>
      <c r="AP151" s="28"/>
      <c r="AQ151" s="44"/>
      <c r="AR151" s="20" t="s">
        <v>1309</v>
      </c>
      <c r="AS151" s="20" t="s">
        <v>1039</v>
      </c>
      <c r="AT151" s="40" t="s">
        <v>1309</v>
      </c>
      <c r="AU151" s="47"/>
      <c r="AV151" s="28"/>
      <c r="AW151" s="66"/>
      <c r="AX151" s="36"/>
    </row>
    <row r="152" spans="1:50" ht="31.5" customHeight="1">
      <c r="A152" s="7"/>
      <c r="B152" s="8">
        <v>149</v>
      </c>
      <c r="C152" s="20" t="s">
        <v>225</v>
      </c>
      <c r="D152" s="20" t="s">
        <v>225</v>
      </c>
      <c r="E152" s="8" t="s">
        <v>74</v>
      </c>
      <c r="F152" s="8" t="s">
        <v>75</v>
      </c>
      <c r="G152" s="19" t="s">
        <v>73</v>
      </c>
      <c r="H152" s="29" t="s">
        <v>76</v>
      </c>
      <c r="I152" s="28"/>
      <c r="J152" s="24">
        <v>30045090</v>
      </c>
      <c r="K152" s="11">
        <v>0.05</v>
      </c>
      <c r="L152" s="21">
        <v>1960</v>
      </c>
      <c r="M152" s="22">
        <f t="shared" si="6"/>
        <v>1724.8</v>
      </c>
      <c r="N152" s="23">
        <f t="shared" si="7"/>
        <v>235.20000000000005</v>
      </c>
      <c r="O152" s="26">
        <f t="shared" si="8"/>
        <v>0.12000000000000002</v>
      </c>
      <c r="P152" s="28"/>
      <c r="Q152" s="28" t="s">
        <v>869</v>
      </c>
      <c r="R152" s="28" t="s">
        <v>889</v>
      </c>
      <c r="S152" s="28"/>
      <c r="T152" s="30">
        <v>1</v>
      </c>
      <c r="U152" s="20" t="s">
        <v>629</v>
      </c>
      <c r="V152" s="28"/>
      <c r="W152" s="28" t="s">
        <v>929</v>
      </c>
      <c r="X152" s="43"/>
      <c r="Y152" s="20" t="s">
        <v>1040</v>
      </c>
      <c r="Z152" s="20" t="s">
        <v>1040</v>
      </c>
      <c r="AA152" s="28"/>
      <c r="AB152" s="28"/>
      <c r="AC152" s="28"/>
      <c r="AD152" s="28"/>
      <c r="AE152" s="28"/>
      <c r="AF152" s="28"/>
      <c r="AG152" s="28"/>
      <c r="AH152" s="28"/>
      <c r="AI152" s="20" t="s">
        <v>1327</v>
      </c>
      <c r="AJ152" s="28"/>
      <c r="AK152" s="28"/>
      <c r="AL152" s="28"/>
      <c r="AM152" s="28"/>
      <c r="AN152" s="35" t="s">
        <v>679</v>
      </c>
      <c r="AO152" s="28"/>
      <c r="AP152" s="28"/>
      <c r="AQ152" s="44"/>
      <c r="AR152" s="20" t="s">
        <v>1309</v>
      </c>
      <c r="AS152" s="20" t="s">
        <v>1040</v>
      </c>
      <c r="AT152" s="40" t="s">
        <v>1309</v>
      </c>
      <c r="AU152" s="47"/>
      <c r="AV152" s="28"/>
      <c r="AW152" s="66"/>
      <c r="AX152" s="36"/>
    </row>
    <row r="153" spans="1:50" ht="54.75" customHeight="1">
      <c r="A153" s="7"/>
      <c r="B153" s="8">
        <v>150</v>
      </c>
      <c r="C153" s="20" t="s">
        <v>226</v>
      </c>
      <c r="D153" s="20" t="s">
        <v>226</v>
      </c>
      <c r="E153" s="8" t="s">
        <v>74</v>
      </c>
      <c r="F153" s="8" t="s">
        <v>75</v>
      </c>
      <c r="G153" s="19" t="s">
        <v>73</v>
      </c>
      <c r="H153" s="29" t="s">
        <v>76</v>
      </c>
      <c r="I153" s="28"/>
      <c r="J153" s="24">
        <v>30049011</v>
      </c>
      <c r="K153" s="11">
        <v>0.05</v>
      </c>
      <c r="L153" s="21">
        <v>425</v>
      </c>
      <c r="M153" s="22">
        <f t="shared" si="6"/>
        <v>374</v>
      </c>
      <c r="N153" s="23">
        <f t="shared" si="7"/>
        <v>51</v>
      </c>
      <c r="O153" s="26">
        <f t="shared" si="8"/>
        <v>0.12</v>
      </c>
      <c r="P153" s="28"/>
      <c r="Q153" s="28" t="s">
        <v>877</v>
      </c>
      <c r="R153" s="28" t="s">
        <v>889</v>
      </c>
      <c r="S153" s="28"/>
      <c r="T153" s="30">
        <v>1</v>
      </c>
      <c r="U153" s="20" t="s">
        <v>630</v>
      </c>
      <c r="V153" s="28"/>
      <c r="W153" s="28" t="s">
        <v>932</v>
      </c>
      <c r="X153" s="43"/>
      <c r="Y153" s="40" t="s">
        <v>1041</v>
      </c>
      <c r="Z153" s="40" t="s">
        <v>1041</v>
      </c>
      <c r="AA153" s="28"/>
      <c r="AB153" s="28"/>
      <c r="AC153" s="28"/>
      <c r="AD153" s="28"/>
      <c r="AE153" s="28"/>
      <c r="AF153" s="28"/>
      <c r="AG153" s="28"/>
      <c r="AH153" s="28"/>
      <c r="AI153" s="20" t="s">
        <v>1327</v>
      </c>
      <c r="AJ153" s="28"/>
      <c r="AK153" s="28"/>
      <c r="AL153" s="28"/>
      <c r="AM153" s="28"/>
      <c r="AN153" s="37"/>
      <c r="AO153" s="28"/>
      <c r="AP153" s="28"/>
      <c r="AQ153" s="44"/>
      <c r="AR153" s="20" t="s">
        <v>1309</v>
      </c>
      <c r="AS153" s="40" t="s">
        <v>1041</v>
      </c>
      <c r="AT153" s="40" t="s">
        <v>1309</v>
      </c>
      <c r="AU153" s="47"/>
      <c r="AV153" s="28"/>
      <c r="AW153" s="66"/>
      <c r="AX153" s="36"/>
    </row>
    <row r="154" spans="1:50" ht="31.5" customHeight="1">
      <c r="A154" s="7"/>
      <c r="B154" s="8">
        <v>151</v>
      </c>
      <c r="C154" s="20" t="s">
        <v>227</v>
      </c>
      <c r="D154" s="20" t="s">
        <v>227</v>
      </c>
      <c r="E154" s="8" t="s">
        <v>74</v>
      </c>
      <c r="F154" s="8" t="s">
        <v>75</v>
      </c>
      <c r="G154" s="19" t="s">
        <v>73</v>
      </c>
      <c r="H154" s="29" t="s">
        <v>76</v>
      </c>
      <c r="I154" s="28"/>
      <c r="J154" s="24">
        <v>30049099</v>
      </c>
      <c r="K154" s="11">
        <v>0.05</v>
      </c>
      <c r="L154" s="21">
        <v>40.31</v>
      </c>
      <c r="M154" s="22">
        <f t="shared" si="6"/>
        <v>35.472799999999999</v>
      </c>
      <c r="N154" s="23">
        <f t="shared" si="7"/>
        <v>4.8372000000000028</v>
      </c>
      <c r="O154" s="26">
        <f t="shared" si="8"/>
        <v>0.12000000000000006</v>
      </c>
      <c r="P154" s="28"/>
      <c r="Q154" s="28" t="s">
        <v>875</v>
      </c>
      <c r="R154" s="28" t="s">
        <v>889</v>
      </c>
      <c r="S154" s="28"/>
      <c r="T154" s="30">
        <v>1</v>
      </c>
      <c r="U154" s="20" t="s">
        <v>591</v>
      </c>
      <c r="V154" s="28"/>
      <c r="W154" s="28" t="s">
        <v>930</v>
      </c>
      <c r="X154" s="43"/>
      <c r="Y154" s="20" t="s">
        <v>1042</v>
      </c>
      <c r="Z154" s="20" t="s">
        <v>1042</v>
      </c>
      <c r="AA154" s="28"/>
      <c r="AB154" s="28"/>
      <c r="AC154" s="28"/>
      <c r="AD154" s="28"/>
      <c r="AE154" s="28"/>
      <c r="AF154" s="28"/>
      <c r="AG154" s="28"/>
      <c r="AH154" s="28"/>
      <c r="AI154" s="20" t="s">
        <v>1327</v>
      </c>
      <c r="AJ154" s="28"/>
      <c r="AK154" s="28"/>
      <c r="AL154" s="28"/>
      <c r="AM154" s="28"/>
      <c r="AN154" s="35" t="s">
        <v>680</v>
      </c>
      <c r="AO154" s="28"/>
      <c r="AP154" s="28"/>
      <c r="AQ154" s="44"/>
      <c r="AR154" s="20" t="s">
        <v>1309</v>
      </c>
      <c r="AS154" s="20" t="s">
        <v>1042</v>
      </c>
      <c r="AT154" s="40" t="s">
        <v>1309</v>
      </c>
      <c r="AU154" s="47"/>
      <c r="AV154" s="28"/>
      <c r="AW154" s="66"/>
      <c r="AX154" s="36"/>
    </row>
    <row r="155" spans="1:50" ht="31.5" customHeight="1">
      <c r="A155" s="7"/>
      <c r="B155" s="8">
        <v>152</v>
      </c>
      <c r="C155" s="20" t="s">
        <v>228</v>
      </c>
      <c r="D155" s="20" t="s">
        <v>228</v>
      </c>
      <c r="E155" s="8" t="s">
        <v>74</v>
      </c>
      <c r="F155" s="8" t="s">
        <v>75</v>
      </c>
      <c r="G155" s="19" t="s">
        <v>73</v>
      </c>
      <c r="H155" s="29" t="s">
        <v>76</v>
      </c>
      <c r="I155" s="28"/>
      <c r="J155" s="24">
        <v>30045039</v>
      </c>
      <c r="K155" s="11">
        <v>0.05</v>
      </c>
      <c r="L155" s="21">
        <v>13.57</v>
      </c>
      <c r="M155" s="22">
        <f t="shared" si="6"/>
        <v>11.941600000000001</v>
      </c>
      <c r="N155" s="23">
        <f t="shared" si="7"/>
        <v>1.6283999999999992</v>
      </c>
      <c r="O155" s="26">
        <f t="shared" si="8"/>
        <v>0.11999999999999994</v>
      </c>
      <c r="P155" s="28"/>
      <c r="Q155" s="28" t="s">
        <v>864</v>
      </c>
      <c r="R155" s="28" t="s">
        <v>891</v>
      </c>
      <c r="S155" s="28"/>
      <c r="T155" s="30">
        <v>1</v>
      </c>
      <c r="U155" s="20" t="s">
        <v>631</v>
      </c>
      <c r="V155" s="28"/>
      <c r="W155" s="28" t="s">
        <v>936</v>
      </c>
      <c r="X155" s="43"/>
      <c r="Y155" s="20" t="s">
        <v>1043</v>
      </c>
      <c r="Z155" s="20" t="s">
        <v>1043</v>
      </c>
      <c r="AA155" s="28"/>
      <c r="AB155" s="28"/>
      <c r="AC155" s="28"/>
      <c r="AD155" s="28"/>
      <c r="AE155" s="28"/>
      <c r="AF155" s="28"/>
      <c r="AG155" s="28"/>
      <c r="AH155" s="28"/>
      <c r="AI155" s="20" t="s">
        <v>1327</v>
      </c>
      <c r="AJ155" s="28"/>
      <c r="AK155" s="28"/>
      <c r="AL155" s="28"/>
      <c r="AM155" s="28"/>
      <c r="AN155" s="35" t="s">
        <v>681</v>
      </c>
      <c r="AO155" s="28"/>
      <c r="AP155" s="28"/>
      <c r="AQ155" s="44"/>
      <c r="AR155" s="20" t="s">
        <v>1309</v>
      </c>
      <c r="AS155" s="20" t="s">
        <v>1043</v>
      </c>
      <c r="AT155" s="40" t="s">
        <v>1309</v>
      </c>
      <c r="AU155" s="47"/>
      <c r="AV155" s="28"/>
      <c r="AW155" s="66"/>
      <c r="AX155" s="36"/>
    </row>
    <row r="156" spans="1:50" ht="33" customHeight="1">
      <c r="A156" s="7"/>
      <c r="B156" s="8">
        <v>153</v>
      </c>
      <c r="C156" s="20" t="s">
        <v>229</v>
      </c>
      <c r="D156" s="20" t="s">
        <v>229</v>
      </c>
      <c r="E156" s="8" t="s">
        <v>74</v>
      </c>
      <c r="F156" s="8" t="s">
        <v>75</v>
      </c>
      <c r="G156" s="19" t="s">
        <v>73</v>
      </c>
      <c r="H156" s="29" t="s">
        <v>76</v>
      </c>
      <c r="I156" s="28"/>
      <c r="J156" s="24">
        <v>30049099</v>
      </c>
      <c r="K156" s="11">
        <v>0.05</v>
      </c>
      <c r="L156" s="21">
        <v>538.13</v>
      </c>
      <c r="M156" s="22">
        <f t="shared" si="6"/>
        <v>473.55439999999999</v>
      </c>
      <c r="N156" s="23">
        <f t="shared" si="7"/>
        <v>64.575600000000009</v>
      </c>
      <c r="O156" s="26">
        <f t="shared" si="8"/>
        <v>0.12000000000000002</v>
      </c>
      <c r="P156" s="28"/>
      <c r="Q156" s="28" t="s">
        <v>859</v>
      </c>
      <c r="R156" s="28" t="s">
        <v>889</v>
      </c>
      <c r="S156" s="28"/>
      <c r="T156" s="30">
        <v>1</v>
      </c>
      <c r="U156" s="20" t="s">
        <v>589</v>
      </c>
      <c r="V156" s="28"/>
      <c r="W156" s="28" t="s">
        <v>929</v>
      </c>
      <c r="X156" s="43"/>
      <c r="Y156" s="20" t="s">
        <v>1044</v>
      </c>
      <c r="Z156" s="20" t="s">
        <v>1044</v>
      </c>
      <c r="AA156" s="28"/>
      <c r="AB156" s="28"/>
      <c r="AC156" s="28"/>
      <c r="AD156" t="s">
        <v>1331</v>
      </c>
      <c r="AE156" s="28"/>
      <c r="AF156" s="28"/>
      <c r="AG156" s="28"/>
      <c r="AH156" s="28"/>
      <c r="AI156" s="20" t="s">
        <v>1327</v>
      </c>
      <c r="AJ156" s="28"/>
      <c r="AK156" s="28"/>
      <c r="AL156" s="28"/>
      <c r="AM156" s="28"/>
      <c r="AN156" s="35" t="s">
        <v>682</v>
      </c>
      <c r="AO156" s="28"/>
      <c r="AP156" s="28"/>
      <c r="AQ156" s="44"/>
      <c r="AR156" s="20" t="s">
        <v>1309</v>
      </c>
      <c r="AS156" s="20" t="s">
        <v>1044</v>
      </c>
      <c r="AT156" s="40" t="s">
        <v>1309</v>
      </c>
      <c r="AU156" s="47"/>
      <c r="AV156" s="28"/>
      <c r="AW156" s="66"/>
      <c r="AX156" s="36"/>
    </row>
    <row r="157" spans="1:50" ht="33" customHeight="1">
      <c r="A157" s="7"/>
      <c r="B157" s="8">
        <v>154</v>
      </c>
      <c r="C157" s="20" t="s">
        <v>230</v>
      </c>
      <c r="D157" s="20" t="s">
        <v>230</v>
      </c>
      <c r="E157" s="8" t="s">
        <v>74</v>
      </c>
      <c r="F157" s="8" t="s">
        <v>75</v>
      </c>
      <c r="G157" s="19" t="s">
        <v>73</v>
      </c>
      <c r="H157" s="29" t="s">
        <v>76</v>
      </c>
      <c r="I157" s="28"/>
      <c r="J157" s="24">
        <v>30049099</v>
      </c>
      <c r="K157" s="11">
        <v>0.05</v>
      </c>
      <c r="L157" s="21">
        <v>928.13</v>
      </c>
      <c r="M157" s="22">
        <f t="shared" si="6"/>
        <v>816.75440000000003</v>
      </c>
      <c r="N157" s="23">
        <f t="shared" si="7"/>
        <v>111.37559999999996</v>
      </c>
      <c r="O157" s="26">
        <f t="shared" si="8"/>
        <v>0.11999999999999995</v>
      </c>
      <c r="P157" s="28"/>
      <c r="Q157" s="28" t="s">
        <v>859</v>
      </c>
      <c r="R157" s="28" t="s">
        <v>889</v>
      </c>
      <c r="S157" s="28"/>
      <c r="T157" s="30">
        <v>1</v>
      </c>
      <c r="U157" s="20" t="s">
        <v>589</v>
      </c>
      <c r="V157" s="28"/>
      <c r="W157" s="28" t="s">
        <v>929</v>
      </c>
      <c r="X157" s="43"/>
      <c r="Y157" s="20" t="s">
        <v>1045</v>
      </c>
      <c r="Z157" s="20" t="s">
        <v>1045</v>
      </c>
      <c r="AA157" s="28"/>
      <c r="AB157" s="28"/>
      <c r="AC157" s="28"/>
      <c r="AD157" t="s">
        <v>1331</v>
      </c>
      <c r="AE157" s="28"/>
      <c r="AF157" s="28"/>
      <c r="AG157" s="28"/>
      <c r="AH157" s="28"/>
      <c r="AI157" s="20" t="s">
        <v>1327</v>
      </c>
      <c r="AJ157" s="28"/>
      <c r="AK157" s="28"/>
      <c r="AL157" s="28"/>
      <c r="AM157" s="28"/>
      <c r="AN157" s="35" t="s">
        <v>683</v>
      </c>
      <c r="AO157" s="28"/>
      <c r="AP157" s="28"/>
      <c r="AQ157" s="44"/>
      <c r="AR157" s="20" t="s">
        <v>1309</v>
      </c>
      <c r="AS157" s="20" t="s">
        <v>1045</v>
      </c>
      <c r="AT157" s="40" t="s">
        <v>1309</v>
      </c>
      <c r="AU157" s="47"/>
      <c r="AV157" s="28"/>
      <c r="AW157" s="66"/>
      <c r="AX157" s="36"/>
    </row>
    <row r="158" spans="1:50" ht="33" customHeight="1">
      <c r="A158" s="7"/>
      <c r="B158" s="8">
        <v>155</v>
      </c>
      <c r="C158" s="20" t="s">
        <v>231</v>
      </c>
      <c r="D158" s="20" t="s">
        <v>231</v>
      </c>
      <c r="E158" s="8" t="s">
        <v>74</v>
      </c>
      <c r="F158" s="8" t="s">
        <v>75</v>
      </c>
      <c r="G158" s="19" t="s">
        <v>73</v>
      </c>
      <c r="H158" s="29" t="s">
        <v>76</v>
      </c>
      <c r="I158" s="28"/>
      <c r="J158" s="24">
        <v>30041030</v>
      </c>
      <c r="K158" s="11">
        <v>0.05</v>
      </c>
      <c r="L158" s="21">
        <v>1078.1300000000001</v>
      </c>
      <c r="M158" s="22">
        <f t="shared" si="6"/>
        <v>948.75440000000015</v>
      </c>
      <c r="N158" s="23">
        <f t="shared" si="7"/>
        <v>129.37559999999996</v>
      </c>
      <c r="O158" s="26">
        <f t="shared" si="8"/>
        <v>0.11999999999999995</v>
      </c>
      <c r="P158" s="28"/>
      <c r="Q158" s="28" t="s">
        <v>865</v>
      </c>
      <c r="R158" s="28" t="s">
        <v>889</v>
      </c>
      <c r="S158" s="28"/>
      <c r="T158" s="30">
        <v>1</v>
      </c>
      <c r="U158" s="20" t="s">
        <v>589</v>
      </c>
      <c r="V158" s="28"/>
      <c r="W158" s="28" t="s">
        <v>929</v>
      </c>
      <c r="X158" s="43"/>
      <c r="Y158" s="20" t="s">
        <v>1046</v>
      </c>
      <c r="Z158" s="20" t="s">
        <v>1046</v>
      </c>
      <c r="AA158" s="28"/>
      <c r="AB158" s="28"/>
      <c r="AC158" s="28"/>
      <c r="AD158" t="s">
        <v>1331</v>
      </c>
      <c r="AE158" s="28"/>
      <c r="AF158" s="28"/>
      <c r="AG158" s="28"/>
      <c r="AH158" s="28"/>
      <c r="AI158" s="20" t="s">
        <v>1325</v>
      </c>
      <c r="AJ158" s="28"/>
      <c r="AK158" s="28"/>
      <c r="AL158" s="28"/>
      <c r="AM158" s="28"/>
      <c r="AN158" s="35" t="s">
        <v>684</v>
      </c>
      <c r="AO158" s="28"/>
      <c r="AP158" s="28"/>
      <c r="AQ158" s="44"/>
      <c r="AR158" s="20" t="s">
        <v>1309</v>
      </c>
      <c r="AS158" s="20" t="s">
        <v>1046</v>
      </c>
      <c r="AT158" s="40" t="s">
        <v>1309</v>
      </c>
      <c r="AU158" s="47"/>
      <c r="AV158" s="28"/>
      <c r="AW158" s="66"/>
      <c r="AX158" s="36"/>
    </row>
    <row r="159" spans="1:50" ht="15.75" customHeight="1">
      <c r="A159" s="7"/>
      <c r="B159" s="8">
        <v>156</v>
      </c>
      <c r="C159" s="20" t="s">
        <v>232</v>
      </c>
      <c r="D159" s="20" t="s">
        <v>232</v>
      </c>
      <c r="E159" s="8" t="s">
        <v>74</v>
      </c>
      <c r="F159" s="8" t="s">
        <v>75</v>
      </c>
      <c r="G159" s="19" t="s">
        <v>73</v>
      </c>
      <c r="H159" s="29" t="s">
        <v>76</v>
      </c>
      <c r="I159" s="28"/>
      <c r="J159" s="24">
        <v>30049099</v>
      </c>
      <c r="K159" s="11">
        <v>0.05</v>
      </c>
      <c r="L159" s="21">
        <v>6375</v>
      </c>
      <c r="M159" s="22">
        <f t="shared" si="6"/>
        <v>5610</v>
      </c>
      <c r="N159" s="23">
        <f t="shared" si="7"/>
        <v>765</v>
      </c>
      <c r="O159" s="26">
        <f t="shared" si="8"/>
        <v>0.12</v>
      </c>
      <c r="P159" s="28"/>
      <c r="Q159" s="28" t="s">
        <v>859</v>
      </c>
      <c r="R159" s="28" t="s">
        <v>889</v>
      </c>
      <c r="S159" s="28"/>
      <c r="T159" s="30">
        <v>1</v>
      </c>
      <c r="U159" s="20" t="s">
        <v>621</v>
      </c>
      <c r="V159" s="28"/>
      <c r="W159" s="28" t="s">
        <v>929</v>
      </c>
      <c r="X159" s="43"/>
      <c r="Y159" s="20" t="s">
        <v>1047</v>
      </c>
      <c r="Z159" s="20" t="s">
        <v>1047</v>
      </c>
      <c r="AA159" s="28"/>
      <c r="AB159" s="28"/>
      <c r="AC159" s="28"/>
      <c r="AD159" s="28"/>
      <c r="AE159" s="28"/>
      <c r="AF159" s="28"/>
      <c r="AG159" s="28"/>
      <c r="AH159" s="28"/>
      <c r="AI159" s="20" t="s">
        <v>1327</v>
      </c>
      <c r="AJ159" s="28"/>
      <c r="AK159" s="28"/>
      <c r="AL159" s="28"/>
      <c r="AM159" s="28"/>
      <c r="AN159" s="37"/>
      <c r="AO159" s="28"/>
      <c r="AP159" s="28"/>
      <c r="AQ159" s="44"/>
      <c r="AR159" s="20" t="s">
        <v>1309</v>
      </c>
      <c r="AS159" s="20" t="s">
        <v>1047</v>
      </c>
      <c r="AT159" s="40" t="s">
        <v>1309</v>
      </c>
      <c r="AU159" s="47"/>
      <c r="AV159" s="28"/>
      <c r="AW159" s="66"/>
      <c r="AX159" s="36"/>
    </row>
    <row r="160" spans="1:50" ht="33" customHeight="1">
      <c r="A160" s="7"/>
      <c r="B160" s="8">
        <v>157</v>
      </c>
      <c r="C160" s="20" t="s">
        <v>233</v>
      </c>
      <c r="D160" s="20" t="s">
        <v>233</v>
      </c>
      <c r="E160" s="8" t="s">
        <v>74</v>
      </c>
      <c r="F160" s="8" t="s">
        <v>75</v>
      </c>
      <c r="G160" s="19" t="s">
        <v>73</v>
      </c>
      <c r="H160" s="29" t="s">
        <v>76</v>
      </c>
      <c r="I160" s="28"/>
      <c r="J160" s="24">
        <v>30049099</v>
      </c>
      <c r="K160" s="11">
        <v>0.05</v>
      </c>
      <c r="L160" s="21">
        <v>7312.5</v>
      </c>
      <c r="M160" s="22">
        <f t="shared" si="6"/>
        <v>6435</v>
      </c>
      <c r="N160" s="23">
        <f t="shared" si="7"/>
        <v>877.5</v>
      </c>
      <c r="O160" s="26">
        <f t="shared" si="8"/>
        <v>0.12</v>
      </c>
      <c r="P160" s="28"/>
      <c r="Q160" s="28" t="s">
        <v>859</v>
      </c>
      <c r="R160" s="28" t="s">
        <v>889</v>
      </c>
      <c r="S160" s="28"/>
      <c r="T160" s="30">
        <v>1</v>
      </c>
      <c r="U160" s="20" t="s">
        <v>621</v>
      </c>
      <c r="V160" s="28"/>
      <c r="W160" s="28" t="s">
        <v>929</v>
      </c>
      <c r="X160" s="43"/>
      <c r="Y160" s="20" t="s">
        <v>1048</v>
      </c>
      <c r="Z160" s="20" t="s">
        <v>1048</v>
      </c>
      <c r="AA160" s="28"/>
      <c r="AB160" s="28"/>
      <c r="AC160" s="28"/>
      <c r="AD160" s="28"/>
      <c r="AE160" s="28"/>
      <c r="AF160" s="28"/>
      <c r="AG160" s="28"/>
      <c r="AH160" s="28"/>
      <c r="AI160" s="20" t="s">
        <v>1327</v>
      </c>
      <c r="AJ160" s="28"/>
      <c r="AK160" s="28"/>
      <c r="AL160" s="28"/>
      <c r="AM160" s="28"/>
      <c r="AN160" s="35" t="s">
        <v>685</v>
      </c>
      <c r="AO160" s="28"/>
      <c r="AP160" s="28"/>
      <c r="AQ160" s="44"/>
      <c r="AR160" s="20" t="s">
        <v>1309</v>
      </c>
      <c r="AS160" s="20" t="s">
        <v>1048</v>
      </c>
      <c r="AT160" s="40" t="s">
        <v>1309</v>
      </c>
      <c r="AU160" s="47"/>
      <c r="AV160" s="28"/>
      <c r="AW160" s="66"/>
      <c r="AX160" s="36"/>
    </row>
    <row r="161" spans="1:50" ht="33" customHeight="1">
      <c r="A161" s="7"/>
      <c r="B161" s="8">
        <v>158</v>
      </c>
      <c r="C161" s="20" t="s">
        <v>234</v>
      </c>
      <c r="D161" s="20" t="s">
        <v>234</v>
      </c>
      <c r="E161" s="8" t="s">
        <v>74</v>
      </c>
      <c r="F161" s="8" t="s">
        <v>75</v>
      </c>
      <c r="G161" s="19" t="s">
        <v>73</v>
      </c>
      <c r="H161" s="29" t="s">
        <v>76</v>
      </c>
      <c r="I161" s="28"/>
      <c r="J161" s="24">
        <v>30042019</v>
      </c>
      <c r="K161" s="11">
        <v>0.05</v>
      </c>
      <c r="L161" s="21">
        <v>225</v>
      </c>
      <c r="M161" s="22">
        <f t="shared" si="6"/>
        <v>198</v>
      </c>
      <c r="N161" s="23">
        <f t="shared" si="7"/>
        <v>27</v>
      </c>
      <c r="O161" s="26">
        <f t="shared" si="8"/>
        <v>0.12</v>
      </c>
      <c r="P161" s="28"/>
      <c r="Q161" s="28" t="s">
        <v>873</v>
      </c>
      <c r="R161" s="28" t="s">
        <v>889</v>
      </c>
      <c r="S161" s="28"/>
      <c r="T161" s="30">
        <v>1</v>
      </c>
      <c r="U161" s="20" t="s">
        <v>632</v>
      </c>
      <c r="V161" s="28"/>
      <c r="W161" s="20" t="s">
        <v>937</v>
      </c>
      <c r="X161" s="43"/>
      <c r="Y161" s="20" t="s">
        <v>1049</v>
      </c>
      <c r="Z161" s="20" t="s">
        <v>1049</v>
      </c>
      <c r="AA161" s="28"/>
      <c r="AB161" s="28"/>
      <c r="AC161" s="28"/>
      <c r="AD161" s="28"/>
      <c r="AE161" s="28"/>
      <c r="AF161" s="28"/>
      <c r="AG161" s="28"/>
      <c r="AH161" s="28"/>
      <c r="AI161" s="20" t="s">
        <v>1327</v>
      </c>
      <c r="AJ161" s="28"/>
      <c r="AK161" s="28"/>
      <c r="AL161" s="28"/>
      <c r="AM161" s="28"/>
      <c r="AN161" s="35" t="s">
        <v>686</v>
      </c>
      <c r="AO161" s="28"/>
      <c r="AP161" s="28"/>
      <c r="AQ161" s="44"/>
      <c r="AR161" s="20" t="s">
        <v>1309</v>
      </c>
      <c r="AS161" s="20" t="s">
        <v>1049</v>
      </c>
      <c r="AT161" s="40" t="s">
        <v>1309</v>
      </c>
      <c r="AU161" s="47"/>
      <c r="AV161" s="28"/>
      <c r="AW161" s="66"/>
      <c r="AX161" s="36"/>
    </row>
    <row r="162" spans="1:50" ht="32.25" customHeight="1">
      <c r="A162" s="7"/>
      <c r="B162" s="8">
        <v>159</v>
      </c>
      <c r="C162" s="20" t="s">
        <v>235</v>
      </c>
      <c r="D162" s="20" t="s">
        <v>235</v>
      </c>
      <c r="E162" s="8" t="s">
        <v>74</v>
      </c>
      <c r="F162" s="8" t="s">
        <v>75</v>
      </c>
      <c r="G162" s="19" t="s">
        <v>73</v>
      </c>
      <c r="H162" s="29" t="s">
        <v>76</v>
      </c>
      <c r="I162" s="28"/>
      <c r="J162" s="24">
        <v>30049099</v>
      </c>
      <c r="K162" s="11">
        <v>0.05</v>
      </c>
      <c r="L162" s="21">
        <v>7968.75</v>
      </c>
      <c r="M162" s="22">
        <f t="shared" si="6"/>
        <v>7012.5</v>
      </c>
      <c r="N162" s="23">
        <f t="shared" si="7"/>
        <v>956.25</v>
      </c>
      <c r="O162" s="26">
        <f t="shared" si="8"/>
        <v>0.12</v>
      </c>
      <c r="P162" s="28"/>
      <c r="Q162" s="28" t="s">
        <v>859</v>
      </c>
      <c r="R162" s="28" t="s">
        <v>889</v>
      </c>
      <c r="S162" s="28"/>
      <c r="T162" s="30">
        <v>1</v>
      </c>
      <c r="U162" s="20" t="s">
        <v>621</v>
      </c>
      <c r="V162" s="28"/>
      <c r="W162" s="28" t="s">
        <v>929</v>
      </c>
      <c r="X162" s="43"/>
      <c r="Y162" s="40" t="s">
        <v>1050</v>
      </c>
      <c r="Z162" s="40" t="s">
        <v>1050</v>
      </c>
      <c r="AA162" s="28"/>
      <c r="AB162" s="28"/>
      <c r="AC162" s="28"/>
      <c r="AD162" s="28"/>
      <c r="AE162" s="28"/>
      <c r="AF162" s="28"/>
      <c r="AG162" s="28"/>
      <c r="AH162" s="28"/>
      <c r="AI162" s="20" t="s">
        <v>1327</v>
      </c>
      <c r="AJ162" s="28"/>
      <c r="AK162" s="28"/>
      <c r="AL162" s="28"/>
      <c r="AM162" s="28"/>
      <c r="AN162" s="35" t="s">
        <v>687</v>
      </c>
      <c r="AO162" s="28"/>
      <c r="AP162" s="28"/>
      <c r="AQ162" s="44"/>
      <c r="AR162" s="20" t="s">
        <v>1312</v>
      </c>
      <c r="AS162" s="40" t="s">
        <v>1050</v>
      </c>
      <c r="AT162" s="40" t="s">
        <v>1312</v>
      </c>
      <c r="AU162" s="47"/>
      <c r="AV162" s="28"/>
      <c r="AW162" s="66"/>
      <c r="AX162" s="36"/>
    </row>
    <row r="163" spans="1:50" ht="32.25" customHeight="1">
      <c r="A163" s="7"/>
      <c r="B163" s="8">
        <v>160</v>
      </c>
      <c r="C163" s="20" t="s">
        <v>236</v>
      </c>
      <c r="D163" s="20" t="s">
        <v>236</v>
      </c>
      <c r="E163" s="8" t="s">
        <v>74</v>
      </c>
      <c r="F163" s="8" t="s">
        <v>75</v>
      </c>
      <c r="G163" s="19" t="s">
        <v>73</v>
      </c>
      <c r="H163" s="29" t="s">
        <v>76</v>
      </c>
      <c r="I163" s="28"/>
      <c r="J163" s="24">
        <v>30049099</v>
      </c>
      <c r="K163" s="11">
        <v>0.05</v>
      </c>
      <c r="L163" s="21">
        <v>1706.25</v>
      </c>
      <c r="M163" s="22">
        <f t="shared" si="6"/>
        <v>1501.5</v>
      </c>
      <c r="N163" s="23">
        <f t="shared" si="7"/>
        <v>204.75</v>
      </c>
      <c r="O163" s="26">
        <f t="shared" si="8"/>
        <v>0.12</v>
      </c>
      <c r="P163" s="28"/>
      <c r="Q163" s="28" t="s">
        <v>859</v>
      </c>
      <c r="R163" s="28" t="s">
        <v>889</v>
      </c>
      <c r="S163" s="28"/>
      <c r="T163" s="30">
        <v>1</v>
      </c>
      <c r="U163" s="20" t="s">
        <v>633</v>
      </c>
      <c r="V163" s="28"/>
      <c r="W163" s="28" t="s">
        <v>929</v>
      </c>
      <c r="X163" s="43"/>
      <c r="Y163" s="20" t="s">
        <v>1051</v>
      </c>
      <c r="Z163" s="20" t="s">
        <v>1051</v>
      </c>
      <c r="AA163" s="28"/>
      <c r="AB163" s="28"/>
      <c r="AC163" s="28"/>
      <c r="AD163" s="28"/>
      <c r="AE163" s="28"/>
      <c r="AF163" s="28"/>
      <c r="AG163" s="28"/>
      <c r="AH163" s="28"/>
      <c r="AI163" s="20" t="s">
        <v>1327</v>
      </c>
      <c r="AJ163" s="28"/>
      <c r="AK163" s="28"/>
      <c r="AL163" s="28"/>
      <c r="AM163" s="28"/>
      <c r="AN163" s="35" t="s">
        <v>688</v>
      </c>
      <c r="AO163" s="28"/>
      <c r="AP163" s="28"/>
      <c r="AQ163" s="44"/>
      <c r="AR163" s="20" t="s">
        <v>1309</v>
      </c>
      <c r="AS163" s="20" t="s">
        <v>1051</v>
      </c>
      <c r="AT163" s="40" t="s">
        <v>1309</v>
      </c>
      <c r="AU163" s="47"/>
      <c r="AV163" s="28"/>
      <c r="AW163" s="66"/>
      <c r="AX163" s="36"/>
    </row>
    <row r="164" spans="1:50" ht="40.5" customHeight="1">
      <c r="A164" s="7"/>
      <c r="B164" s="8">
        <v>161</v>
      </c>
      <c r="C164" s="20" t="s">
        <v>237</v>
      </c>
      <c r="D164" s="20" t="s">
        <v>237</v>
      </c>
      <c r="E164" s="8" t="s">
        <v>74</v>
      </c>
      <c r="F164" s="8" t="s">
        <v>75</v>
      </c>
      <c r="G164" s="19" t="s">
        <v>73</v>
      </c>
      <c r="H164" s="29" t="s">
        <v>76</v>
      </c>
      <c r="I164" s="28"/>
      <c r="J164" s="24">
        <v>30049066</v>
      </c>
      <c r="K164" s="11">
        <v>0.05</v>
      </c>
      <c r="L164" s="21">
        <v>1162.5</v>
      </c>
      <c r="M164" s="22">
        <f t="shared" si="6"/>
        <v>1023</v>
      </c>
      <c r="N164" s="23">
        <f t="shared" si="7"/>
        <v>139.5</v>
      </c>
      <c r="O164" s="26">
        <f t="shared" si="8"/>
        <v>0.12</v>
      </c>
      <c r="P164" s="28"/>
      <c r="Q164" s="28" t="s">
        <v>859</v>
      </c>
      <c r="R164" s="28" t="s">
        <v>889</v>
      </c>
      <c r="S164" s="28"/>
      <c r="T164" s="30">
        <v>1</v>
      </c>
      <c r="U164" s="20" t="s">
        <v>589</v>
      </c>
      <c r="V164" s="28"/>
      <c r="W164" s="28" t="s">
        <v>929</v>
      </c>
      <c r="X164" s="43"/>
      <c r="Y164" s="20" t="s">
        <v>1052</v>
      </c>
      <c r="Z164" s="20" t="s">
        <v>1052</v>
      </c>
      <c r="AA164" s="28"/>
      <c r="AB164" s="28"/>
      <c r="AC164" s="28"/>
      <c r="AD164" t="s">
        <v>1331</v>
      </c>
      <c r="AE164" s="28"/>
      <c r="AF164" s="28"/>
      <c r="AG164" s="28"/>
      <c r="AH164" s="28"/>
      <c r="AI164" s="20" t="s">
        <v>1326</v>
      </c>
      <c r="AJ164" s="28"/>
      <c r="AK164" s="28"/>
      <c r="AL164" s="28"/>
      <c r="AM164" s="28"/>
      <c r="AN164" s="35" t="s">
        <v>689</v>
      </c>
      <c r="AO164" s="28"/>
      <c r="AP164" s="28"/>
      <c r="AQ164" s="44"/>
      <c r="AR164" s="20" t="s">
        <v>1308</v>
      </c>
      <c r="AS164" s="20" t="s">
        <v>1052</v>
      </c>
      <c r="AT164" s="40" t="s">
        <v>1308</v>
      </c>
      <c r="AU164" s="47"/>
      <c r="AV164" s="28"/>
      <c r="AW164" s="66"/>
      <c r="AX164" s="36"/>
    </row>
    <row r="165" spans="1:50" ht="36" customHeight="1">
      <c r="A165" s="7"/>
      <c r="B165" s="8">
        <v>162</v>
      </c>
      <c r="C165" s="20" t="s">
        <v>238</v>
      </c>
      <c r="D165" s="20" t="s">
        <v>238</v>
      </c>
      <c r="E165" s="8" t="s">
        <v>74</v>
      </c>
      <c r="F165" s="8" t="s">
        <v>75</v>
      </c>
      <c r="G165" s="19" t="s">
        <v>73</v>
      </c>
      <c r="H165" s="29" t="s">
        <v>76</v>
      </c>
      <c r="I165" s="28"/>
      <c r="J165" s="24">
        <v>30049099</v>
      </c>
      <c r="K165" s="11">
        <v>0.05</v>
      </c>
      <c r="L165" s="21">
        <v>79</v>
      </c>
      <c r="M165" s="22">
        <f t="shared" si="6"/>
        <v>69.52</v>
      </c>
      <c r="N165" s="23">
        <f t="shared" si="7"/>
        <v>9.480000000000004</v>
      </c>
      <c r="O165" s="26">
        <f t="shared" si="8"/>
        <v>0.12000000000000005</v>
      </c>
      <c r="P165" s="28"/>
      <c r="Q165" s="28" t="s">
        <v>863</v>
      </c>
      <c r="R165" s="28" t="s">
        <v>889</v>
      </c>
      <c r="S165" s="28"/>
      <c r="T165" s="30">
        <v>1</v>
      </c>
      <c r="U165" s="20" t="s">
        <v>624</v>
      </c>
      <c r="V165" s="28"/>
      <c r="W165" s="28" t="s">
        <v>931</v>
      </c>
      <c r="X165" s="43"/>
      <c r="Y165" s="20" t="s">
        <v>1053</v>
      </c>
      <c r="Z165" s="20" t="s">
        <v>1053</v>
      </c>
      <c r="AA165" s="28"/>
      <c r="AB165" s="28"/>
      <c r="AC165" s="28"/>
      <c r="AD165" s="28"/>
      <c r="AE165" s="28"/>
      <c r="AF165" s="28"/>
      <c r="AG165" s="28"/>
      <c r="AH165" s="28"/>
      <c r="AI165" s="20" t="s">
        <v>1326</v>
      </c>
      <c r="AJ165" s="28"/>
      <c r="AK165" s="28"/>
      <c r="AL165" s="28"/>
      <c r="AM165" s="28"/>
      <c r="AN165" s="35" t="s">
        <v>690</v>
      </c>
      <c r="AO165" s="28"/>
      <c r="AP165" s="28"/>
      <c r="AQ165" s="44"/>
      <c r="AR165" s="20" t="s">
        <v>1308</v>
      </c>
      <c r="AS165" s="20" t="s">
        <v>1053</v>
      </c>
      <c r="AT165" s="40" t="s">
        <v>1308</v>
      </c>
      <c r="AU165" s="47"/>
      <c r="AV165" s="28"/>
      <c r="AW165" s="66"/>
      <c r="AX165" s="36"/>
    </row>
    <row r="166" spans="1:50" ht="33.75" customHeight="1">
      <c r="A166" s="7"/>
      <c r="B166" s="8">
        <v>163</v>
      </c>
      <c r="C166" s="20" t="s">
        <v>239</v>
      </c>
      <c r="D166" s="20" t="s">
        <v>239</v>
      </c>
      <c r="E166" s="8" t="s">
        <v>74</v>
      </c>
      <c r="F166" s="8" t="s">
        <v>75</v>
      </c>
      <c r="G166" s="19" t="s">
        <v>73</v>
      </c>
      <c r="H166" s="29" t="s">
        <v>76</v>
      </c>
      <c r="I166" s="28"/>
      <c r="J166" s="24">
        <v>300490</v>
      </c>
      <c r="K166" s="11">
        <v>0.05</v>
      </c>
      <c r="L166" s="21">
        <v>609.38</v>
      </c>
      <c r="M166" s="22">
        <f t="shared" si="6"/>
        <v>536.25440000000003</v>
      </c>
      <c r="N166" s="23">
        <f t="shared" si="7"/>
        <v>73.125599999999963</v>
      </c>
      <c r="O166" s="26">
        <f t="shared" si="8"/>
        <v>0.11999999999999994</v>
      </c>
      <c r="P166" s="28"/>
      <c r="Q166" s="28" t="s">
        <v>859</v>
      </c>
      <c r="R166" s="28" t="s">
        <v>889</v>
      </c>
      <c r="S166" s="28"/>
      <c r="T166" s="30">
        <v>1</v>
      </c>
      <c r="U166" s="20" t="s">
        <v>589</v>
      </c>
      <c r="V166" s="28"/>
      <c r="W166" s="28" t="s">
        <v>929</v>
      </c>
      <c r="X166" s="43"/>
      <c r="Y166" s="20" t="s">
        <v>1054</v>
      </c>
      <c r="Z166" s="20" t="s">
        <v>1054</v>
      </c>
      <c r="AA166" s="28"/>
      <c r="AB166" s="28"/>
      <c r="AC166" s="28"/>
      <c r="AD166" t="s">
        <v>1331</v>
      </c>
      <c r="AE166" s="28"/>
      <c r="AF166" s="28"/>
      <c r="AG166" s="28"/>
      <c r="AH166" s="28"/>
      <c r="AI166" s="20" t="s">
        <v>1326</v>
      </c>
      <c r="AJ166" s="28"/>
      <c r="AK166" s="28"/>
      <c r="AL166" s="28"/>
      <c r="AM166" s="28"/>
      <c r="AN166" s="35" t="s">
        <v>691</v>
      </c>
      <c r="AO166" s="28"/>
      <c r="AP166" s="28"/>
      <c r="AQ166" s="44"/>
      <c r="AR166" s="20" t="s">
        <v>1308</v>
      </c>
      <c r="AS166" s="20" t="s">
        <v>1054</v>
      </c>
      <c r="AT166" s="40" t="s">
        <v>1308</v>
      </c>
      <c r="AU166" s="47"/>
      <c r="AV166" s="28"/>
      <c r="AW166" s="66"/>
      <c r="AX166" s="36"/>
    </row>
    <row r="167" spans="1:50" ht="36" customHeight="1">
      <c r="A167" s="7"/>
      <c r="B167" s="8">
        <v>164</v>
      </c>
      <c r="C167" s="20" t="s">
        <v>240</v>
      </c>
      <c r="D167" s="20" t="s">
        <v>240</v>
      </c>
      <c r="E167" s="8" t="s">
        <v>74</v>
      </c>
      <c r="F167" s="8" t="s">
        <v>75</v>
      </c>
      <c r="G167" s="19" t="s">
        <v>73</v>
      </c>
      <c r="H167" s="29" t="s">
        <v>76</v>
      </c>
      <c r="I167" s="28"/>
      <c r="J167" s="24">
        <v>30049099</v>
      </c>
      <c r="K167" s="11">
        <v>0.05</v>
      </c>
      <c r="L167" s="21">
        <v>4593.75</v>
      </c>
      <c r="M167" s="22">
        <f t="shared" si="6"/>
        <v>4042.5</v>
      </c>
      <c r="N167" s="23">
        <f t="shared" si="7"/>
        <v>551.25</v>
      </c>
      <c r="O167" s="26">
        <f t="shared" si="8"/>
        <v>0.12</v>
      </c>
      <c r="P167" s="28"/>
      <c r="Q167" s="28" t="s">
        <v>865</v>
      </c>
      <c r="R167" s="28" t="s">
        <v>889</v>
      </c>
      <c r="S167" s="28"/>
      <c r="T167" s="30">
        <v>1</v>
      </c>
      <c r="U167" s="20" t="s">
        <v>597</v>
      </c>
      <c r="V167" s="28"/>
      <c r="W167" s="28" t="s">
        <v>929</v>
      </c>
      <c r="X167" s="43"/>
      <c r="Y167" s="20" t="s">
        <v>1055</v>
      </c>
      <c r="Z167" s="20" t="s">
        <v>1055</v>
      </c>
      <c r="AA167" s="28"/>
      <c r="AB167" s="28"/>
      <c r="AC167" s="28"/>
      <c r="AD167" s="28"/>
      <c r="AE167" s="28"/>
      <c r="AF167" s="28"/>
      <c r="AG167" s="28"/>
      <c r="AH167" s="28"/>
      <c r="AI167" s="20" t="s">
        <v>1327</v>
      </c>
      <c r="AJ167" s="28"/>
      <c r="AK167" s="28"/>
      <c r="AL167" s="28"/>
      <c r="AM167" s="28"/>
      <c r="AN167" s="35" t="s">
        <v>692</v>
      </c>
      <c r="AO167" s="28"/>
      <c r="AP167" s="28"/>
      <c r="AQ167" s="44"/>
      <c r="AR167" s="20" t="s">
        <v>1309</v>
      </c>
      <c r="AS167" s="20" t="s">
        <v>1055</v>
      </c>
      <c r="AT167" s="40" t="s">
        <v>1309</v>
      </c>
      <c r="AU167" s="47"/>
      <c r="AV167" s="28"/>
      <c r="AW167" s="66"/>
      <c r="AX167" s="36"/>
    </row>
    <row r="168" spans="1:50" ht="34.5" customHeight="1">
      <c r="A168" s="7"/>
      <c r="B168" s="8">
        <v>165</v>
      </c>
      <c r="C168" s="20" t="s">
        <v>241</v>
      </c>
      <c r="D168" s="20" t="s">
        <v>241</v>
      </c>
      <c r="E168" s="8" t="s">
        <v>74</v>
      </c>
      <c r="F168" s="8" t="s">
        <v>75</v>
      </c>
      <c r="G168" s="19" t="s">
        <v>73</v>
      </c>
      <c r="H168" s="29" t="s">
        <v>76</v>
      </c>
      <c r="I168" s="28"/>
      <c r="J168" s="24">
        <v>30043200</v>
      </c>
      <c r="K168" s="11">
        <v>0.05</v>
      </c>
      <c r="L168" s="21">
        <v>1095</v>
      </c>
      <c r="M168" s="22">
        <f t="shared" si="6"/>
        <v>963.6</v>
      </c>
      <c r="N168" s="23">
        <f t="shared" si="7"/>
        <v>131.39999999999998</v>
      </c>
      <c r="O168" s="26">
        <f t="shared" si="8"/>
        <v>0.11999999999999998</v>
      </c>
      <c r="P168" s="28"/>
      <c r="Q168" s="28" t="s">
        <v>859</v>
      </c>
      <c r="R168" s="28" t="s">
        <v>889</v>
      </c>
      <c r="S168" s="28"/>
      <c r="T168" s="30">
        <v>1</v>
      </c>
      <c r="U168" s="20" t="s">
        <v>589</v>
      </c>
      <c r="V168" s="28"/>
      <c r="W168" s="28" t="s">
        <v>929</v>
      </c>
      <c r="X168" s="43"/>
      <c r="Y168" s="20" t="s">
        <v>1056</v>
      </c>
      <c r="Z168" s="20" t="s">
        <v>1056</v>
      </c>
      <c r="AA168" s="28"/>
      <c r="AB168" s="28"/>
      <c r="AC168" s="28"/>
      <c r="AD168" t="s">
        <v>1331</v>
      </c>
      <c r="AE168" s="28"/>
      <c r="AF168" s="28"/>
      <c r="AG168" s="28"/>
      <c r="AH168" s="28"/>
      <c r="AI168" s="20" t="s">
        <v>1327</v>
      </c>
      <c r="AJ168" s="28"/>
      <c r="AK168" s="28"/>
      <c r="AL168" s="28"/>
      <c r="AM168" s="28"/>
      <c r="AN168" s="35" t="s">
        <v>693</v>
      </c>
      <c r="AO168" s="28"/>
      <c r="AP168" s="28"/>
      <c r="AQ168" s="44"/>
      <c r="AR168" s="20" t="s">
        <v>1309</v>
      </c>
      <c r="AS168" s="20" t="s">
        <v>1056</v>
      </c>
      <c r="AT168" s="40" t="s">
        <v>1309</v>
      </c>
      <c r="AU168" s="47"/>
      <c r="AV168" s="28"/>
      <c r="AW168" s="66"/>
      <c r="AX168" s="36"/>
    </row>
    <row r="169" spans="1:50" ht="33" customHeight="1">
      <c r="A169" s="7"/>
      <c r="B169" s="8">
        <v>166</v>
      </c>
      <c r="C169" s="20" t="s">
        <v>242</v>
      </c>
      <c r="D169" s="20" t="s">
        <v>242</v>
      </c>
      <c r="E169" s="8" t="s">
        <v>74</v>
      </c>
      <c r="F169" s="8" t="s">
        <v>75</v>
      </c>
      <c r="G169" s="19" t="s">
        <v>73</v>
      </c>
      <c r="H169" s="29" t="s">
        <v>76</v>
      </c>
      <c r="I169" s="28"/>
      <c r="J169" s="24">
        <v>30049099</v>
      </c>
      <c r="K169" s="11">
        <v>0.05</v>
      </c>
      <c r="L169" s="21">
        <v>135.94</v>
      </c>
      <c r="M169" s="22">
        <f t="shared" si="6"/>
        <v>119.6272</v>
      </c>
      <c r="N169" s="23">
        <f t="shared" si="7"/>
        <v>16.312799999999996</v>
      </c>
      <c r="O169" s="26">
        <f t="shared" si="8"/>
        <v>0.11999999999999997</v>
      </c>
      <c r="P169" s="28"/>
      <c r="Q169" s="28" t="s">
        <v>863</v>
      </c>
      <c r="R169" s="28" t="s">
        <v>889</v>
      </c>
      <c r="S169" s="28"/>
      <c r="T169" s="30">
        <v>1</v>
      </c>
      <c r="U169" s="20" t="s">
        <v>624</v>
      </c>
      <c r="V169" s="28"/>
      <c r="W169" s="28" t="s">
        <v>931</v>
      </c>
      <c r="X169" s="43"/>
      <c r="Y169" s="20" t="s">
        <v>1057</v>
      </c>
      <c r="Z169" s="20" t="s">
        <v>1057</v>
      </c>
      <c r="AA169" s="28"/>
      <c r="AB169" s="28"/>
      <c r="AC169" s="28"/>
      <c r="AD169" s="28"/>
      <c r="AE169" s="28"/>
      <c r="AF169" s="28"/>
      <c r="AG169" s="28"/>
      <c r="AH169" s="28"/>
      <c r="AI169" s="20" t="s">
        <v>1325</v>
      </c>
      <c r="AJ169" s="28"/>
      <c r="AK169" s="28"/>
      <c r="AL169" s="28"/>
      <c r="AM169" s="28"/>
      <c r="AN169" s="35" t="s">
        <v>694</v>
      </c>
      <c r="AO169" s="28"/>
      <c r="AP169" s="28"/>
      <c r="AQ169" s="44"/>
      <c r="AR169" s="20" t="s">
        <v>1312</v>
      </c>
      <c r="AS169" s="20" t="s">
        <v>1057</v>
      </c>
      <c r="AT169" s="40" t="s">
        <v>1312</v>
      </c>
      <c r="AU169" s="47"/>
      <c r="AV169" s="28"/>
      <c r="AW169" s="66"/>
      <c r="AX169" s="36"/>
    </row>
    <row r="170" spans="1:50" ht="36" customHeight="1">
      <c r="A170" s="7"/>
      <c r="B170" s="8">
        <v>167</v>
      </c>
      <c r="C170" s="20" t="s">
        <v>243</v>
      </c>
      <c r="D170" s="20" t="s">
        <v>243</v>
      </c>
      <c r="E170" s="8" t="s">
        <v>74</v>
      </c>
      <c r="F170" s="8" t="s">
        <v>75</v>
      </c>
      <c r="G170" s="19" t="s">
        <v>73</v>
      </c>
      <c r="H170" s="29" t="s">
        <v>76</v>
      </c>
      <c r="I170" s="28"/>
      <c r="J170" s="24">
        <v>30042034</v>
      </c>
      <c r="K170" s="11">
        <v>0.05</v>
      </c>
      <c r="L170" s="21">
        <v>834.3</v>
      </c>
      <c r="M170" s="22">
        <f t="shared" si="6"/>
        <v>734.18399999999997</v>
      </c>
      <c r="N170" s="23">
        <f t="shared" si="7"/>
        <v>100.11599999999999</v>
      </c>
      <c r="O170" s="26">
        <f t="shared" si="8"/>
        <v>0.12</v>
      </c>
      <c r="P170" s="28"/>
      <c r="Q170" s="28" t="s">
        <v>859</v>
      </c>
      <c r="R170" s="28" t="s">
        <v>889</v>
      </c>
      <c r="S170" s="28"/>
      <c r="T170" s="30">
        <v>1</v>
      </c>
      <c r="U170" s="20" t="s">
        <v>589</v>
      </c>
      <c r="V170" s="28"/>
      <c r="W170" s="28" t="s">
        <v>929</v>
      </c>
      <c r="X170" s="43"/>
      <c r="Y170" s="20" t="s">
        <v>1058</v>
      </c>
      <c r="Z170" s="20" t="s">
        <v>1058</v>
      </c>
      <c r="AA170" s="28"/>
      <c r="AB170" s="28"/>
      <c r="AC170" s="28"/>
      <c r="AD170" t="s">
        <v>1331</v>
      </c>
      <c r="AE170" s="28"/>
      <c r="AF170" s="28"/>
      <c r="AG170" s="28"/>
      <c r="AH170" s="28"/>
      <c r="AI170" s="20" t="s">
        <v>1325</v>
      </c>
      <c r="AJ170" s="28"/>
      <c r="AK170" s="28"/>
      <c r="AL170" s="28"/>
      <c r="AM170" s="28"/>
      <c r="AN170" s="35" t="s">
        <v>695</v>
      </c>
      <c r="AO170" s="28"/>
      <c r="AP170" s="28"/>
      <c r="AQ170" s="44"/>
      <c r="AR170" s="20" t="s">
        <v>1312</v>
      </c>
      <c r="AS170" s="20" t="s">
        <v>1058</v>
      </c>
      <c r="AT170" s="40" t="s">
        <v>1312</v>
      </c>
      <c r="AU170" s="47"/>
      <c r="AV170" s="28"/>
      <c r="AW170" s="66"/>
      <c r="AX170" s="36"/>
    </row>
    <row r="171" spans="1:50" ht="36.75" customHeight="1">
      <c r="A171" s="7"/>
      <c r="B171" s="8">
        <v>168</v>
      </c>
      <c r="C171" s="20" t="s">
        <v>244</v>
      </c>
      <c r="D171" s="20" t="s">
        <v>244</v>
      </c>
      <c r="E171" s="8" t="s">
        <v>74</v>
      </c>
      <c r="F171" s="8" t="s">
        <v>75</v>
      </c>
      <c r="G171" s="19" t="s">
        <v>73</v>
      </c>
      <c r="H171" s="29" t="s">
        <v>76</v>
      </c>
      <c r="I171" s="28"/>
      <c r="J171" s="24">
        <v>30049099</v>
      </c>
      <c r="K171" s="11">
        <v>0.05</v>
      </c>
      <c r="L171" s="21">
        <v>92</v>
      </c>
      <c r="M171" s="22">
        <f t="shared" si="6"/>
        <v>80.959999999999994</v>
      </c>
      <c r="N171" s="23">
        <f t="shared" si="7"/>
        <v>11.040000000000006</v>
      </c>
      <c r="O171" s="26">
        <f t="shared" si="8"/>
        <v>0.12000000000000006</v>
      </c>
      <c r="P171" s="28"/>
      <c r="Q171" s="28" t="s">
        <v>858</v>
      </c>
      <c r="R171" s="28" t="s">
        <v>890</v>
      </c>
      <c r="S171" s="28"/>
      <c r="T171" s="30">
        <v>1</v>
      </c>
      <c r="U171" s="20" t="s">
        <v>608</v>
      </c>
      <c r="V171" s="28"/>
      <c r="W171" s="28" t="s">
        <v>928</v>
      </c>
      <c r="X171" s="43"/>
      <c r="Y171" s="40" t="s">
        <v>1059</v>
      </c>
      <c r="Z171" s="40" t="s">
        <v>1059</v>
      </c>
      <c r="AA171" s="28"/>
      <c r="AB171" s="28"/>
      <c r="AC171" s="28"/>
      <c r="AD171" s="28"/>
      <c r="AE171" s="28"/>
      <c r="AF171" s="28"/>
      <c r="AG171" s="28"/>
      <c r="AH171" s="28"/>
      <c r="AI171" s="20" t="s">
        <v>1322</v>
      </c>
      <c r="AJ171" s="28"/>
      <c r="AK171" s="28"/>
      <c r="AL171" s="28"/>
      <c r="AM171" s="28"/>
      <c r="AN171" s="35" t="s">
        <v>696</v>
      </c>
      <c r="AO171" s="28"/>
      <c r="AP171" s="28"/>
      <c r="AQ171" s="44"/>
      <c r="AR171" s="20" t="s">
        <v>1312</v>
      </c>
      <c r="AS171" s="40" t="s">
        <v>1059</v>
      </c>
      <c r="AT171" s="40" t="s">
        <v>1312</v>
      </c>
      <c r="AU171" s="47"/>
      <c r="AV171" s="28"/>
      <c r="AW171" s="66"/>
      <c r="AX171" s="36"/>
    </row>
    <row r="172" spans="1:50" ht="36" customHeight="1">
      <c r="A172" s="7"/>
      <c r="B172" s="8">
        <v>169</v>
      </c>
      <c r="C172" s="20" t="s">
        <v>245</v>
      </c>
      <c r="D172" s="20" t="s">
        <v>245</v>
      </c>
      <c r="E172" s="8" t="s">
        <v>74</v>
      </c>
      <c r="F172" s="8" t="s">
        <v>75</v>
      </c>
      <c r="G172" s="19" t="s">
        <v>73</v>
      </c>
      <c r="H172" s="29" t="s">
        <v>76</v>
      </c>
      <c r="I172" s="28"/>
      <c r="J172" s="24">
        <v>30049099</v>
      </c>
      <c r="K172" s="11">
        <v>0.05</v>
      </c>
      <c r="L172" s="21">
        <v>73.13</v>
      </c>
      <c r="M172" s="22">
        <f t="shared" si="6"/>
        <v>64.354399999999998</v>
      </c>
      <c r="N172" s="23">
        <f t="shared" si="7"/>
        <v>8.7755999999999972</v>
      </c>
      <c r="O172" s="26">
        <f t="shared" si="8"/>
        <v>0.11999999999999997</v>
      </c>
      <c r="P172" s="28"/>
      <c r="Q172" s="28" t="s">
        <v>863</v>
      </c>
      <c r="R172" s="28" t="s">
        <v>889</v>
      </c>
      <c r="S172" s="28"/>
      <c r="T172" s="30">
        <v>1</v>
      </c>
      <c r="U172" s="20" t="s">
        <v>624</v>
      </c>
      <c r="V172" s="28"/>
      <c r="W172" s="28" t="s">
        <v>931</v>
      </c>
      <c r="X172" s="43"/>
      <c r="Y172" s="20" t="s">
        <v>1060</v>
      </c>
      <c r="Z172" s="20" t="s">
        <v>1060</v>
      </c>
      <c r="AA172" s="28"/>
      <c r="AB172" s="28"/>
      <c r="AC172" s="28"/>
      <c r="AD172" s="28"/>
      <c r="AE172" s="28"/>
      <c r="AF172" s="28"/>
      <c r="AG172" s="28"/>
      <c r="AH172" s="28"/>
      <c r="AI172" s="20" t="s">
        <v>1325</v>
      </c>
      <c r="AJ172" s="28"/>
      <c r="AK172" s="28"/>
      <c r="AL172" s="28"/>
      <c r="AM172" s="28"/>
      <c r="AN172" s="35" t="s">
        <v>697</v>
      </c>
      <c r="AO172" s="28"/>
      <c r="AP172" s="28"/>
      <c r="AQ172" s="44"/>
      <c r="AR172" s="20" t="s">
        <v>1312</v>
      </c>
      <c r="AS172" s="20" t="s">
        <v>1060</v>
      </c>
      <c r="AT172" s="40" t="s">
        <v>1312</v>
      </c>
      <c r="AU172" s="47"/>
      <c r="AV172" s="28"/>
      <c r="AW172" s="66"/>
      <c r="AX172" s="36"/>
    </row>
    <row r="173" spans="1:50" ht="49.5" customHeight="1">
      <c r="A173" s="7"/>
      <c r="B173" s="8">
        <v>170</v>
      </c>
      <c r="C173" s="20" t="s">
        <v>246</v>
      </c>
      <c r="D173" s="20" t="s">
        <v>246</v>
      </c>
      <c r="E173" s="8" t="s">
        <v>74</v>
      </c>
      <c r="F173" s="8" t="s">
        <v>75</v>
      </c>
      <c r="G173" s="19" t="s">
        <v>73</v>
      </c>
      <c r="H173" s="29" t="s">
        <v>76</v>
      </c>
      <c r="I173" s="28"/>
      <c r="J173" s="24">
        <v>30049099</v>
      </c>
      <c r="K173" s="11">
        <v>0.05</v>
      </c>
      <c r="L173" s="21">
        <v>110</v>
      </c>
      <c r="M173" s="22">
        <f t="shared" si="6"/>
        <v>96.8</v>
      </c>
      <c r="N173" s="23">
        <f t="shared" si="7"/>
        <v>13.200000000000003</v>
      </c>
      <c r="O173" s="26">
        <f t="shared" si="8"/>
        <v>0.12000000000000002</v>
      </c>
      <c r="P173" s="28"/>
      <c r="Q173" s="28" t="s">
        <v>878</v>
      </c>
      <c r="R173" s="28" t="s">
        <v>890</v>
      </c>
      <c r="S173" s="28"/>
      <c r="T173" s="30">
        <v>1</v>
      </c>
      <c r="U173" s="20" t="s">
        <v>600</v>
      </c>
      <c r="V173" s="28"/>
      <c r="W173" s="28" t="s">
        <v>930</v>
      </c>
      <c r="X173" s="43"/>
      <c r="Y173" s="40" t="s">
        <v>1061</v>
      </c>
      <c r="Z173" s="40" t="s">
        <v>1061</v>
      </c>
      <c r="AA173" s="28"/>
      <c r="AB173" s="28"/>
      <c r="AC173" s="28"/>
      <c r="AD173" s="28"/>
      <c r="AE173" s="28"/>
      <c r="AF173" s="28"/>
      <c r="AG173" s="28"/>
      <c r="AH173" s="28"/>
      <c r="AI173" s="20" t="s">
        <v>1322</v>
      </c>
      <c r="AJ173" s="28"/>
      <c r="AK173" s="28"/>
      <c r="AL173" s="28"/>
      <c r="AM173" s="28"/>
      <c r="AN173" s="37"/>
      <c r="AO173" s="28"/>
      <c r="AP173" s="28"/>
      <c r="AQ173" s="44"/>
      <c r="AR173" s="20" t="s">
        <v>1312</v>
      </c>
      <c r="AS173" s="40" t="s">
        <v>1061</v>
      </c>
      <c r="AT173" s="40" t="s">
        <v>1312</v>
      </c>
      <c r="AU173" s="47"/>
      <c r="AV173" s="28"/>
      <c r="AW173" s="66"/>
      <c r="AX173" s="36"/>
    </row>
    <row r="174" spans="1:50" ht="40.5" customHeight="1">
      <c r="A174" s="7"/>
      <c r="B174" s="8">
        <v>171</v>
      </c>
      <c r="C174" s="20" t="s">
        <v>247</v>
      </c>
      <c r="D174" s="20" t="s">
        <v>247</v>
      </c>
      <c r="E174" s="8" t="s">
        <v>74</v>
      </c>
      <c r="F174" s="8" t="s">
        <v>75</v>
      </c>
      <c r="G174" s="19" t="s">
        <v>73</v>
      </c>
      <c r="H174" s="29" t="s">
        <v>76</v>
      </c>
      <c r="I174" s="28"/>
      <c r="J174" s="24">
        <v>30049099</v>
      </c>
      <c r="K174" s="11">
        <v>0.05</v>
      </c>
      <c r="L174" s="21">
        <v>60</v>
      </c>
      <c r="M174" s="22">
        <f t="shared" si="6"/>
        <v>52.8</v>
      </c>
      <c r="N174" s="23">
        <f t="shared" si="7"/>
        <v>7.2000000000000028</v>
      </c>
      <c r="O174" s="26">
        <f t="shared" si="8"/>
        <v>0.12000000000000005</v>
      </c>
      <c r="P174" s="28"/>
      <c r="Q174" s="28" t="s">
        <v>863</v>
      </c>
      <c r="R174" s="28" t="s">
        <v>889</v>
      </c>
      <c r="S174" s="28"/>
      <c r="T174" s="30">
        <v>1</v>
      </c>
      <c r="U174" s="20" t="s">
        <v>591</v>
      </c>
      <c r="V174" s="28"/>
      <c r="W174" s="28" t="s">
        <v>931</v>
      </c>
      <c r="X174" s="43"/>
      <c r="Y174" s="40" t="s">
        <v>1062</v>
      </c>
      <c r="Z174" s="40" t="s">
        <v>1062</v>
      </c>
      <c r="AA174" s="28"/>
      <c r="AB174" s="28"/>
      <c r="AC174" s="28"/>
      <c r="AD174" s="28"/>
      <c r="AE174" s="28"/>
      <c r="AF174" s="28"/>
      <c r="AG174" s="28"/>
      <c r="AH174" s="28"/>
      <c r="AI174" s="20" t="s">
        <v>1325</v>
      </c>
      <c r="AJ174" s="28"/>
      <c r="AK174" s="28"/>
      <c r="AL174" s="28"/>
      <c r="AM174" s="28"/>
      <c r="AN174" s="37"/>
      <c r="AO174" s="28"/>
      <c r="AP174" s="28"/>
      <c r="AQ174" s="44"/>
      <c r="AR174" s="20" t="s">
        <v>1307</v>
      </c>
      <c r="AS174" s="40" t="s">
        <v>1062</v>
      </c>
      <c r="AT174" s="40" t="s">
        <v>1307</v>
      </c>
      <c r="AU174" s="47"/>
      <c r="AV174" s="28"/>
      <c r="AW174" s="66"/>
      <c r="AX174" s="36"/>
    </row>
    <row r="175" spans="1:50" ht="31.5" customHeight="1">
      <c r="A175" s="7"/>
      <c r="B175" s="8">
        <v>172</v>
      </c>
      <c r="C175" s="20" t="s">
        <v>248</v>
      </c>
      <c r="D175" s="20" t="s">
        <v>248</v>
      </c>
      <c r="E175" s="8" t="s">
        <v>74</v>
      </c>
      <c r="F175" s="8" t="s">
        <v>75</v>
      </c>
      <c r="G175" s="19" t="s">
        <v>73</v>
      </c>
      <c r="H175" s="29" t="s">
        <v>76</v>
      </c>
      <c r="I175" s="28"/>
      <c r="J175" s="24">
        <v>30049099</v>
      </c>
      <c r="K175" s="11">
        <v>0.05</v>
      </c>
      <c r="L175" s="21">
        <v>79.69</v>
      </c>
      <c r="M175" s="22">
        <f t="shared" si="6"/>
        <v>70.127200000000002</v>
      </c>
      <c r="N175" s="23">
        <f t="shared" si="7"/>
        <v>9.5627999999999957</v>
      </c>
      <c r="O175" s="26">
        <f t="shared" si="8"/>
        <v>0.11999999999999995</v>
      </c>
      <c r="P175" s="28"/>
      <c r="Q175" s="28" t="s">
        <v>863</v>
      </c>
      <c r="R175" s="28" t="s">
        <v>889</v>
      </c>
      <c r="S175" s="28"/>
      <c r="T175" s="30">
        <v>1</v>
      </c>
      <c r="U175" s="20" t="s">
        <v>624</v>
      </c>
      <c r="V175" s="28"/>
      <c r="W175" s="28" t="s">
        <v>931</v>
      </c>
      <c r="X175" s="43"/>
      <c r="Y175" s="40" t="s">
        <v>1063</v>
      </c>
      <c r="Z175" s="40" t="s">
        <v>1063</v>
      </c>
      <c r="AA175" s="28"/>
      <c r="AB175" s="28"/>
      <c r="AC175" s="28"/>
      <c r="AD175" s="28"/>
      <c r="AE175" s="28"/>
      <c r="AF175" s="28"/>
      <c r="AG175" s="28"/>
      <c r="AH175" s="28"/>
      <c r="AI175" s="20" t="s">
        <v>1325</v>
      </c>
      <c r="AJ175" s="28"/>
      <c r="AK175" s="28"/>
      <c r="AL175" s="28"/>
      <c r="AM175" s="28"/>
      <c r="AN175" s="37"/>
      <c r="AO175" s="28"/>
      <c r="AP175" s="28"/>
      <c r="AQ175" s="44"/>
      <c r="AR175" s="20" t="s">
        <v>1307</v>
      </c>
      <c r="AS175" s="40" t="s">
        <v>1063</v>
      </c>
      <c r="AT175" s="40" t="s">
        <v>1307</v>
      </c>
      <c r="AU175" s="47"/>
      <c r="AV175" s="28"/>
      <c r="AW175" s="66"/>
      <c r="AX175" s="36"/>
    </row>
    <row r="176" spans="1:50" ht="39.75" customHeight="1">
      <c r="A176" s="7"/>
      <c r="B176" s="8">
        <v>173</v>
      </c>
      <c r="C176" s="20" t="s">
        <v>249</v>
      </c>
      <c r="D176" s="20" t="s">
        <v>249</v>
      </c>
      <c r="E176" s="8" t="s">
        <v>74</v>
      </c>
      <c r="F176" s="8" t="s">
        <v>75</v>
      </c>
      <c r="G176" s="19" t="s">
        <v>73</v>
      </c>
      <c r="H176" s="29" t="s">
        <v>76</v>
      </c>
      <c r="I176" s="28"/>
      <c r="J176" s="24">
        <v>30042034</v>
      </c>
      <c r="K176" s="11">
        <v>0.05</v>
      </c>
      <c r="L176" s="21">
        <v>1359.38</v>
      </c>
      <c r="M176" s="22">
        <f t="shared" si="6"/>
        <v>1196.2544</v>
      </c>
      <c r="N176" s="23">
        <f t="shared" si="7"/>
        <v>163.12560000000008</v>
      </c>
      <c r="O176" s="26">
        <f t="shared" si="8"/>
        <v>0.12000000000000005</v>
      </c>
      <c r="P176" s="28"/>
      <c r="Q176" s="28" t="s">
        <v>859</v>
      </c>
      <c r="R176" s="28" t="s">
        <v>889</v>
      </c>
      <c r="S176" s="28"/>
      <c r="T176" s="30">
        <v>1</v>
      </c>
      <c r="U176" s="20" t="s">
        <v>589</v>
      </c>
      <c r="V176" s="28"/>
      <c r="W176" s="28" t="s">
        <v>929</v>
      </c>
      <c r="X176" s="43"/>
      <c r="Y176" s="20" t="s">
        <v>1064</v>
      </c>
      <c r="Z176" s="20" t="s">
        <v>1064</v>
      </c>
      <c r="AA176" s="28"/>
      <c r="AB176" s="28"/>
      <c r="AC176" s="28"/>
      <c r="AD176" t="s">
        <v>1331</v>
      </c>
      <c r="AE176" s="28"/>
      <c r="AF176" s="28"/>
      <c r="AG176" s="28"/>
      <c r="AH176" s="28"/>
      <c r="AI176" s="20" t="s">
        <v>1325</v>
      </c>
      <c r="AJ176" s="28"/>
      <c r="AK176" s="28"/>
      <c r="AL176" s="28"/>
      <c r="AM176" s="28"/>
      <c r="AN176" s="35" t="s">
        <v>698</v>
      </c>
      <c r="AO176" s="28"/>
      <c r="AP176" s="28"/>
      <c r="AQ176" s="44"/>
      <c r="AR176" s="20" t="s">
        <v>1312</v>
      </c>
      <c r="AS176" s="20" t="s">
        <v>1064</v>
      </c>
      <c r="AT176" s="40" t="s">
        <v>1312</v>
      </c>
      <c r="AU176" s="47"/>
      <c r="AV176" s="28"/>
      <c r="AW176" s="66"/>
      <c r="AX176" s="36"/>
    </row>
    <row r="177" spans="1:50" ht="45" customHeight="1">
      <c r="A177" s="7"/>
      <c r="B177" s="8">
        <v>174</v>
      </c>
      <c r="C177" s="20" t="s">
        <v>250</v>
      </c>
      <c r="D177" s="20" t="s">
        <v>250</v>
      </c>
      <c r="E177" s="8" t="s">
        <v>74</v>
      </c>
      <c r="F177" s="8" t="s">
        <v>75</v>
      </c>
      <c r="G177" s="19" t="s">
        <v>73</v>
      </c>
      <c r="H177" s="29" t="s">
        <v>76</v>
      </c>
      <c r="I177" s="28"/>
      <c r="J177" s="24">
        <v>30049034</v>
      </c>
      <c r="K177" s="11">
        <v>0.05</v>
      </c>
      <c r="L177" s="21">
        <v>225</v>
      </c>
      <c r="M177" s="22">
        <f t="shared" si="6"/>
        <v>198</v>
      </c>
      <c r="N177" s="23">
        <f t="shared" si="7"/>
        <v>27</v>
      </c>
      <c r="O177" s="26">
        <f t="shared" si="8"/>
        <v>0.12</v>
      </c>
      <c r="P177" s="28"/>
      <c r="Q177" s="28" t="s">
        <v>871</v>
      </c>
      <c r="R177" s="28" t="s">
        <v>890</v>
      </c>
      <c r="S177" s="28"/>
      <c r="T177" s="30">
        <v>1</v>
      </c>
      <c r="U177" s="20" t="s">
        <v>614</v>
      </c>
      <c r="V177" s="28"/>
      <c r="W177" s="28" t="s">
        <v>928</v>
      </c>
      <c r="X177" s="43"/>
      <c r="Y177" s="51" t="s">
        <v>1065</v>
      </c>
      <c r="Z177" s="51" t="s">
        <v>1065</v>
      </c>
      <c r="AA177" s="28"/>
      <c r="AB177" s="28"/>
      <c r="AC177" s="28"/>
      <c r="AD177" s="28"/>
      <c r="AE177" s="28"/>
      <c r="AF177" s="28"/>
      <c r="AG177" s="28"/>
      <c r="AH177" s="28"/>
      <c r="AI177" s="20" t="s">
        <v>1322</v>
      </c>
      <c r="AJ177" s="28"/>
      <c r="AK177" s="28"/>
      <c r="AL177" s="28"/>
      <c r="AM177" s="28"/>
      <c r="AN177" s="35" t="s">
        <v>699</v>
      </c>
      <c r="AO177" s="28"/>
      <c r="AP177" s="28"/>
      <c r="AQ177" s="44"/>
      <c r="AR177" s="20" t="s">
        <v>1308</v>
      </c>
      <c r="AS177" s="51" t="s">
        <v>1065</v>
      </c>
      <c r="AT177" s="40" t="s">
        <v>1308</v>
      </c>
      <c r="AU177" s="47"/>
      <c r="AV177" s="28"/>
      <c r="AW177" s="66"/>
      <c r="AX177" s="36"/>
    </row>
    <row r="178" spans="1:50" ht="29.25" customHeight="1">
      <c r="A178" s="7"/>
      <c r="B178" s="8">
        <v>175</v>
      </c>
      <c r="C178" s="20" t="s">
        <v>251</v>
      </c>
      <c r="D178" s="20" t="s">
        <v>251</v>
      </c>
      <c r="E178" s="8" t="s">
        <v>74</v>
      </c>
      <c r="F178" s="8" t="s">
        <v>75</v>
      </c>
      <c r="G178" s="19" t="s">
        <v>73</v>
      </c>
      <c r="H178" s="29" t="s">
        <v>76</v>
      </c>
      <c r="I178" s="28"/>
      <c r="J178" s="24">
        <v>30049081</v>
      </c>
      <c r="K178" s="11">
        <v>0.05</v>
      </c>
      <c r="L178" s="21">
        <v>1537.5</v>
      </c>
      <c r="M178" s="22">
        <f t="shared" si="6"/>
        <v>1353</v>
      </c>
      <c r="N178" s="23">
        <f t="shared" si="7"/>
        <v>184.5</v>
      </c>
      <c r="O178" s="26">
        <f t="shared" si="8"/>
        <v>0.12</v>
      </c>
      <c r="P178" s="28"/>
      <c r="Q178" s="28" t="s">
        <v>859</v>
      </c>
      <c r="R178" s="28" t="s">
        <v>889</v>
      </c>
      <c r="S178" s="28"/>
      <c r="T178" s="30">
        <v>1</v>
      </c>
      <c r="U178" s="20" t="s">
        <v>589</v>
      </c>
      <c r="V178" s="28"/>
      <c r="W178" s="28" t="s">
        <v>929</v>
      </c>
      <c r="X178" s="43"/>
      <c r="Y178" s="40" t="s">
        <v>1193</v>
      </c>
      <c r="Z178" s="40" t="s">
        <v>1193</v>
      </c>
      <c r="AA178" s="28"/>
      <c r="AB178" s="28"/>
      <c r="AC178" s="28"/>
      <c r="AD178" t="s">
        <v>1331</v>
      </c>
      <c r="AE178" s="28"/>
      <c r="AF178" s="28"/>
      <c r="AG178" s="28"/>
      <c r="AH178" s="28"/>
      <c r="AI178" s="20" t="s">
        <v>1329</v>
      </c>
      <c r="AJ178" s="28"/>
      <c r="AK178" s="28"/>
      <c r="AL178" s="28"/>
      <c r="AM178" s="28"/>
      <c r="AN178" s="35" t="s">
        <v>700</v>
      </c>
      <c r="AO178" s="28"/>
      <c r="AP178" s="28"/>
      <c r="AQ178" s="44"/>
      <c r="AR178" s="20" t="s">
        <v>1306</v>
      </c>
      <c r="AS178" s="40" t="s">
        <v>1193</v>
      </c>
      <c r="AT178" s="40" t="s">
        <v>1306</v>
      </c>
      <c r="AU178" s="47"/>
      <c r="AV178" s="28"/>
      <c r="AW178" s="66"/>
      <c r="AX178" s="36"/>
    </row>
    <row r="179" spans="1:50" ht="29.25" customHeight="1">
      <c r="A179" s="7"/>
      <c r="B179" s="8">
        <v>176</v>
      </c>
      <c r="C179" s="20" t="s">
        <v>252</v>
      </c>
      <c r="D179" s="20" t="s">
        <v>252</v>
      </c>
      <c r="E179" s="8" t="s">
        <v>74</v>
      </c>
      <c r="F179" s="8" t="s">
        <v>75</v>
      </c>
      <c r="G179" s="19" t="s">
        <v>73</v>
      </c>
      <c r="H179" s="29" t="s">
        <v>76</v>
      </c>
      <c r="I179" s="28"/>
      <c r="J179" s="24">
        <v>30049081</v>
      </c>
      <c r="K179" s="11">
        <v>0.05</v>
      </c>
      <c r="L179" s="21">
        <v>1031.25</v>
      </c>
      <c r="M179" s="22">
        <f t="shared" si="6"/>
        <v>907.5</v>
      </c>
      <c r="N179" s="23">
        <f t="shared" si="7"/>
        <v>123.75</v>
      </c>
      <c r="O179" s="26">
        <f t="shared" si="8"/>
        <v>0.12</v>
      </c>
      <c r="P179" s="28"/>
      <c r="Q179" s="28" t="s">
        <v>859</v>
      </c>
      <c r="R179" s="28" t="s">
        <v>889</v>
      </c>
      <c r="S179" s="28"/>
      <c r="T179" s="30">
        <v>1</v>
      </c>
      <c r="U179" s="20" t="s">
        <v>589</v>
      </c>
      <c r="V179" s="28"/>
      <c r="W179" s="28" t="s">
        <v>929</v>
      </c>
      <c r="X179" s="43"/>
      <c r="Y179" s="40" t="s">
        <v>1194</v>
      </c>
      <c r="Z179" s="40" t="s">
        <v>1194</v>
      </c>
      <c r="AA179" s="28"/>
      <c r="AB179" s="28"/>
      <c r="AC179" s="28"/>
      <c r="AD179" t="s">
        <v>1331</v>
      </c>
      <c r="AE179" s="28"/>
      <c r="AF179" s="28"/>
      <c r="AG179" s="28"/>
      <c r="AH179" s="28"/>
      <c r="AI179" s="20" t="s">
        <v>1327</v>
      </c>
      <c r="AJ179" s="28"/>
      <c r="AK179" s="28"/>
      <c r="AL179" s="28"/>
      <c r="AM179" s="28"/>
      <c r="AN179" s="35" t="s">
        <v>701</v>
      </c>
      <c r="AO179" s="28"/>
      <c r="AP179" s="28"/>
      <c r="AQ179" s="44"/>
      <c r="AR179" s="20" t="s">
        <v>1314</v>
      </c>
      <c r="AS179" s="40" t="s">
        <v>1194</v>
      </c>
      <c r="AT179" s="40" t="s">
        <v>1314</v>
      </c>
      <c r="AU179" s="47"/>
      <c r="AV179" s="28"/>
      <c r="AW179" s="66"/>
      <c r="AX179" s="36"/>
    </row>
    <row r="180" spans="1:50" ht="30" customHeight="1">
      <c r="A180" s="7"/>
      <c r="B180" s="8">
        <v>177</v>
      </c>
      <c r="C180" s="20" t="s">
        <v>253</v>
      </c>
      <c r="D180" s="20" t="s">
        <v>253</v>
      </c>
      <c r="E180" s="8" t="s">
        <v>74</v>
      </c>
      <c r="F180" s="8" t="s">
        <v>75</v>
      </c>
      <c r="G180" s="19" t="s">
        <v>73</v>
      </c>
      <c r="H180" s="29" t="s">
        <v>76</v>
      </c>
      <c r="I180" s="28"/>
      <c r="J180" s="24">
        <v>30049081</v>
      </c>
      <c r="K180" s="11">
        <v>0.05</v>
      </c>
      <c r="L180" s="21">
        <v>1968.75</v>
      </c>
      <c r="M180" s="22">
        <f t="shared" si="6"/>
        <v>1732.5</v>
      </c>
      <c r="N180" s="23">
        <f t="shared" si="7"/>
        <v>236.25</v>
      </c>
      <c r="O180" s="26">
        <f t="shared" si="8"/>
        <v>0.12</v>
      </c>
      <c r="P180" s="28"/>
      <c r="Q180" s="28" t="s">
        <v>859</v>
      </c>
      <c r="R180" s="28" t="s">
        <v>889</v>
      </c>
      <c r="S180" s="28"/>
      <c r="T180" s="30">
        <v>1</v>
      </c>
      <c r="U180" s="20" t="s">
        <v>589</v>
      </c>
      <c r="V180" s="28"/>
      <c r="W180" s="28" t="s">
        <v>929</v>
      </c>
      <c r="X180" s="43"/>
      <c r="Y180" s="40" t="s">
        <v>1195</v>
      </c>
      <c r="Z180" s="40" t="s">
        <v>1195</v>
      </c>
      <c r="AA180" s="28"/>
      <c r="AB180" s="28"/>
      <c r="AC180" s="28"/>
      <c r="AD180" t="s">
        <v>1331</v>
      </c>
      <c r="AE180" s="28"/>
      <c r="AF180" s="28"/>
      <c r="AG180" s="28"/>
      <c r="AH180" s="28"/>
      <c r="AI180" s="20" t="s">
        <v>1327</v>
      </c>
      <c r="AJ180" s="28"/>
      <c r="AK180" s="28"/>
      <c r="AL180" s="28"/>
      <c r="AM180" s="28"/>
      <c r="AN180" s="35" t="s">
        <v>702</v>
      </c>
      <c r="AO180" s="28"/>
      <c r="AP180" s="28"/>
      <c r="AQ180" s="44"/>
      <c r="AR180" s="20" t="s">
        <v>1314</v>
      </c>
      <c r="AS180" s="40" t="s">
        <v>1195</v>
      </c>
      <c r="AT180" s="40" t="s">
        <v>1314</v>
      </c>
      <c r="AU180" s="47"/>
      <c r="AV180" s="28"/>
      <c r="AW180" s="66"/>
      <c r="AX180" s="36"/>
    </row>
    <row r="181" spans="1:50" ht="15.75" customHeight="1">
      <c r="A181" s="7"/>
      <c r="B181" s="8">
        <v>178</v>
      </c>
      <c r="C181" s="20" t="s">
        <v>254</v>
      </c>
      <c r="D181" s="20" t="s">
        <v>254</v>
      </c>
      <c r="E181" s="8" t="s">
        <v>74</v>
      </c>
      <c r="F181" s="8" t="s">
        <v>75</v>
      </c>
      <c r="G181" s="19" t="s">
        <v>73</v>
      </c>
      <c r="H181" s="29" t="s">
        <v>76</v>
      </c>
      <c r="I181" s="28"/>
      <c r="J181" s="24">
        <v>30049099</v>
      </c>
      <c r="K181" s="11">
        <v>0.05</v>
      </c>
      <c r="L181" s="21">
        <v>120</v>
      </c>
      <c r="M181" s="22">
        <f t="shared" si="6"/>
        <v>105.6</v>
      </c>
      <c r="N181" s="23">
        <f t="shared" si="7"/>
        <v>14.400000000000006</v>
      </c>
      <c r="O181" s="26">
        <f t="shared" si="8"/>
        <v>0.12000000000000005</v>
      </c>
      <c r="P181" s="28"/>
      <c r="Q181" s="28" t="s">
        <v>862</v>
      </c>
      <c r="R181" s="28" t="s">
        <v>889</v>
      </c>
      <c r="S181" s="28"/>
      <c r="T181" s="30">
        <v>1</v>
      </c>
      <c r="U181" s="20" t="s">
        <v>592</v>
      </c>
      <c r="V181" s="28"/>
      <c r="W181" s="28" t="s">
        <v>931</v>
      </c>
      <c r="X181" s="43"/>
      <c r="Y181" s="40" t="s">
        <v>1196</v>
      </c>
      <c r="Z181" s="40" t="s">
        <v>1196</v>
      </c>
      <c r="AA181" s="28"/>
      <c r="AB181" s="28"/>
      <c r="AC181" s="28"/>
      <c r="AD181" s="28"/>
      <c r="AE181" s="28"/>
      <c r="AF181" s="28"/>
      <c r="AG181" s="28"/>
      <c r="AH181" s="28"/>
      <c r="AI181" s="20" t="s">
        <v>1327</v>
      </c>
      <c r="AJ181" s="28"/>
      <c r="AK181" s="28"/>
      <c r="AL181" s="28"/>
      <c r="AM181" s="28"/>
      <c r="AN181" s="37"/>
      <c r="AO181" s="28"/>
      <c r="AP181" s="28"/>
      <c r="AQ181" s="44"/>
      <c r="AR181" s="20" t="s">
        <v>1309</v>
      </c>
      <c r="AS181" s="40" t="s">
        <v>1196</v>
      </c>
      <c r="AT181" s="40" t="s">
        <v>1309</v>
      </c>
      <c r="AU181" s="47"/>
      <c r="AV181" s="28"/>
      <c r="AW181" s="66"/>
      <c r="AX181" s="36"/>
    </row>
    <row r="182" spans="1:50" ht="15.75" customHeight="1">
      <c r="A182" s="7"/>
      <c r="B182" s="8">
        <v>179</v>
      </c>
      <c r="C182" s="20" t="s">
        <v>255</v>
      </c>
      <c r="D182" s="20" t="s">
        <v>255</v>
      </c>
      <c r="E182" s="8" t="s">
        <v>74</v>
      </c>
      <c r="F182" s="8" t="s">
        <v>75</v>
      </c>
      <c r="G182" s="19" t="s">
        <v>73</v>
      </c>
      <c r="H182" s="29" t="s">
        <v>76</v>
      </c>
      <c r="I182" s="28"/>
      <c r="J182" s="24">
        <v>30049099</v>
      </c>
      <c r="K182" s="11">
        <v>0.05</v>
      </c>
      <c r="L182" s="21">
        <v>990</v>
      </c>
      <c r="M182" s="22">
        <f t="shared" si="6"/>
        <v>871.2</v>
      </c>
      <c r="N182" s="23">
        <f t="shared" si="7"/>
        <v>118.79999999999995</v>
      </c>
      <c r="O182" s="26">
        <f t="shared" si="8"/>
        <v>0.11999999999999995</v>
      </c>
      <c r="P182" s="28"/>
      <c r="Q182" s="28" t="s">
        <v>859</v>
      </c>
      <c r="R182" s="28" t="s">
        <v>889</v>
      </c>
      <c r="S182" s="28"/>
      <c r="T182" s="30">
        <v>1</v>
      </c>
      <c r="U182" s="20" t="s">
        <v>589</v>
      </c>
      <c r="V182" s="28"/>
      <c r="W182" s="28" t="s">
        <v>929</v>
      </c>
      <c r="X182" s="43"/>
      <c r="Y182" s="41" t="s">
        <v>1197</v>
      </c>
      <c r="Z182" s="41" t="s">
        <v>1197</v>
      </c>
      <c r="AA182" s="28"/>
      <c r="AB182" s="28"/>
      <c r="AC182" s="28"/>
      <c r="AD182" t="s">
        <v>1331</v>
      </c>
      <c r="AE182" s="28"/>
      <c r="AF182" s="28"/>
      <c r="AG182" s="28"/>
      <c r="AH182" s="28"/>
      <c r="AI182" s="20" t="s">
        <v>1327</v>
      </c>
      <c r="AJ182" s="28"/>
      <c r="AK182" s="28"/>
      <c r="AL182" s="28"/>
      <c r="AM182" s="28"/>
      <c r="AN182" s="37"/>
      <c r="AO182" s="28"/>
      <c r="AP182" s="28"/>
      <c r="AQ182" s="44"/>
      <c r="AR182" s="20" t="s">
        <v>1309</v>
      </c>
      <c r="AS182" s="41" t="s">
        <v>1197</v>
      </c>
      <c r="AT182" s="40" t="s">
        <v>1309</v>
      </c>
      <c r="AU182" s="47"/>
      <c r="AV182" s="28"/>
      <c r="AW182" s="66"/>
      <c r="AX182" s="36"/>
    </row>
    <row r="183" spans="1:50" ht="36.75" customHeight="1">
      <c r="A183" s="7"/>
      <c r="B183" s="8">
        <v>180</v>
      </c>
      <c r="C183" s="20" t="s">
        <v>256</v>
      </c>
      <c r="D183" s="20" t="s">
        <v>256</v>
      </c>
      <c r="E183" s="8" t="s">
        <v>74</v>
      </c>
      <c r="F183" s="8" t="s">
        <v>75</v>
      </c>
      <c r="G183" s="19" t="s">
        <v>73</v>
      </c>
      <c r="H183" s="29" t="s">
        <v>76</v>
      </c>
      <c r="I183" s="28"/>
      <c r="J183" s="24">
        <v>30049099</v>
      </c>
      <c r="K183" s="11">
        <v>0.05</v>
      </c>
      <c r="L183" s="21">
        <v>1359.38</v>
      </c>
      <c r="M183" s="22">
        <f t="shared" si="6"/>
        <v>1196.2544</v>
      </c>
      <c r="N183" s="23">
        <f t="shared" si="7"/>
        <v>163.12560000000008</v>
      </c>
      <c r="O183" s="26">
        <f t="shared" si="8"/>
        <v>0.12000000000000005</v>
      </c>
      <c r="P183" s="28"/>
      <c r="Q183" s="28" t="s">
        <v>859</v>
      </c>
      <c r="R183" s="28" t="s">
        <v>889</v>
      </c>
      <c r="S183" s="28"/>
      <c r="T183" s="30">
        <v>1</v>
      </c>
      <c r="U183" s="20" t="s">
        <v>589</v>
      </c>
      <c r="V183" s="28"/>
      <c r="W183" s="28" t="s">
        <v>929</v>
      </c>
      <c r="X183" s="43"/>
      <c r="Y183" s="40" t="s">
        <v>1198</v>
      </c>
      <c r="Z183" s="40" t="s">
        <v>1198</v>
      </c>
      <c r="AA183" s="28"/>
      <c r="AB183" s="28"/>
      <c r="AC183" s="28"/>
      <c r="AD183" t="s">
        <v>1331</v>
      </c>
      <c r="AE183" s="28"/>
      <c r="AF183" s="28"/>
      <c r="AG183" s="28"/>
      <c r="AH183" s="28"/>
      <c r="AI183" s="20" t="s">
        <v>1324</v>
      </c>
      <c r="AJ183" s="28"/>
      <c r="AK183" s="28"/>
      <c r="AL183" s="28"/>
      <c r="AM183" s="28"/>
      <c r="AN183" s="35" t="s">
        <v>703</v>
      </c>
      <c r="AO183" s="28"/>
      <c r="AP183" s="28"/>
      <c r="AQ183" s="44"/>
      <c r="AR183" s="20" t="s">
        <v>1311</v>
      </c>
      <c r="AS183" s="40" t="s">
        <v>1198</v>
      </c>
      <c r="AT183" s="40" t="s">
        <v>1311</v>
      </c>
      <c r="AU183" s="47"/>
      <c r="AV183" s="28"/>
      <c r="AW183" s="66"/>
      <c r="AX183" s="36"/>
    </row>
    <row r="184" spans="1:50" ht="15.75" customHeight="1">
      <c r="A184" s="7"/>
      <c r="B184" s="8">
        <v>181</v>
      </c>
      <c r="C184" s="20" t="s">
        <v>257</v>
      </c>
      <c r="D184" s="20" t="s">
        <v>257</v>
      </c>
      <c r="E184" s="8" t="s">
        <v>74</v>
      </c>
      <c r="F184" s="8" t="s">
        <v>75</v>
      </c>
      <c r="G184" s="19" t="s">
        <v>73</v>
      </c>
      <c r="H184" s="29" t="s">
        <v>76</v>
      </c>
      <c r="I184" s="28"/>
      <c r="J184" s="24">
        <v>30043919</v>
      </c>
      <c r="K184" s="11">
        <v>0.05</v>
      </c>
      <c r="L184" s="21">
        <v>320</v>
      </c>
      <c r="M184" s="22">
        <f t="shared" si="6"/>
        <v>281.60000000000002</v>
      </c>
      <c r="N184" s="23">
        <f t="shared" si="7"/>
        <v>38.399999999999977</v>
      </c>
      <c r="O184" s="26">
        <f t="shared" si="8"/>
        <v>0.11999999999999993</v>
      </c>
      <c r="P184" s="28"/>
      <c r="Q184" s="28" t="s">
        <v>859</v>
      </c>
      <c r="R184" s="28" t="s">
        <v>889</v>
      </c>
      <c r="S184" s="28"/>
      <c r="T184" s="30">
        <v>1</v>
      </c>
      <c r="U184" s="20" t="s">
        <v>634</v>
      </c>
      <c r="V184" s="28"/>
      <c r="W184" s="28" t="s">
        <v>929</v>
      </c>
      <c r="X184" s="43"/>
      <c r="Y184" s="40"/>
      <c r="Z184" s="40"/>
      <c r="AA184" s="28"/>
      <c r="AB184" s="28"/>
      <c r="AC184" s="28"/>
      <c r="AD184" s="28"/>
      <c r="AE184" s="28"/>
      <c r="AF184" s="28"/>
      <c r="AG184" s="28"/>
      <c r="AH184" s="28"/>
      <c r="AI184" s="20" t="s">
        <v>1327</v>
      </c>
      <c r="AJ184" s="28"/>
      <c r="AK184" s="28"/>
      <c r="AL184" s="28"/>
      <c r="AM184" s="28"/>
      <c r="AN184" s="37"/>
      <c r="AO184" s="28"/>
      <c r="AP184" s="28"/>
      <c r="AQ184" s="44"/>
      <c r="AR184" s="20" t="s">
        <v>1315</v>
      </c>
      <c r="AS184" s="40"/>
      <c r="AT184" s="40" t="s">
        <v>1315</v>
      </c>
      <c r="AU184" s="47"/>
      <c r="AV184" s="28"/>
      <c r="AW184" s="66"/>
      <c r="AX184" s="36"/>
    </row>
    <row r="185" spans="1:50" ht="15.75" customHeight="1">
      <c r="A185" s="7"/>
      <c r="B185" s="8">
        <v>182</v>
      </c>
      <c r="C185" s="20" t="s">
        <v>258</v>
      </c>
      <c r="D185" s="20" t="s">
        <v>258</v>
      </c>
      <c r="E185" s="8" t="s">
        <v>74</v>
      </c>
      <c r="F185" s="8" t="s">
        <v>75</v>
      </c>
      <c r="G185" s="19" t="s">
        <v>73</v>
      </c>
      <c r="H185" s="29" t="s">
        <v>76</v>
      </c>
      <c r="I185" s="28"/>
      <c r="J185" s="25" t="s">
        <v>587</v>
      </c>
      <c r="K185" s="11">
        <v>0.05</v>
      </c>
      <c r="L185" s="21">
        <v>1200</v>
      </c>
      <c r="M185" s="22">
        <f t="shared" si="6"/>
        <v>1056</v>
      </c>
      <c r="N185" s="23">
        <f t="shared" si="7"/>
        <v>144</v>
      </c>
      <c r="O185" s="26">
        <f t="shared" si="8"/>
        <v>0.12</v>
      </c>
      <c r="P185" s="28"/>
      <c r="Q185" s="28" t="s">
        <v>859</v>
      </c>
      <c r="R185" s="28" t="s">
        <v>889</v>
      </c>
      <c r="S185" s="28"/>
      <c r="T185" s="30">
        <v>1</v>
      </c>
      <c r="U185" s="20" t="s">
        <v>589</v>
      </c>
      <c r="V185" s="28"/>
      <c r="W185" s="28" t="s">
        <v>929</v>
      </c>
      <c r="X185" s="43"/>
      <c r="Y185" s="40"/>
      <c r="Z185" s="40"/>
      <c r="AA185" s="28"/>
      <c r="AB185" s="28"/>
      <c r="AC185" s="28"/>
      <c r="AD185" t="s">
        <v>1331</v>
      </c>
      <c r="AE185" s="28"/>
      <c r="AF185" s="28"/>
      <c r="AG185" s="28"/>
      <c r="AH185" s="28"/>
      <c r="AI185" s="20" t="s">
        <v>1327</v>
      </c>
      <c r="AJ185" s="28"/>
      <c r="AK185" s="28"/>
      <c r="AL185" s="28"/>
      <c r="AM185" s="28"/>
      <c r="AN185" s="37"/>
      <c r="AO185" s="28"/>
      <c r="AP185" s="28"/>
      <c r="AQ185" s="44"/>
      <c r="AR185" s="20" t="s">
        <v>1315</v>
      </c>
      <c r="AS185" s="40"/>
      <c r="AT185" s="40" t="s">
        <v>1315</v>
      </c>
      <c r="AU185" s="47"/>
      <c r="AV185" s="28"/>
      <c r="AW185" s="66"/>
      <c r="AX185" s="36"/>
    </row>
    <row r="186" spans="1:50" ht="29.25" customHeight="1">
      <c r="A186" s="7"/>
      <c r="B186" s="8">
        <v>183</v>
      </c>
      <c r="C186" s="20" t="s">
        <v>259</v>
      </c>
      <c r="D186" s="20" t="s">
        <v>259</v>
      </c>
      <c r="E186" s="8" t="s">
        <v>74</v>
      </c>
      <c r="F186" s="8" t="s">
        <v>75</v>
      </c>
      <c r="G186" s="19" t="s">
        <v>73</v>
      </c>
      <c r="H186" s="29" t="s">
        <v>76</v>
      </c>
      <c r="I186" s="28"/>
      <c r="J186" s="24">
        <v>30043200</v>
      </c>
      <c r="K186" s="11">
        <v>0.05</v>
      </c>
      <c r="L186" s="21">
        <v>47.84</v>
      </c>
      <c r="M186" s="22">
        <f t="shared" si="6"/>
        <v>42.099200000000003</v>
      </c>
      <c r="N186" s="23">
        <f t="shared" si="7"/>
        <v>5.7408000000000001</v>
      </c>
      <c r="O186" s="26">
        <f t="shared" si="8"/>
        <v>0.12</v>
      </c>
      <c r="P186" s="28"/>
      <c r="Q186" s="28" t="s">
        <v>864</v>
      </c>
      <c r="R186" s="28" t="s">
        <v>889</v>
      </c>
      <c r="S186" s="28"/>
      <c r="T186" s="30">
        <v>1</v>
      </c>
      <c r="U186" s="20" t="s">
        <v>635</v>
      </c>
      <c r="V186" s="28"/>
      <c r="W186" s="28" t="s">
        <v>936</v>
      </c>
      <c r="X186" s="43"/>
      <c r="Y186" s="40" t="s">
        <v>1199</v>
      </c>
      <c r="Z186" s="40" t="s">
        <v>1199</v>
      </c>
      <c r="AA186" s="28"/>
      <c r="AB186" s="28"/>
      <c r="AC186" s="28"/>
      <c r="AD186" s="28"/>
      <c r="AE186" s="28"/>
      <c r="AF186" s="28"/>
      <c r="AG186" s="28"/>
      <c r="AH186" s="28"/>
      <c r="AI186" s="20" t="s">
        <v>1327</v>
      </c>
      <c r="AJ186" s="28"/>
      <c r="AK186" s="28"/>
      <c r="AL186" s="28"/>
      <c r="AM186" s="28"/>
      <c r="AN186" s="35" t="s">
        <v>704</v>
      </c>
      <c r="AO186" s="28"/>
      <c r="AP186" s="28"/>
      <c r="AQ186" s="44"/>
      <c r="AR186" s="20" t="s">
        <v>1309</v>
      </c>
      <c r="AS186" s="40" t="s">
        <v>1199</v>
      </c>
      <c r="AT186" s="40" t="s">
        <v>1309</v>
      </c>
      <c r="AU186" s="47"/>
      <c r="AV186" s="28"/>
      <c r="AW186" s="66"/>
      <c r="AX186" s="36"/>
    </row>
    <row r="187" spans="1:50" ht="15.75" customHeight="1">
      <c r="A187" s="7"/>
      <c r="B187" s="8">
        <v>184</v>
      </c>
      <c r="C187" s="20" t="s">
        <v>260</v>
      </c>
      <c r="D187" s="20" t="s">
        <v>260</v>
      </c>
      <c r="E187" s="8" t="s">
        <v>74</v>
      </c>
      <c r="F187" s="8" t="s">
        <v>75</v>
      </c>
      <c r="G187" s="19" t="s">
        <v>73</v>
      </c>
      <c r="H187" s="29" t="s">
        <v>76</v>
      </c>
      <c r="I187" s="28"/>
      <c r="J187" s="24">
        <v>300420</v>
      </c>
      <c r="K187" s="11">
        <v>0.05</v>
      </c>
      <c r="L187" s="21">
        <v>1200</v>
      </c>
      <c r="M187" s="22">
        <f t="shared" si="6"/>
        <v>1056</v>
      </c>
      <c r="N187" s="23">
        <f t="shared" si="7"/>
        <v>144</v>
      </c>
      <c r="O187" s="26">
        <f t="shared" si="8"/>
        <v>0.12</v>
      </c>
      <c r="P187" s="28"/>
      <c r="Q187" s="28" t="s">
        <v>859</v>
      </c>
      <c r="R187" s="28" t="s">
        <v>889</v>
      </c>
      <c r="S187" s="28"/>
      <c r="T187" s="30">
        <v>1</v>
      </c>
      <c r="U187" s="20" t="s">
        <v>589</v>
      </c>
      <c r="V187" s="28"/>
      <c r="W187" s="28" t="s">
        <v>929</v>
      </c>
      <c r="X187" s="43"/>
      <c r="Y187" s="40" t="s">
        <v>1200</v>
      </c>
      <c r="Z187" s="40" t="s">
        <v>1200</v>
      </c>
      <c r="AA187" s="28"/>
      <c r="AB187" s="28"/>
      <c r="AC187" s="28"/>
      <c r="AD187" t="s">
        <v>1331</v>
      </c>
      <c r="AE187" s="28"/>
      <c r="AF187" s="28"/>
      <c r="AG187" s="28"/>
      <c r="AH187" s="28"/>
      <c r="AI187" s="20" t="s">
        <v>1323</v>
      </c>
      <c r="AJ187" s="28"/>
      <c r="AK187" s="28"/>
      <c r="AL187" s="28"/>
      <c r="AM187" s="28"/>
      <c r="AN187" s="37"/>
      <c r="AO187" s="28"/>
      <c r="AP187" s="28"/>
      <c r="AQ187" s="44"/>
      <c r="AR187" s="20" t="s">
        <v>1307</v>
      </c>
      <c r="AS187" s="40" t="s">
        <v>1200</v>
      </c>
      <c r="AT187" s="40" t="s">
        <v>1307</v>
      </c>
      <c r="AU187" s="47"/>
      <c r="AV187" s="28"/>
      <c r="AW187" s="66"/>
      <c r="AX187" s="36"/>
    </row>
    <row r="188" spans="1:50" ht="33" customHeight="1">
      <c r="A188" s="7"/>
      <c r="B188" s="8">
        <v>185</v>
      </c>
      <c r="C188" s="20" t="s">
        <v>261</v>
      </c>
      <c r="D188" s="20" t="s">
        <v>261</v>
      </c>
      <c r="E188" s="8" t="s">
        <v>74</v>
      </c>
      <c r="F188" s="8" t="s">
        <v>75</v>
      </c>
      <c r="G188" s="19" t="s">
        <v>73</v>
      </c>
      <c r="H188" s="29" t="s">
        <v>76</v>
      </c>
      <c r="I188" s="28"/>
      <c r="J188" s="24">
        <v>30049039</v>
      </c>
      <c r="K188" s="11">
        <v>0.05</v>
      </c>
      <c r="L188" s="21">
        <v>1031.25</v>
      </c>
      <c r="M188" s="22">
        <f t="shared" si="6"/>
        <v>907.5</v>
      </c>
      <c r="N188" s="23">
        <f t="shared" si="7"/>
        <v>123.75</v>
      </c>
      <c r="O188" s="26">
        <f t="shared" si="8"/>
        <v>0.12</v>
      </c>
      <c r="P188" s="28"/>
      <c r="Q188" s="28" t="s">
        <v>859</v>
      </c>
      <c r="R188" s="28" t="s">
        <v>889</v>
      </c>
      <c r="S188" s="28"/>
      <c r="T188" s="30">
        <v>1</v>
      </c>
      <c r="U188" s="20" t="s">
        <v>604</v>
      </c>
      <c r="V188" s="28"/>
      <c r="W188" s="28" t="s">
        <v>929</v>
      </c>
      <c r="X188" s="43"/>
      <c r="Y188" s="40" t="s">
        <v>1200</v>
      </c>
      <c r="Z188" s="40" t="s">
        <v>1200</v>
      </c>
      <c r="AA188" s="28"/>
      <c r="AB188" s="28"/>
      <c r="AC188" s="28"/>
      <c r="AD188" s="28"/>
      <c r="AE188" s="28"/>
      <c r="AF188" s="28"/>
      <c r="AG188" s="28"/>
      <c r="AH188" s="28"/>
      <c r="AI188" s="20" t="s">
        <v>1323</v>
      </c>
      <c r="AJ188" s="28"/>
      <c r="AK188" s="28"/>
      <c r="AL188" s="28"/>
      <c r="AM188" s="28"/>
      <c r="AN188" s="35" t="s">
        <v>705</v>
      </c>
      <c r="AO188" s="28"/>
      <c r="AP188" s="28"/>
      <c r="AQ188" s="44"/>
      <c r="AR188" s="20" t="s">
        <v>1307</v>
      </c>
      <c r="AS188" s="40" t="s">
        <v>1200</v>
      </c>
      <c r="AT188" s="40" t="s">
        <v>1307</v>
      </c>
      <c r="AU188" s="47"/>
      <c r="AV188" s="28"/>
      <c r="AW188" s="66"/>
      <c r="AX188" s="36"/>
    </row>
    <row r="189" spans="1:50" ht="33.75" customHeight="1">
      <c r="A189" s="7"/>
      <c r="B189" s="8">
        <v>186</v>
      </c>
      <c r="C189" s="20" t="s">
        <v>262</v>
      </c>
      <c r="D189" s="20" t="s">
        <v>262</v>
      </c>
      <c r="E189" s="8" t="s">
        <v>74</v>
      </c>
      <c r="F189" s="8" t="s">
        <v>75</v>
      </c>
      <c r="G189" s="19" t="s">
        <v>73</v>
      </c>
      <c r="H189" s="29" t="s">
        <v>76</v>
      </c>
      <c r="I189" s="28"/>
      <c r="J189" s="24">
        <v>30049039</v>
      </c>
      <c r="K189" s="11">
        <v>0.05</v>
      </c>
      <c r="L189" s="21">
        <v>1125</v>
      </c>
      <c r="M189" s="22">
        <f t="shared" si="6"/>
        <v>990</v>
      </c>
      <c r="N189" s="23">
        <f t="shared" si="7"/>
        <v>135</v>
      </c>
      <c r="O189" s="26">
        <f t="shared" si="8"/>
        <v>0.12</v>
      </c>
      <c r="P189" s="28"/>
      <c r="Q189" s="28" t="s">
        <v>859</v>
      </c>
      <c r="R189" s="28" t="s">
        <v>889</v>
      </c>
      <c r="S189" s="28"/>
      <c r="T189" s="30">
        <v>1</v>
      </c>
      <c r="U189" s="20" t="s">
        <v>604</v>
      </c>
      <c r="V189" s="28"/>
      <c r="W189" s="28" t="s">
        <v>929</v>
      </c>
      <c r="X189" s="43"/>
      <c r="Y189" s="40" t="s">
        <v>1201</v>
      </c>
      <c r="Z189" s="40" t="s">
        <v>1201</v>
      </c>
      <c r="AA189" s="28"/>
      <c r="AB189" s="28"/>
      <c r="AC189" s="28"/>
      <c r="AD189" s="28"/>
      <c r="AE189" s="28"/>
      <c r="AF189" s="28"/>
      <c r="AG189" s="28"/>
      <c r="AH189" s="28"/>
      <c r="AI189" s="20" t="s">
        <v>1323</v>
      </c>
      <c r="AJ189" s="28"/>
      <c r="AK189" s="28"/>
      <c r="AL189" s="28"/>
      <c r="AM189" s="28"/>
      <c r="AN189" s="35" t="s">
        <v>706</v>
      </c>
      <c r="AO189" s="28"/>
      <c r="AP189" s="28"/>
      <c r="AQ189" s="44"/>
      <c r="AR189" s="20" t="s">
        <v>1307</v>
      </c>
      <c r="AS189" s="40" t="s">
        <v>1201</v>
      </c>
      <c r="AT189" s="40" t="s">
        <v>1307</v>
      </c>
      <c r="AU189" s="47"/>
      <c r="AV189" s="28"/>
      <c r="AW189" s="66"/>
      <c r="AX189" s="36"/>
    </row>
    <row r="190" spans="1:50" ht="15.75" customHeight="1">
      <c r="A190" s="7"/>
      <c r="B190" s="8">
        <v>187</v>
      </c>
      <c r="C190" s="20" t="s">
        <v>263</v>
      </c>
      <c r="D190" s="20" t="s">
        <v>263</v>
      </c>
      <c r="E190" s="8" t="s">
        <v>74</v>
      </c>
      <c r="F190" s="8" t="s">
        <v>75</v>
      </c>
      <c r="G190" s="19" t="s">
        <v>73</v>
      </c>
      <c r="H190" s="29" t="s">
        <v>76</v>
      </c>
      <c r="I190" s="28"/>
      <c r="J190" s="24">
        <v>300490</v>
      </c>
      <c r="K190" s="11">
        <v>0.05</v>
      </c>
      <c r="L190" s="21">
        <v>1118</v>
      </c>
      <c r="M190" s="22">
        <f t="shared" si="6"/>
        <v>983.84</v>
      </c>
      <c r="N190" s="23">
        <f t="shared" si="7"/>
        <v>134.15999999999997</v>
      </c>
      <c r="O190" s="26">
        <f t="shared" si="8"/>
        <v>0.11999999999999997</v>
      </c>
      <c r="P190" s="28"/>
      <c r="Q190" s="28" t="s">
        <v>865</v>
      </c>
      <c r="R190" s="28" t="s">
        <v>889</v>
      </c>
      <c r="S190" s="28"/>
      <c r="T190" s="30">
        <v>1</v>
      </c>
      <c r="U190" s="20" t="s">
        <v>589</v>
      </c>
      <c r="V190" s="28"/>
      <c r="W190" s="28" t="s">
        <v>929</v>
      </c>
      <c r="X190" s="43"/>
      <c r="Y190" s="40" t="s">
        <v>1202</v>
      </c>
      <c r="Z190" s="40" t="s">
        <v>1202</v>
      </c>
      <c r="AA190" s="28"/>
      <c r="AB190" s="28"/>
      <c r="AC190" s="28"/>
      <c r="AD190" t="s">
        <v>1331</v>
      </c>
      <c r="AE190" s="28"/>
      <c r="AF190" s="28"/>
      <c r="AG190" s="28"/>
      <c r="AH190" s="28"/>
      <c r="AI190" s="20" t="s">
        <v>1323</v>
      </c>
      <c r="AJ190" s="28"/>
      <c r="AK190" s="28"/>
      <c r="AL190" s="28"/>
      <c r="AM190" s="28"/>
      <c r="AN190" s="37"/>
      <c r="AO190" s="28"/>
      <c r="AP190" s="28"/>
      <c r="AQ190" s="44"/>
      <c r="AR190" s="20" t="s">
        <v>1307</v>
      </c>
      <c r="AS190" s="40" t="s">
        <v>1202</v>
      </c>
      <c r="AT190" s="40" t="s">
        <v>1307</v>
      </c>
      <c r="AU190" s="47"/>
      <c r="AV190" s="28"/>
      <c r="AW190" s="66"/>
      <c r="AX190" s="36"/>
    </row>
    <row r="191" spans="1:50" ht="27.75" customHeight="1">
      <c r="A191" s="7"/>
      <c r="B191" s="8">
        <v>188</v>
      </c>
      <c r="C191" s="20" t="s">
        <v>264</v>
      </c>
      <c r="D191" s="20" t="s">
        <v>264</v>
      </c>
      <c r="E191" s="8" t="s">
        <v>74</v>
      </c>
      <c r="F191" s="8" t="s">
        <v>75</v>
      </c>
      <c r="G191" s="19" t="s">
        <v>73</v>
      </c>
      <c r="H191" s="29" t="s">
        <v>76</v>
      </c>
      <c r="I191" s="28"/>
      <c r="J191" s="24">
        <v>30049039</v>
      </c>
      <c r="K191" s="11">
        <v>0.05</v>
      </c>
      <c r="L191" s="21">
        <v>1670</v>
      </c>
      <c r="M191" s="22">
        <f t="shared" si="6"/>
        <v>1469.6</v>
      </c>
      <c r="N191" s="23">
        <f t="shared" si="7"/>
        <v>200.40000000000009</v>
      </c>
      <c r="O191" s="26">
        <f t="shared" si="8"/>
        <v>0.12000000000000005</v>
      </c>
      <c r="P191" s="28"/>
      <c r="Q191" s="28" t="s">
        <v>865</v>
      </c>
      <c r="R191" s="28" t="s">
        <v>889</v>
      </c>
      <c r="S191" s="28"/>
      <c r="T191" s="30">
        <v>1</v>
      </c>
      <c r="U191" s="20" t="s">
        <v>604</v>
      </c>
      <c r="V191" s="28"/>
      <c r="W191" s="28" t="s">
        <v>929</v>
      </c>
      <c r="X191" s="43"/>
      <c r="Y191" s="40" t="s">
        <v>1203</v>
      </c>
      <c r="Z191" s="40" t="s">
        <v>1203</v>
      </c>
      <c r="AA191" s="28"/>
      <c r="AB191" s="28"/>
      <c r="AC191" s="28"/>
      <c r="AD191" s="28"/>
      <c r="AE191" s="28"/>
      <c r="AF191" s="28"/>
      <c r="AG191" s="28"/>
      <c r="AH191" s="28"/>
      <c r="AI191" s="20" t="s">
        <v>1323</v>
      </c>
      <c r="AJ191" s="28"/>
      <c r="AK191" s="28"/>
      <c r="AL191" s="28"/>
      <c r="AM191" s="28"/>
      <c r="AN191" s="35" t="s">
        <v>707</v>
      </c>
      <c r="AO191" s="28"/>
      <c r="AP191" s="28"/>
      <c r="AQ191" s="44"/>
      <c r="AR191" s="20" t="s">
        <v>1307</v>
      </c>
      <c r="AS191" s="40" t="s">
        <v>1203</v>
      </c>
      <c r="AT191" s="40" t="s">
        <v>1307</v>
      </c>
      <c r="AU191" s="47"/>
      <c r="AV191" s="28"/>
      <c r="AW191" s="66"/>
      <c r="AX191" s="36"/>
    </row>
    <row r="192" spans="1:50" ht="27.75" customHeight="1">
      <c r="A192" s="7"/>
      <c r="B192" s="8">
        <v>189</v>
      </c>
      <c r="C192" s="20" t="s">
        <v>265</v>
      </c>
      <c r="D192" s="20" t="s">
        <v>265</v>
      </c>
      <c r="E192" s="8" t="s">
        <v>74</v>
      </c>
      <c r="F192" s="8" t="s">
        <v>75</v>
      </c>
      <c r="G192" s="19" t="s">
        <v>73</v>
      </c>
      <c r="H192" s="29" t="s">
        <v>76</v>
      </c>
      <c r="I192" s="28"/>
      <c r="J192" s="24">
        <v>30049039</v>
      </c>
      <c r="K192" s="11">
        <v>0.05</v>
      </c>
      <c r="L192" s="21">
        <v>53.89</v>
      </c>
      <c r="M192" s="22">
        <f t="shared" si="6"/>
        <v>47.423200000000001</v>
      </c>
      <c r="N192" s="23">
        <f t="shared" si="7"/>
        <v>6.4667999999999992</v>
      </c>
      <c r="O192" s="26">
        <f t="shared" si="8"/>
        <v>0.11999999999999998</v>
      </c>
      <c r="P192" s="28"/>
      <c r="Q192" s="28" t="s">
        <v>864</v>
      </c>
      <c r="R192" s="28" t="s">
        <v>891</v>
      </c>
      <c r="S192" s="28"/>
      <c r="T192" s="30">
        <v>1</v>
      </c>
      <c r="U192" s="20" t="s">
        <v>599</v>
      </c>
      <c r="V192" s="28"/>
      <c r="W192" s="28" t="s">
        <v>936</v>
      </c>
      <c r="X192" s="43"/>
      <c r="Y192" s="40" t="s">
        <v>1200</v>
      </c>
      <c r="Z192" s="40" t="s">
        <v>1200</v>
      </c>
      <c r="AA192" s="28"/>
      <c r="AB192" s="28"/>
      <c r="AC192" s="28"/>
      <c r="AD192" s="28"/>
      <c r="AE192" s="28"/>
      <c r="AF192" s="28"/>
      <c r="AG192" s="28"/>
      <c r="AH192" s="28"/>
      <c r="AI192" s="20" t="s">
        <v>1323</v>
      </c>
      <c r="AJ192" s="28"/>
      <c r="AK192" s="28"/>
      <c r="AL192" s="28"/>
      <c r="AM192" s="28"/>
      <c r="AN192" s="35" t="s">
        <v>708</v>
      </c>
      <c r="AO192" s="28"/>
      <c r="AP192" s="28"/>
      <c r="AQ192" s="44"/>
      <c r="AR192" s="20" t="s">
        <v>1307</v>
      </c>
      <c r="AS192" s="40" t="s">
        <v>1200</v>
      </c>
      <c r="AT192" s="40" t="s">
        <v>1307</v>
      </c>
      <c r="AU192" s="47"/>
      <c r="AV192" s="28"/>
      <c r="AW192" s="66"/>
      <c r="AX192" s="36"/>
    </row>
    <row r="193" spans="1:50" ht="15.75" customHeight="1">
      <c r="A193" s="7"/>
      <c r="B193" s="8">
        <v>190</v>
      </c>
      <c r="C193" s="20" t="s">
        <v>266</v>
      </c>
      <c r="D193" s="20" t="s">
        <v>266</v>
      </c>
      <c r="E193" s="8" t="s">
        <v>74</v>
      </c>
      <c r="F193" s="8" t="s">
        <v>75</v>
      </c>
      <c r="G193" s="19" t="s">
        <v>73</v>
      </c>
      <c r="H193" s="29" t="s">
        <v>76</v>
      </c>
      <c r="I193" s="28"/>
      <c r="J193" s="24">
        <v>300420</v>
      </c>
      <c r="K193" s="11">
        <v>0.05</v>
      </c>
      <c r="L193" s="21">
        <v>2700</v>
      </c>
      <c r="M193" s="22">
        <f t="shared" si="6"/>
        <v>2376</v>
      </c>
      <c r="N193" s="23">
        <f t="shared" si="7"/>
        <v>324</v>
      </c>
      <c r="O193" s="26">
        <f t="shared" si="8"/>
        <v>0.12</v>
      </c>
      <c r="P193" s="28"/>
      <c r="Q193" s="28" t="s">
        <v>865</v>
      </c>
      <c r="R193" s="28" t="s">
        <v>889</v>
      </c>
      <c r="S193" s="28"/>
      <c r="T193" s="30">
        <v>1</v>
      </c>
      <c r="U193" s="20" t="s">
        <v>589</v>
      </c>
      <c r="V193" s="28"/>
      <c r="W193" s="28" t="s">
        <v>929</v>
      </c>
      <c r="X193" s="43"/>
      <c r="Y193" s="40" t="s">
        <v>1204</v>
      </c>
      <c r="Z193" s="40" t="s">
        <v>1204</v>
      </c>
      <c r="AA193" s="28"/>
      <c r="AB193" s="28"/>
      <c r="AC193" s="28"/>
      <c r="AD193" t="s">
        <v>1331</v>
      </c>
      <c r="AE193" s="28"/>
      <c r="AF193" s="28"/>
      <c r="AG193" s="28"/>
      <c r="AH193" s="28"/>
      <c r="AI193" s="20" t="s">
        <v>1323</v>
      </c>
      <c r="AJ193" s="28"/>
      <c r="AK193" s="28"/>
      <c r="AL193" s="28"/>
      <c r="AM193" s="28"/>
      <c r="AN193" s="37"/>
      <c r="AO193" s="28"/>
      <c r="AP193" s="28"/>
      <c r="AQ193" s="44"/>
      <c r="AR193" s="20" t="s">
        <v>1307</v>
      </c>
      <c r="AS193" s="40" t="s">
        <v>1204</v>
      </c>
      <c r="AT193" s="40" t="s">
        <v>1307</v>
      </c>
      <c r="AU193" s="47"/>
      <c r="AV193" s="28"/>
      <c r="AW193" s="66"/>
      <c r="AX193" s="36"/>
    </row>
    <row r="194" spans="1:50" ht="29.25" customHeight="1">
      <c r="A194" s="7"/>
      <c r="B194" s="8">
        <v>191</v>
      </c>
      <c r="C194" s="20" t="s">
        <v>267</v>
      </c>
      <c r="D194" s="20" t="s">
        <v>267</v>
      </c>
      <c r="E194" s="8" t="s">
        <v>74</v>
      </c>
      <c r="F194" s="8" t="s">
        <v>75</v>
      </c>
      <c r="G194" s="19" t="s">
        <v>73</v>
      </c>
      <c r="H194" s="29" t="s">
        <v>76</v>
      </c>
      <c r="I194" s="28"/>
      <c r="J194" s="24">
        <v>30049039</v>
      </c>
      <c r="K194" s="11">
        <v>0.05</v>
      </c>
      <c r="L194" s="21">
        <v>1359.38</v>
      </c>
      <c r="M194" s="22">
        <f t="shared" si="6"/>
        <v>1196.2544</v>
      </c>
      <c r="N194" s="23">
        <f t="shared" si="7"/>
        <v>163.12560000000008</v>
      </c>
      <c r="O194" s="26">
        <f t="shared" si="8"/>
        <v>0.12000000000000005</v>
      </c>
      <c r="P194" s="28"/>
      <c r="Q194" s="28" t="s">
        <v>859</v>
      </c>
      <c r="R194" s="28" t="s">
        <v>889</v>
      </c>
      <c r="S194" s="28"/>
      <c r="T194" s="30">
        <v>1</v>
      </c>
      <c r="U194" s="20" t="s">
        <v>604</v>
      </c>
      <c r="V194" s="28"/>
      <c r="W194" s="28" t="s">
        <v>929</v>
      </c>
      <c r="X194" s="43"/>
      <c r="Y194" s="40" t="s">
        <v>1205</v>
      </c>
      <c r="Z194" s="40" t="s">
        <v>1205</v>
      </c>
      <c r="AA194" s="28"/>
      <c r="AB194" s="28"/>
      <c r="AC194" s="28"/>
      <c r="AD194" s="28"/>
      <c r="AE194" s="28"/>
      <c r="AF194" s="28"/>
      <c r="AG194" s="28"/>
      <c r="AH194" s="28"/>
      <c r="AI194" s="20" t="s">
        <v>1323</v>
      </c>
      <c r="AJ194" s="28"/>
      <c r="AK194" s="28"/>
      <c r="AL194" s="28"/>
      <c r="AM194" s="28"/>
      <c r="AN194" s="35" t="s">
        <v>709</v>
      </c>
      <c r="AO194" s="28"/>
      <c r="AP194" s="28"/>
      <c r="AQ194" s="44"/>
      <c r="AR194" s="20" t="s">
        <v>1307</v>
      </c>
      <c r="AS194" s="40" t="s">
        <v>1205</v>
      </c>
      <c r="AT194" s="40" t="s">
        <v>1307</v>
      </c>
      <c r="AU194" s="47"/>
      <c r="AV194" s="28"/>
      <c r="AW194" s="66"/>
      <c r="AX194" s="36"/>
    </row>
    <row r="195" spans="1:50" ht="31.5" customHeight="1">
      <c r="A195" s="7"/>
      <c r="B195" s="8">
        <v>192</v>
      </c>
      <c r="C195" s="20" t="s">
        <v>268</v>
      </c>
      <c r="D195" s="20" t="s">
        <v>268</v>
      </c>
      <c r="E195" s="8" t="s">
        <v>74</v>
      </c>
      <c r="F195" s="8" t="s">
        <v>75</v>
      </c>
      <c r="G195" s="19" t="s">
        <v>73</v>
      </c>
      <c r="H195" s="29" t="s">
        <v>76</v>
      </c>
      <c r="I195" s="28"/>
      <c r="J195" s="24">
        <v>30049099</v>
      </c>
      <c r="K195" s="11">
        <v>0.05</v>
      </c>
      <c r="L195" s="21">
        <v>98.44</v>
      </c>
      <c r="M195" s="22">
        <f t="shared" si="6"/>
        <v>86.627200000000002</v>
      </c>
      <c r="N195" s="23">
        <f t="shared" si="7"/>
        <v>11.812799999999996</v>
      </c>
      <c r="O195" s="26">
        <f t="shared" si="8"/>
        <v>0.11999999999999995</v>
      </c>
      <c r="P195" s="28"/>
      <c r="Q195" s="28" t="s">
        <v>879</v>
      </c>
      <c r="R195" s="28" t="s">
        <v>889</v>
      </c>
      <c r="S195" s="28"/>
      <c r="T195" s="30">
        <v>1</v>
      </c>
      <c r="U195" s="20" t="s">
        <v>592</v>
      </c>
      <c r="V195" s="28"/>
      <c r="W195" s="28" t="s">
        <v>931</v>
      </c>
      <c r="X195" s="43"/>
      <c r="Y195" s="40" t="s">
        <v>1206</v>
      </c>
      <c r="Z195" s="40" t="s">
        <v>1206</v>
      </c>
      <c r="AA195" s="28"/>
      <c r="AB195" s="28"/>
      <c r="AC195" s="28"/>
      <c r="AD195" s="28"/>
      <c r="AE195" s="28"/>
      <c r="AF195" s="28"/>
      <c r="AG195" s="28"/>
      <c r="AH195" s="28"/>
      <c r="AI195" s="20" t="s">
        <v>1327</v>
      </c>
      <c r="AJ195" s="28"/>
      <c r="AK195" s="28"/>
      <c r="AL195" s="28"/>
      <c r="AM195" s="28"/>
      <c r="AN195" s="35" t="s">
        <v>710</v>
      </c>
      <c r="AO195" s="28"/>
      <c r="AP195" s="28"/>
      <c r="AQ195" s="44"/>
      <c r="AR195" s="20" t="s">
        <v>1309</v>
      </c>
      <c r="AS195" s="40" t="s">
        <v>1206</v>
      </c>
      <c r="AT195" s="40" t="s">
        <v>1309</v>
      </c>
      <c r="AU195" s="47"/>
      <c r="AV195" s="28"/>
      <c r="AW195" s="66"/>
      <c r="AX195" s="36"/>
    </row>
    <row r="196" spans="1:50" ht="15.75" customHeight="1">
      <c r="A196" s="7"/>
      <c r="B196" s="8">
        <v>193</v>
      </c>
      <c r="C196" s="20" t="s">
        <v>269</v>
      </c>
      <c r="D196" s="20" t="s">
        <v>269</v>
      </c>
      <c r="E196" s="8" t="s">
        <v>74</v>
      </c>
      <c r="F196" s="8" t="s">
        <v>75</v>
      </c>
      <c r="G196" s="19" t="s">
        <v>73</v>
      </c>
      <c r="H196" s="29" t="s">
        <v>76</v>
      </c>
      <c r="I196" s="28"/>
      <c r="J196" s="24">
        <v>30049099</v>
      </c>
      <c r="K196" s="11">
        <v>0.05</v>
      </c>
      <c r="L196" s="21">
        <v>120</v>
      </c>
      <c r="M196" s="22">
        <f t="shared" si="6"/>
        <v>105.6</v>
      </c>
      <c r="N196" s="23">
        <f t="shared" si="7"/>
        <v>14.400000000000006</v>
      </c>
      <c r="O196" s="26">
        <f t="shared" si="8"/>
        <v>0.12000000000000005</v>
      </c>
      <c r="P196" s="28"/>
      <c r="Q196" s="28" t="s">
        <v>880</v>
      </c>
      <c r="R196" s="28" t="s">
        <v>890</v>
      </c>
      <c r="S196" s="28"/>
      <c r="T196" s="30">
        <v>1</v>
      </c>
      <c r="U196" s="20" t="s">
        <v>636</v>
      </c>
      <c r="V196" s="28"/>
      <c r="W196" s="28" t="s">
        <v>928</v>
      </c>
      <c r="X196" s="43"/>
      <c r="Y196" s="40" t="s">
        <v>1207</v>
      </c>
      <c r="Z196" s="40" t="s">
        <v>1207</v>
      </c>
      <c r="AA196" s="28"/>
      <c r="AB196" s="28"/>
      <c r="AC196" s="28"/>
      <c r="AD196" s="28"/>
      <c r="AE196" s="28"/>
      <c r="AF196" s="28"/>
      <c r="AG196" s="28"/>
      <c r="AH196" s="28"/>
      <c r="AI196" s="20" t="s">
        <v>1322</v>
      </c>
      <c r="AJ196" s="28"/>
      <c r="AK196" s="28"/>
      <c r="AL196" s="28"/>
      <c r="AM196" s="28"/>
      <c r="AN196" s="37"/>
      <c r="AO196" s="28"/>
      <c r="AP196" s="28"/>
      <c r="AQ196" s="44"/>
      <c r="AR196" s="20" t="s">
        <v>1309</v>
      </c>
      <c r="AS196" s="40" t="s">
        <v>1207</v>
      </c>
      <c r="AT196" s="40" t="s">
        <v>1309</v>
      </c>
      <c r="AU196" s="47"/>
      <c r="AV196" s="28"/>
      <c r="AW196" s="66"/>
      <c r="AX196" s="36"/>
    </row>
    <row r="197" spans="1:50" ht="33" customHeight="1">
      <c r="A197" s="7"/>
      <c r="B197" s="8">
        <v>194</v>
      </c>
      <c r="C197" s="20" t="s">
        <v>270</v>
      </c>
      <c r="D197" s="20" t="s">
        <v>270</v>
      </c>
      <c r="E197" s="8" t="s">
        <v>74</v>
      </c>
      <c r="F197" s="8" t="s">
        <v>75</v>
      </c>
      <c r="G197" s="19" t="s">
        <v>73</v>
      </c>
      <c r="H197" s="29" t="s">
        <v>76</v>
      </c>
      <c r="I197" s="28"/>
      <c r="J197" s="24">
        <v>30049099</v>
      </c>
      <c r="K197" s="11">
        <v>0.05</v>
      </c>
      <c r="L197" s="21">
        <v>84.38</v>
      </c>
      <c r="M197" s="22">
        <f t="shared" ref="M197:M260" si="9">L197*0.88</f>
        <v>74.25439999999999</v>
      </c>
      <c r="N197" s="23">
        <f t="shared" ref="N197:N260" si="10">L197-M197</f>
        <v>10.125600000000006</v>
      </c>
      <c r="O197" s="26">
        <f t="shared" ref="O197:O260" si="11">N197/L197</f>
        <v>0.12000000000000008</v>
      </c>
      <c r="P197" s="28"/>
      <c r="Q197" s="28" t="s">
        <v>871</v>
      </c>
      <c r="R197" s="28" t="s">
        <v>890</v>
      </c>
      <c r="S197" s="28"/>
      <c r="T197" s="30">
        <v>1</v>
      </c>
      <c r="U197" s="20" t="s">
        <v>608</v>
      </c>
      <c r="V197" s="28"/>
      <c r="W197" s="28" t="s">
        <v>928</v>
      </c>
      <c r="X197" s="43"/>
      <c r="Y197" s="40" t="s">
        <v>1208</v>
      </c>
      <c r="Z197" s="40" t="s">
        <v>1208</v>
      </c>
      <c r="AA197" s="28"/>
      <c r="AB197" s="28"/>
      <c r="AC197" s="28"/>
      <c r="AD197" s="28"/>
      <c r="AE197" s="28"/>
      <c r="AF197" s="28"/>
      <c r="AG197" s="28"/>
      <c r="AH197" s="28"/>
      <c r="AI197" s="20" t="s">
        <v>1322</v>
      </c>
      <c r="AJ197" s="28"/>
      <c r="AK197" s="28"/>
      <c r="AL197" s="28"/>
      <c r="AM197" s="28"/>
      <c r="AN197" s="35" t="s">
        <v>711</v>
      </c>
      <c r="AO197" s="28"/>
      <c r="AP197" s="28"/>
      <c r="AQ197" s="44"/>
      <c r="AR197" s="20" t="s">
        <v>1309</v>
      </c>
      <c r="AS197" s="40" t="s">
        <v>1208</v>
      </c>
      <c r="AT197" s="40" t="s">
        <v>1309</v>
      </c>
      <c r="AU197" s="47"/>
      <c r="AV197" s="28"/>
      <c r="AW197" s="66"/>
      <c r="AX197" s="36"/>
    </row>
    <row r="198" spans="1:50" ht="30" customHeight="1">
      <c r="A198" s="7"/>
      <c r="B198" s="8">
        <v>195</v>
      </c>
      <c r="C198" s="20" t="s">
        <v>271</v>
      </c>
      <c r="D198" s="20" t="s">
        <v>271</v>
      </c>
      <c r="E198" s="8" t="s">
        <v>74</v>
      </c>
      <c r="F198" s="8" t="s">
        <v>75</v>
      </c>
      <c r="G198" s="19" t="s">
        <v>73</v>
      </c>
      <c r="H198" s="29" t="s">
        <v>76</v>
      </c>
      <c r="I198" s="28"/>
      <c r="J198" s="24">
        <v>30042063</v>
      </c>
      <c r="K198" s="11">
        <v>0.05</v>
      </c>
      <c r="L198" s="21">
        <v>2362.5</v>
      </c>
      <c r="M198" s="22">
        <f t="shared" si="9"/>
        <v>2079</v>
      </c>
      <c r="N198" s="23">
        <f t="shared" si="10"/>
        <v>283.5</v>
      </c>
      <c r="O198" s="26">
        <f t="shared" si="11"/>
        <v>0.12</v>
      </c>
      <c r="P198" s="28"/>
      <c r="Q198" s="28" t="s">
        <v>859</v>
      </c>
      <c r="R198" s="28" t="s">
        <v>889</v>
      </c>
      <c r="S198" s="28"/>
      <c r="T198" s="30">
        <v>1</v>
      </c>
      <c r="U198" s="20" t="s">
        <v>621</v>
      </c>
      <c r="V198" s="28"/>
      <c r="W198" s="28" t="s">
        <v>929</v>
      </c>
      <c r="X198" s="43"/>
      <c r="Y198" s="40" t="s">
        <v>1209</v>
      </c>
      <c r="Z198" s="40" t="s">
        <v>1209</v>
      </c>
      <c r="AA198" s="28"/>
      <c r="AB198" s="28"/>
      <c r="AC198" s="28"/>
      <c r="AD198" s="28"/>
      <c r="AE198" s="28"/>
      <c r="AF198" s="28"/>
      <c r="AG198" s="28"/>
      <c r="AH198" s="28"/>
      <c r="AI198" s="20" t="s">
        <v>1323</v>
      </c>
      <c r="AJ198" s="28"/>
      <c r="AK198" s="28"/>
      <c r="AL198" s="28"/>
      <c r="AM198" s="28"/>
      <c r="AN198" s="35" t="s">
        <v>712</v>
      </c>
      <c r="AO198" s="28"/>
      <c r="AP198" s="28"/>
      <c r="AQ198" s="44"/>
      <c r="AR198" s="20" t="s">
        <v>1307</v>
      </c>
      <c r="AS198" s="40" t="s">
        <v>1209</v>
      </c>
      <c r="AT198" s="40" t="s">
        <v>1307</v>
      </c>
      <c r="AU198" s="47"/>
      <c r="AV198" s="28"/>
      <c r="AW198" s="66"/>
      <c r="AX198" s="36"/>
    </row>
    <row r="199" spans="1:50" ht="32.25" customHeight="1">
      <c r="A199" s="7"/>
      <c r="B199" s="8">
        <v>196</v>
      </c>
      <c r="C199" s="20" t="s">
        <v>272</v>
      </c>
      <c r="D199" s="20" t="s">
        <v>272</v>
      </c>
      <c r="E199" s="8" t="s">
        <v>74</v>
      </c>
      <c r="F199" s="8" t="s">
        <v>75</v>
      </c>
      <c r="G199" s="19" t="s">
        <v>73</v>
      </c>
      <c r="H199" s="29" t="s">
        <v>76</v>
      </c>
      <c r="I199" s="28"/>
      <c r="J199" s="24">
        <v>30049099</v>
      </c>
      <c r="K199" s="11">
        <v>0.05</v>
      </c>
      <c r="L199" s="21">
        <v>11750</v>
      </c>
      <c r="M199" s="22">
        <f t="shared" si="9"/>
        <v>10340</v>
      </c>
      <c r="N199" s="23">
        <f t="shared" si="10"/>
        <v>1410</v>
      </c>
      <c r="O199" s="26">
        <f t="shared" si="11"/>
        <v>0.12</v>
      </c>
      <c r="P199" s="28"/>
      <c r="Q199" s="28" t="s">
        <v>859</v>
      </c>
      <c r="R199" s="28" t="s">
        <v>889</v>
      </c>
      <c r="S199" s="28"/>
      <c r="T199" s="30">
        <v>1</v>
      </c>
      <c r="U199" s="20" t="s">
        <v>597</v>
      </c>
      <c r="V199" s="28"/>
      <c r="W199" s="28" t="s">
        <v>929</v>
      </c>
      <c r="X199" s="43"/>
      <c r="Y199" s="40" t="s">
        <v>1210</v>
      </c>
      <c r="Z199" s="40" t="s">
        <v>1210</v>
      </c>
      <c r="AA199" s="28"/>
      <c r="AB199" s="28"/>
      <c r="AC199" s="28"/>
      <c r="AD199" s="28"/>
      <c r="AE199" s="28"/>
      <c r="AF199" s="28"/>
      <c r="AG199" s="28"/>
      <c r="AH199" s="28"/>
      <c r="AI199" s="20" t="s">
        <v>1327</v>
      </c>
      <c r="AJ199" s="28"/>
      <c r="AK199" s="28"/>
      <c r="AL199" s="28"/>
      <c r="AM199" s="28"/>
      <c r="AN199" s="35" t="s">
        <v>713</v>
      </c>
      <c r="AO199" s="28"/>
      <c r="AP199" s="28"/>
      <c r="AQ199" s="44"/>
      <c r="AR199" s="20" t="s">
        <v>1309</v>
      </c>
      <c r="AS199" s="40" t="s">
        <v>1210</v>
      </c>
      <c r="AT199" s="40" t="s">
        <v>1309</v>
      </c>
      <c r="AU199" s="47"/>
      <c r="AV199" s="28"/>
      <c r="AW199" s="66"/>
      <c r="AX199" s="36"/>
    </row>
    <row r="200" spans="1:50" ht="32.25" customHeight="1">
      <c r="A200" s="7"/>
      <c r="B200" s="8">
        <v>197</v>
      </c>
      <c r="C200" s="20" t="s">
        <v>273</v>
      </c>
      <c r="D200" s="20" t="s">
        <v>273</v>
      </c>
      <c r="E200" s="8" t="s">
        <v>74</v>
      </c>
      <c r="F200" s="8" t="s">
        <v>75</v>
      </c>
      <c r="G200" s="19" t="s">
        <v>73</v>
      </c>
      <c r="H200" s="29" t="s">
        <v>76</v>
      </c>
      <c r="I200" s="28"/>
      <c r="J200" s="24">
        <v>30043919</v>
      </c>
      <c r="K200" s="11">
        <v>0.05</v>
      </c>
      <c r="L200" s="21">
        <v>3693.75</v>
      </c>
      <c r="M200" s="22">
        <f t="shared" si="9"/>
        <v>3250.5</v>
      </c>
      <c r="N200" s="23">
        <f t="shared" si="10"/>
        <v>443.25</v>
      </c>
      <c r="O200" s="26">
        <f t="shared" si="11"/>
        <v>0.12</v>
      </c>
      <c r="P200" s="28"/>
      <c r="Q200" s="28" t="s">
        <v>859</v>
      </c>
      <c r="R200" s="28" t="s">
        <v>889</v>
      </c>
      <c r="S200" s="28"/>
      <c r="T200" s="30">
        <v>1</v>
      </c>
      <c r="U200" s="20" t="s">
        <v>597</v>
      </c>
      <c r="V200" s="28"/>
      <c r="W200" s="28" t="s">
        <v>929</v>
      </c>
      <c r="X200" s="43"/>
      <c r="Y200" s="40" t="s">
        <v>1211</v>
      </c>
      <c r="Z200" s="40" t="s">
        <v>1211</v>
      </c>
      <c r="AA200" s="28"/>
      <c r="AB200" s="28"/>
      <c r="AC200" s="28"/>
      <c r="AD200" s="28"/>
      <c r="AE200" s="28"/>
      <c r="AF200" s="28"/>
      <c r="AG200" s="28"/>
      <c r="AH200" s="28"/>
      <c r="AI200" s="20" t="s">
        <v>1327</v>
      </c>
      <c r="AJ200" s="28"/>
      <c r="AK200" s="28"/>
      <c r="AL200" s="28"/>
      <c r="AM200" s="28"/>
      <c r="AN200" s="35" t="s">
        <v>714</v>
      </c>
      <c r="AO200" s="28"/>
      <c r="AP200" s="28"/>
      <c r="AQ200" s="44"/>
      <c r="AR200" s="20" t="s">
        <v>1309</v>
      </c>
      <c r="AS200" s="40" t="s">
        <v>1211</v>
      </c>
      <c r="AT200" s="40" t="s">
        <v>1309</v>
      </c>
      <c r="AU200" s="47"/>
      <c r="AV200" s="28"/>
      <c r="AW200" s="66"/>
      <c r="AX200" s="36"/>
    </row>
    <row r="201" spans="1:50" ht="30" customHeight="1">
      <c r="A201" s="7"/>
      <c r="B201" s="8">
        <v>198</v>
      </c>
      <c r="C201" s="20" t="s">
        <v>274</v>
      </c>
      <c r="D201" s="20" t="s">
        <v>274</v>
      </c>
      <c r="E201" s="8" t="s">
        <v>74</v>
      </c>
      <c r="F201" s="8" t="s">
        <v>75</v>
      </c>
      <c r="G201" s="19" t="s">
        <v>73</v>
      </c>
      <c r="H201" s="29" t="s">
        <v>76</v>
      </c>
      <c r="I201" s="28"/>
      <c r="J201" s="24">
        <v>30043919</v>
      </c>
      <c r="K201" s="11">
        <v>0.05</v>
      </c>
      <c r="L201" s="21">
        <v>5156.25</v>
      </c>
      <c r="M201" s="22">
        <f t="shared" si="9"/>
        <v>4537.5</v>
      </c>
      <c r="N201" s="23">
        <f t="shared" si="10"/>
        <v>618.75</v>
      </c>
      <c r="O201" s="26">
        <f t="shared" si="11"/>
        <v>0.12</v>
      </c>
      <c r="P201" s="28"/>
      <c r="Q201" s="28" t="s">
        <v>859</v>
      </c>
      <c r="R201" s="28" t="s">
        <v>889</v>
      </c>
      <c r="S201" s="28"/>
      <c r="T201" s="30">
        <v>1</v>
      </c>
      <c r="U201" s="20" t="s">
        <v>597</v>
      </c>
      <c r="V201" s="28"/>
      <c r="W201" s="28" t="s">
        <v>929</v>
      </c>
      <c r="X201" s="43"/>
      <c r="Y201" s="40" t="s">
        <v>1212</v>
      </c>
      <c r="Z201" s="40" t="s">
        <v>1212</v>
      </c>
      <c r="AA201" s="28"/>
      <c r="AB201" s="28"/>
      <c r="AC201" s="28"/>
      <c r="AD201" s="28"/>
      <c r="AE201" s="28"/>
      <c r="AF201" s="28"/>
      <c r="AG201" s="28"/>
      <c r="AH201" s="28"/>
      <c r="AI201" s="20" t="s">
        <v>1327</v>
      </c>
      <c r="AJ201" s="28"/>
      <c r="AK201" s="28"/>
      <c r="AL201" s="28"/>
      <c r="AM201" s="28"/>
      <c r="AN201" s="35" t="s">
        <v>715</v>
      </c>
      <c r="AO201" s="28"/>
      <c r="AP201" s="28"/>
      <c r="AQ201" s="44"/>
      <c r="AR201" s="20" t="s">
        <v>1309</v>
      </c>
      <c r="AS201" s="40" t="s">
        <v>1212</v>
      </c>
      <c r="AT201" s="40" t="s">
        <v>1309</v>
      </c>
      <c r="AU201" s="47"/>
      <c r="AV201" s="28"/>
      <c r="AW201" s="66"/>
      <c r="AX201" s="36"/>
    </row>
    <row r="202" spans="1:50" ht="33" customHeight="1">
      <c r="A202" s="7"/>
      <c r="B202" s="8">
        <v>199</v>
      </c>
      <c r="C202" s="20" t="s">
        <v>275</v>
      </c>
      <c r="D202" s="20" t="s">
        <v>275</v>
      </c>
      <c r="E202" s="8" t="s">
        <v>74</v>
      </c>
      <c r="F202" s="8" t="s">
        <v>75</v>
      </c>
      <c r="G202" s="19" t="s">
        <v>73</v>
      </c>
      <c r="H202" s="29" t="s">
        <v>76</v>
      </c>
      <c r="I202" s="28"/>
      <c r="J202" s="24">
        <v>30043919</v>
      </c>
      <c r="K202" s="11">
        <v>0.05</v>
      </c>
      <c r="L202" s="21">
        <v>655.30999999999995</v>
      </c>
      <c r="M202" s="22">
        <f t="shared" si="9"/>
        <v>576.67279999999994</v>
      </c>
      <c r="N202" s="23">
        <f t="shared" si="10"/>
        <v>78.637200000000007</v>
      </c>
      <c r="O202" s="26">
        <f t="shared" si="11"/>
        <v>0.12000000000000002</v>
      </c>
      <c r="P202" s="28"/>
      <c r="Q202" s="28" t="s">
        <v>859</v>
      </c>
      <c r="R202" s="28" t="s">
        <v>889</v>
      </c>
      <c r="S202" s="28"/>
      <c r="T202" s="30">
        <v>1</v>
      </c>
      <c r="U202" s="20" t="s">
        <v>634</v>
      </c>
      <c r="V202" s="28"/>
      <c r="W202" s="28" t="s">
        <v>929</v>
      </c>
      <c r="X202" s="43"/>
      <c r="Y202" s="40" t="s">
        <v>1213</v>
      </c>
      <c r="Z202" s="40" t="s">
        <v>1213</v>
      </c>
      <c r="AA202" s="28"/>
      <c r="AB202" s="28"/>
      <c r="AC202" s="28"/>
      <c r="AD202" s="28"/>
      <c r="AE202" s="28"/>
      <c r="AF202" s="28"/>
      <c r="AG202" s="28"/>
      <c r="AH202" s="28"/>
      <c r="AI202" s="20" t="s">
        <v>1327</v>
      </c>
      <c r="AJ202" s="28"/>
      <c r="AK202" s="28"/>
      <c r="AL202" s="28"/>
      <c r="AM202" s="28"/>
      <c r="AN202" s="35" t="s">
        <v>716</v>
      </c>
      <c r="AO202" s="28"/>
      <c r="AP202" s="28"/>
      <c r="AQ202" s="44"/>
      <c r="AR202" s="20" t="s">
        <v>1309</v>
      </c>
      <c r="AS202" s="40" t="s">
        <v>1213</v>
      </c>
      <c r="AT202" s="40" t="s">
        <v>1309</v>
      </c>
      <c r="AU202" s="47"/>
      <c r="AV202" s="28"/>
      <c r="AW202" s="66"/>
      <c r="AX202" s="36"/>
    </row>
    <row r="203" spans="1:50" ht="29.25" customHeight="1">
      <c r="A203" s="7"/>
      <c r="B203" s="8">
        <v>200</v>
      </c>
      <c r="C203" s="20" t="s">
        <v>276</v>
      </c>
      <c r="D203" s="20" t="s">
        <v>276</v>
      </c>
      <c r="E203" s="8" t="s">
        <v>74</v>
      </c>
      <c r="F203" s="8" t="s">
        <v>75</v>
      </c>
      <c r="G203" s="19" t="s">
        <v>73</v>
      </c>
      <c r="H203" s="29" t="s">
        <v>76</v>
      </c>
      <c r="I203" s="28"/>
      <c r="J203" s="24">
        <v>30049036</v>
      </c>
      <c r="K203" s="11">
        <v>0.05</v>
      </c>
      <c r="L203" s="21">
        <v>390</v>
      </c>
      <c r="M203" s="22">
        <f t="shared" si="9"/>
        <v>343.2</v>
      </c>
      <c r="N203" s="23">
        <f t="shared" si="10"/>
        <v>46.800000000000011</v>
      </c>
      <c r="O203" s="26">
        <f t="shared" si="11"/>
        <v>0.12000000000000002</v>
      </c>
      <c r="P203" s="28"/>
      <c r="Q203" s="28" t="s">
        <v>863</v>
      </c>
      <c r="R203" s="28" t="s">
        <v>889</v>
      </c>
      <c r="S203" s="28"/>
      <c r="T203" s="30">
        <v>1</v>
      </c>
      <c r="U203" s="20" t="s">
        <v>592</v>
      </c>
      <c r="V203" s="28"/>
      <c r="W203" s="28" t="s">
        <v>931</v>
      </c>
      <c r="X203" s="43"/>
      <c r="Y203" s="40" t="s">
        <v>1214</v>
      </c>
      <c r="Z203" s="40" t="s">
        <v>1214</v>
      </c>
      <c r="AA203" s="28"/>
      <c r="AB203" s="28"/>
      <c r="AC203" s="28"/>
      <c r="AD203" s="28"/>
      <c r="AE203" s="28"/>
      <c r="AF203" s="28"/>
      <c r="AG203" s="28"/>
      <c r="AH203" s="28"/>
      <c r="AI203" s="20" t="s">
        <v>1327</v>
      </c>
      <c r="AJ203" s="28"/>
      <c r="AK203" s="28"/>
      <c r="AL203" s="28"/>
      <c r="AM203" s="28"/>
      <c r="AN203" s="35" t="s">
        <v>717</v>
      </c>
      <c r="AO203" s="28"/>
      <c r="AP203" s="28"/>
      <c r="AQ203" s="44"/>
      <c r="AR203" s="20" t="s">
        <v>1316</v>
      </c>
      <c r="AS203" s="40" t="s">
        <v>1214</v>
      </c>
      <c r="AT203" s="40" t="s">
        <v>1316</v>
      </c>
      <c r="AU203" s="47"/>
      <c r="AV203" s="28"/>
      <c r="AW203" s="66"/>
      <c r="AX203" s="36"/>
    </row>
    <row r="204" spans="1:50" ht="30" customHeight="1">
      <c r="A204" s="7"/>
      <c r="B204" s="8">
        <v>201</v>
      </c>
      <c r="C204" s="20" t="s">
        <v>277</v>
      </c>
      <c r="D204" s="20" t="s">
        <v>277</v>
      </c>
      <c r="E204" s="8" t="s">
        <v>74</v>
      </c>
      <c r="F204" s="8" t="s">
        <v>75</v>
      </c>
      <c r="G204" s="19" t="s">
        <v>73</v>
      </c>
      <c r="H204" s="29" t="s">
        <v>76</v>
      </c>
      <c r="I204" s="28"/>
      <c r="J204" s="24">
        <v>30049036</v>
      </c>
      <c r="K204" s="11">
        <v>0.05</v>
      </c>
      <c r="L204" s="21">
        <v>2100</v>
      </c>
      <c r="M204" s="22">
        <f t="shared" si="9"/>
        <v>1848</v>
      </c>
      <c r="N204" s="23">
        <f t="shared" si="10"/>
        <v>252</v>
      </c>
      <c r="O204" s="26">
        <f t="shared" si="11"/>
        <v>0.12</v>
      </c>
      <c r="P204" s="28"/>
      <c r="Q204" s="28" t="s">
        <v>859</v>
      </c>
      <c r="R204" s="28" t="s">
        <v>889</v>
      </c>
      <c r="S204" s="28"/>
      <c r="T204" s="30">
        <v>1</v>
      </c>
      <c r="U204" s="20" t="s">
        <v>589</v>
      </c>
      <c r="V204" s="28"/>
      <c r="W204" s="28" t="s">
        <v>929</v>
      </c>
      <c r="X204" s="43"/>
      <c r="Y204" s="40" t="s">
        <v>1215</v>
      </c>
      <c r="Z204" s="40" t="s">
        <v>1215</v>
      </c>
      <c r="AA204" s="28"/>
      <c r="AB204" s="28"/>
      <c r="AC204" s="28"/>
      <c r="AD204" t="s">
        <v>1331</v>
      </c>
      <c r="AE204" s="28"/>
      <c r="AF204" s="28"/>
      <c r="AG204" s="28"/>
      <c r="AH204" s="28"/>
      <c r="AI204" s="20" t="s">
        <v>1327</v>
      </c>
      <c r="AJ204" s="28"/>
      <c r="AK204" s="28"/>
      <c r="AL204" s="28"/>
      <c r="AM204" s="28"/>
      <c r="AN204" s="35" t="s">
        <v>718</v>
      </c>
      <c r="AO204" s="28"/>
      <c r="AP204" s="28"/>
      <c r="AQ204" s="44"/>
      <c r="AR204" s="20" t="s">
        <v>1316</v>
      </c>
      <c r="AS204" s="40" t="s">
        <v>1215</v>
      </c>
      <c r="AT204" s="40" t="s">
        <v>1316</v>
      </c>
      <c r="AU204" s="47"/>
      <c r="AV204" s="28"/>
      <c r="AW204" s="66"/>
      <c r="AX204" s="36"/>
    </row>
    <row r="205" spans="1:50" ht="29.25" customHeight="1">
      <c r="A205" s="7"/>
      <c r="B205" s="8">
        <v>202</v>
      </c>
      <c r="C205" s="20" t="s">
        <v>278</v>
      </c>
      <c r="D205" s="20" t="s">
        <v>278</v>
      </c>
      <c r="E205" s="8" t="s">
        <v>74</v>
      </c>
      <c r="F205" s="8" t="s">
        <v>75</v>
      </c>
      <c r="G205" s="19" t="s">
        <v>73</v>
      </c>
      <c r="H205" s="29" t="s">
        <v>76</v>
      </c>
      <c r="I205" s="28"/>
      <c r="J205" s="24">
        <v>30049036</v>
      </c>
      <c r="K205" s="11">
        <v>0.05</v>
      </c>
      <c r="L205" s="21">
        <v>3900</v>
      </c>
      <c r="M205" s="22">
        <f t="shared" si="9"/>
        <v>3432</v>
      </c>
      <c r="N205" s="23">
        <f t="shared" si="10"/>
        <v>468</v>
      </c>
      <c r="O205" s="26">
        <f t="shared" si="11"/>
        <v>0.12</v>
      </c>
      <c r="P205" s="28"/>
      <c r="Q205" s="28" t="s">
        <v>859</v>
      </c>
      <c r="R205" s="28" t="s">
        <v>889</v>
      </c>
      <c r="S205" s="28"/>
      <c r="T205" s="30">
        <v>1</v>
      </c>
      <c r="U205" s="20" t="s">
        <v>589</v>
      </c>
      <c r="V205" s="28"/>
      <c r="W205" s="28" t="s">
        <v>929</v>
      </c>
      <c r="X205" s="43"/>
      <c r="Y205" s="40" t="s">
        <v>1216</v>
      </c>
      <c r="Z205" s="40" t="s">
        <v>1216</v>
      </c>
      <c r="AA205" s="28"/>
      <c r="AB205" s="28"/>
      <c r="AC205" s="28"/>
      <c r="AD205" t="s">
        <v>1331</v>
      </c>
      <c r="AE205" s="28"/>
      <c r="AF205" s="28"/>
      <c r="AG205" s="28"/>
      <c r="AH205" s="28"/>
      <c r="AI205" s="20" t="s">
        <v>1327</v>
      </c>
      <c r="AJ205" s="28"/>
      <c r="AK205" s="28"/>
      <c r="AL205" s="28"/>
      <c r="AM205" s="28"/>
      <c r="AN205" s="35" t="s">
        <v>719</v>
      </c>
      <c r="AO205" s="28"/>
      <c r="AP205" s="28"/>
      <c r="AQ205" s="44"/>
      <c r="AR205" s="20" t="s">
        <v>1316</v>
      </c>
      <c r="AS205" s="40" t="s">
        <v>1216</v>
      </c>
      <c r="AT205" s="40" t="s">
        <v>1316</v>
      </c>
      <c r="AU205" s="47"/>
      <c r="AV205" s="28"/>
      <c r="AW205" s="66"/>
      <c r="AX205" s="36"/>
    </row>
    <row r="206" spans="1:50" ht="29.25" customHeight="1">
      <c r="A206" s="7"/>
      <c r="B206" s="8">
        <v>203</v>
      </c>
      <c r="C206" s="20" t="s">
        <v>279</v>
      </c>
      <c r="D206" s="20" t="s">
        <v>279</v>
      </c>
      <c r="E206" s="8" t="s">
        <v>74</v>
      </c>
      <c r="F206" s="8" t="s">
        <v>75</v>
      </c>
      <c r="G206" s="19" t="s">
        <v>73</v>
      </c>
      <c r="H206" s="29" t="s">
        <v>76</v>
      </c>
      <c r="I206" s="28"/>
      <c r="J206" s="24">
        <v>30049066</v>
      </c>
      <c r="K206" s="11">
        <v>0.05</v>
      </c>
      <c r="L206" s="21">
        <v>1406.25</v>
      </c>
      <c r="M206" s="22">
        <f t="shared" si="9"/>
        <v>1237.5</v>
      </c>
      <c r="N206" s="23">
        <f t="shared" si="10"/>
        <v>168.75</v>
      </c>
      <c r="O206" s="26">
        <f t="shared" si="11"/>
        <v>0.12</v>
      </c>
      <c r="P206" s="28"/>
      <c r="Q206" s="28" t="s">
        <v>865</v>
      </c>
      <c r="R206" s="28" t="s">
        <v>889</v>
      </c>
      <c r="S206" s="28"/>
      <c r="T206" s="30">
        <v>1</v>
      </c>
      <c r="U206" s="20" t="s">
        <v>589</v>
      </c>
      <c r="V206" s="28"/>
      <c r="W206" s="28" t="s">
        <v>929</v>
      </c>
      <c r="X206" s="43"/>
      <c r="Y206" s="40" t="s">
        <v>1217</v>
      </c>
      <c r="Z206" s="40" t="s">
        <v>1217</v>
      </c>
      <c r="AA206" s="28"/>
      <c r="AB206" s="28"/>
      <c r="AC206" s="28"/>
      <c r="AD206" t="s">
        <v>1331</v>
      </c>
      <c r="AE206" s="28"/>
      <c r="AF206" s="28"/>
      <c r="AG206" s="28"/>
      <c r="AH206" s="28"/>
      <c r="AI206" s="20" t="s">
        <v>1327</v>
      </c>
      <c r="AJ206" s="28"/>
      <c r="AK206" s="28"/>
      <c r="AL206" s="28"/>
      <c r="AM206" s="28"/>
      <c r="AN206" s="35" t="s">
        <v>720</v>
      </c>
      <c r="AO206" s="28"/>
      <c r="AP206" s="28"/>
      <c r="AQ206" s="44"/>
      <c r="AR206" s="20" t="s">
        <v>1309</v>
      </c>
      <c r="AS206" s="40" t="s">
        <v>1217</v>
      </c>
      <c r="AT206" s="40" t="s">
        <v>1309</v>
      </c>
      <c r="AU206" s="47"/>
      <c r="AV206" s="28"/>
      <c r="AW206" s="66"/>
      <c r="AX206" s="36"/>
    </row>
    <row r="207" spans="1:50" ht="30.75" customHeight="1">
      <c r="A207" s="7"/>
      <c r="B207" s="8">
        <v>204</v>
      </c>
      <c r="C207" s="20" t="s">
        <v>280</v>
      </c>
      <c r="D207" s="20" t="s">
        <v>280</v>
      </c>
      <c r="E207" s="8" t="s">
        <v>74</v>
      </c>
      <c r="F207" s="8" t="s">
        <v>75</v>
      </c>
      <c r="G207" s="19" t="s">
        <v>73</v>
      </c>
      <c r="H207" s="29" t="s">
        <v>76</v>
      </c>
      <c r="I207" s="28"/>
      <c r="J207" s="24">
        <v>21069099</v>
      </c>
      <c r="K207" s="11">
        <v>0.05</v>
      </c>
      <c r="L207" s="21">
        <v>75.650000000000006</v>
      </c>
      <c r="M207" s="22">
        <f t="shared" si="9"/>
        <v>66.572000000000003</v>
      </c>
      <c r="N207" s="23">
        <f t="shared" si="10"/>
        <v>9.078000000000003</v>
      </c>
      <c r="O207" s="26">
        <f t="shared" si="11"/>
        <v>0.12000000000000002</v>
      </c>
      <c r="P207" s="28"/>
      <c r="Q207" s="28" t="s">
        <v>881</v>
      </c>
      <c r="R207" s="28" t="s">
        <v>889</v>
      </c>
      <c r="S207" s="28"/>
      <c r="T207" s="30">
        <v>1</v>
      </c>
      <c r="U207" s="20" t="s">
        <v>637</v>
      </c>
      <c r="V207" s="28"/>
      <c r="W207" s="28" t="s">
        <v>932</v>
      </c>
      <c r="X207" s="43"/>
      <c r="Y207" s="40" t="s">
        <v>1218</v>
      </c>
      <c r="Z207" s="40" t="s">
        <v>1218</v>
      </c>
      <c r="AA207" s="28"/>
      <c r="AB207" s="28"/>
      <c r="AC207" s="28"/>
      <c r="AD207" s="28"/>
      <c r="AE207" s="28"/>
      <c r="AF207" s="28"/>
      <c r="AG207" s="28"/>
      <c r="AH207" s="28"/>
      <c r="AI207" s="20" t="s">
        <v>1329</v>
      </c>
      <c r="AJ207" s="28"/>
      <c r="AK207" s="28"/>
      <c r="AL207" s="28"/>
      <c r="AM207" s="28"/>
      <c r="AN207" s="35" t="s">
        <v>721</v>
      </c>
      <c r="AO207" s="28"/>
      <c r="AP207" s="28"/>
      <c r="AQ207" s="44"/>
      <c r="AR207" s="20" t="s">
        <v>1306</v>
      </c>
      <c r="AS207" s="40" t="s">
        <v>1218</v>
      </c>
      <c r="AT207" s="40" t="s">
        <v>1306</v>
      </c>
      <c r="AU207" s="47"/>
      <c r="AV207" s="28"/>
      <c r="AW207" s="66"/>
      <c r="AX207" s="36"/>
    </row>
    <row r="208" spans="1:50" ht="30" customHeight="1">
      <c r="A208" s="7"/>
      <c r="B208" s="8">
        <v>205</v>
      </c>
      <c r="C208" s="20" t="s">
        <v>281</v>
      </c>
      <c r="D208" s="20" t="s">
        <v>281</v>
      </c>
      <c r="E208" s="8" t="s">
        <v>74</v>
      </c>
      <c r="F208" s="8" t="s">
        <v>75</v>
      </c>
      <c r="G208" s="19" t="s">
        <v>73</v>
      </c>
      <c r="H208" s="29" t="s">
        <v>76</v>
      </c>
      <c r="I208" s="28"/>
      <c r="J208" s="24">
        <v>21069099</v>
      </c>
      <c r="K208" s="11">
        <v>0.05</v>
      </c>
      <c r="L208" s="21">
        <v>240.3</v>
      </c>
      <c r="M208" s="22">
        <f t="shared" si="9"/>
        <v>211.464</v>
      </c>
      <c r="N208" s="23">
        <f t="shared" si="10"/>
        <v>28.836000000000013</v>
      </c>
      <c r="O208" s="26">
        <f t="shared" si="11"/>
        <v>0.12000000000000005</v>
      </c>
      <c r="P208" s="28"/>
      <c r="Q208" s="28" t="s">
        <v>882</v>
      </c>
      <c r="R208" s="28" t="s">
        <v>889</v>
      </c>
      <c r="S208" s="28"/>
      <c r="T208" s="30">
        <v>1</v>
      </c>
      <c r="U208" s="20" t="s">
        <v>638</v>
      </c>
      <c r="V208" s="28"/>
      <c r="W208" s="28" t="s">
        <v>938</v>
      </c>
      <c r="X208" s="43"/>
      <c r="Y208" s="40" t="s">
        <v>1218</v>
      </c>
      <c r="Z208" s="40" t="s">
        <v>1218</v>
      </c>
      <c r="AA208" s="28"/>
      <c r="AB208" s="28"/>
      <c r="AC208" s="28"/>
      <c r="AD208" s="28"/>
      <c r="AE208" s="28"/>
      <c r="AF208" s="28"/>
      <c r="AG208" s="28"/>
      <c r="AH208" s="28"/>
      <c r="AI208" s="20" t="s">
        <v>1329</v>
      </c>
      <c r="AJ208" s="28"/>
      <c r="AK208" s="28"/>
      <c r="AL208" s="28"/>
      <c r="AM208" s="28"/>
      <c r="AN208" s="35" t="s">
        <v>722</v>
      </c>
      <c r="AO208" s="28"/>
      <c r="AP208" s="28"/>
      <c r="AQ208" s="44"/>
      <c r="AR208" s="20" t="s">
        <v>1306</v>
      </c>
      <c r="AS208" s="40" t="s">
        <v>1218</v>
      </c>
      <c r="AT208" s="40" t="s">
        <v>1306</v>
      </c>
      <c r="AU208" s="47"/>
      <c r="AV208" s="28"/>
      <c r="AW208" s="66"/>
      <c r="AX208" s="36"/>
    </row>
    <row r="209" spans="1:50" ht="31.5" customHeight="1">
      <c r="A209" s="7"/>
      <c r="B209" s="8">
        <v>206</v>
      </c>
      <c r="C209" s="20" t="s">
        <v>282</v>
      </c>
      <c r="D209" s="20" t="s">
        <v>282</v>
      </c>
      <c r="E209" s="8" t="s">
        <v>74</v>
      </c>
      <c r="F209" s="8" t="s">
        <v>75</v>
      </c>
      <c r="G209" s="19" t="s">
        <v>73</v>
      </c>
      <c r="H209" s="29" t="s">
        <v>76</v>
      </c>
      <c r="I209" s="28"/>
      <c r="J209" s="24">
        <v>21069099</v>
      </c>
      <c r="K209" s="11">
        <v>0.05</v>
      </c>
      <c r="L209" s="21">
        <v>240.3</v>
      </c>
      <c r="M209" s="22">
        <f t="shared" si="9"/>
        <v>211.464</v>
      </c>
      <c r="N209" s="23">
        <f t="shared" si="10"/>
        <v>28.836000000000013</v>
      </c>
      <c r="O209" s="26">
        <f t="shared" si="11"/>
        <v>0.12000000000000005</v>
      </c>
      <c r="P209" s="28"/>
      <c r="Q209" s="28" t="s">
        <v>882</v>
      </c>
      <c r="R209" s="28" t="s">
        <v>889</v>
      </c>
      <c r="S209" s="28"/>
      <c r="T209" s="30">
        <v>1</v>
      </c>
      <c r="U209" s="20" t="s">
        <v>639</v>
      </c>
      <c r="V209" s="28"/>
      <c r="W209" s="28" t="s">
        <v>938</v>
      </c>
      <c r="X209" s="43"/>
      <c r="Y209" s="40" t="s">
        <v>1219</v>
      </c>
      <c r="Z209" s="40" t="s">
        <v>1219</v>
      </c>
      <c r="AA209" s="28"/>
      <c r="AB209" s="28"/>
      <c r="AC209" s="28"/>
      <c r="AD209" s="28"/>
      <c r="AE209" s="28"/>
      <c r="AF209" s="28"/>
      <c r="AG209" s="28"/>
      <c r="AH209" s="28"/>
      <c r="AI209" s="20" t="s">
        <v>1329</v>
      </c>
      <c r="AJ209" s="28"/>
      <c r="AK209" s="28"/>
      <c r="AL209" s="28"/>
      <c r="AM209" s="28"/>
      <c r="AN209" s="35" t="s">
        <v>723</v>
      </c>
      <c r="AO209" s="28"/>
      <c r="AP209" s="28"/>
      <c r="AQ209" s="44"/>
      <c r="AR209" s="20" t="s">
        <v>1306</v>
      </c>
      <c r="AS209" s="40" t="s">
        <v>1219</v>
      </c>
      <c r="AT209" s="40" t="s">
        <v>1306</v>
      </c>
      <c r="AU209" s="47"/>
      <c r="AV209" s="28"/>
      <c r="AW209" s="66"/>
      <c r="AX209" s="36"/>
    </row>
    <row r="210" spans="1:50" ht="29.25" customHeight="1">
      <c r="A210" s="7"/>
      <c r="B210" s="8">
        <v>207</v>
      </c>
      <c r="C210" s="20" t="s">
        <v>283</v>
      </c>
      <c r="D210" s="20" t="s">
        <v>283</v>
      </c>
      <c r="E210" s="8" t="s">
        <v>74</v>
      </c>
      <c r="F210" s="8" t="s">
        <v>75</v>
      </c>
      <c r="G210" s="19" t="s">
        <v>73</v>
      </c>
      <c r="H210" s="29" t="s">
        <v>76</v>
      </c>
      <c r="I210" s="28"/>
      <c r="J210" s="24">
        <v>30049099</v>
      </c>
      <c r="K210" s="11">
        <v>0.05</v>
      </c>
      <c r="L210" s="21">
        <v>462.89</v>
      </c>
      <c r="M210" s="22">
        <f t="shared" si="9"/>
        <v>407.34319999999997</v>
      </c>
      <c r="N210" s="23">
        <f t="shared" si="10"/>
        <v>55.546800000000019</v>
      </c>
      <c r="O210" s="26">
        <f t="shared" si="11"/>
        <v>0.12000000000000005</v>
      </c>
      <c r="P210" s="28"/>
      <c r="Q210" s="28" t="s">
        <v>860</v>
      </c>
      <c r="R210" s="28" t="s">
        <v>889</v>
      </c>
      <c r="S210" s="28"/>
      <c r="T210" s="30">
        <v>1</v>
      </c>
      <c r="U210" s="20" t="s">
        <v>640</v>
      </c>
      <c r="V210" s="28"/>
      <c r="W210" s="28" t="s">
        <v>931</v>
      </c>
      <c r="X210" s="43"/>
      <c r="Y210" s="40" t="s">
        <v>1220</v>
      </c>
      <c r="Z210" s="40" t="s">
        <v>1220</v>
      </c>
      <c r="AA210" s="28"/>
      <c r="AB210" s="28"/>
      <c r="AC210" s="28"/>
      <c r="AD210" s="28"/>
      <c r="AE210" s="28"/>
      <c r="AF210" s="28"/>
      <c r="AG210" s="28"/>
      <c r="AH210" s="28"/>
      <c r="AI210" s="20" t="s">
        <v>1324</v>
      </c>
      <c r="AJ210" s="28"/>
      <c r="AK210" s="28"/>
      <c r="AL210" s="28"/>
      <c r="AM210" s="28"/>
      <c r="AN210" s="35" t="s">
        <v>724</v>
      </c>
      <c r="AO210" s="28"/>
      <c r="AP210" s="28"/>
      <c r="AQ210" s="44"/>
      <c r="AR210" s="20" t="s">
        <v>1313</v>
      </c>
      <c r="AS210" s="40" t="s">
        <v>1220</v>
      </c>
      <c r="AT210" s="40" t="s">
        <v>1313</v>
      </c>
      <c r="AU210" s="47"/>
      <c r="AV210" s="28"/>
      <c r="AW210" s="66"/>
      <c r="AX210" s="36"/>
    </row>
    <row r="211" spans="1:50" ht="33" customHeight="1">
      <c r="A211" s="7"/>
      <c r="B211" s="8">
        <v>208</v>
      </c>
      <c r="C211" s="20" t="s">
        <v>284</v>
      </c>
      <c r="D211" s="20" t="s">
        <v>284</v>
      </c>
      <c r="E211" s="8" t="s">
        <v>74</v>
      </c>
      <c r="F211" s="8" t="s">
        <v>75</v>
      </c>
      <c r="G211" s="19" t="s">
        <v>73</v>
      </c>
      <c r="H211" s="29" t="s">
        <v>76</v>
      </c>
      <c r="I211" s="28"/>
      <c r="J211" s="24">
        <v>30049069</v>
      </c>
      <c r="K211" s="11">
        <v>0.05</v>
      </c>
      <c r="L211" s="21">
        <v>173.43</v>
      </c>
      <c r="M211" s="22">
        <f t="shared" si="9"/>
        <v>152.61840000000001</v>
      </c>
      <c r="N211" s="23">
        <f t="shared" si="10"/>
        <v>20.811599999999999</v>
      </c>
      <c r="O211" s="26">
        <f t="shared" si="11"/>
        <v>0.11999999999999998</v>
      </c>
      <c r="P211" s="28"/>
      <c r="Q211" s="28" t="s">
        <v>864</v>
      </c>
      <c r="R211" s="28" t="s">
        <v>891</v>
      </c>
      <c r="S211" s="28"/>
      <c r="T211" s="30">
        <v>1</v>
      </c>
      <c r="U211" s="20" t="s">
        <v>641</v>
      </c>
      <c r="V211" s="28"/>
      <c r="W211" s="28" t="s">
        <v>936</v>
      </c>
      <c r="X211" s="43"/>
      <c r="Y211" s="40" t="s">
        <v>1221</v>
      </c>
      <c r="Z211" s="40" t="s">
        <v>1221</v>
      </c>
      <c r="AA211" s="28"/>
      <c r="AB211" s="28"/>
      <c r="AC211" s="28"/>
      <c r="AD211" s="28"/>
      <c r="AE211" s="28"/>
      <c r="AF211" s="28"/>
      <c r="AG211" s="28"/>
      <c r="AH211" s="28"/>
      <c r="AI211" s="20" t="s">
        <v>1327</v>
      </c>
      <c r="AJ211" s="28"/>
      <c r="AK211" s="28"/>
      <c r="AL211" s="28"/>
      <c r="AM211" s="28"/>
      <c r="AN211" s="35" t="s">
        <v>725</v>
      </c>
      <c r="AO211" s="28"/>
      <c r="AP211" s="28"/>
      <c r="AQ211" s="44"/>
      <c r="AR211" s="20" t="s">
        <v>1309</v>
      </c>
      <c r="AS211" s="40" t="s">
        <v>1221</v>
      </c>
      <c r="AT211" s="40" t="s">
        <v>1309</v>
      </c>
      <c r="AU211" s="47"/>
      <c r="AV211" s="28"/>
      <c r="AW211" s="66"/>
      <c r="AX211" s="36"/>
    </row>
    <row r="212" spans="1:50" ht="30" customHeight="1">
      <c r="A212" s="7"/>
      <c r="B212" s="8">
        <v>209</v>
      </c>
      <c r="C212" s="20" t="s">
        <v>285</v>
      </c>
      <c r="D212" s="20" t="s">
        <v>285</v>
      </c>
      <c r="E212" s="8" t="s">
        <v>74</v>
      </c>
      <c r="F212" s="8" t="s">
        <v>75</v>
      </c>
      <c r="G212" s="19" t="s">
        <v>73</v>
      </c>
      <c r="H212" s="29" t="s">
        <v>76</v>
      </c>
      <c r="I212" s="28"/>
      <c r="J212" s="24">
        <v>34011110</v>
      </c>
      <c r="K212" s="11">
        <v>0.05</v>
      </c>
      <c r="L212" s="21">
        <v>120.15</v>
      </c>
      <c r="M212" s="22">
        <f t="shared" si="9"/>
        <v>105.732</v>
      </c>
      <c r="N212" s="23">
        <f t="shared" si="10"/>
        <v>14.418000000000006</v>
      </c>
      <c r="O212" s="26">
        <f t="shared" si="11"/>
        <v>0.12000000000000005</v>
      </c>
      <c r="P212" s="28"/>
      <c r="Q212" s="28" t="s">
        <v>868</v>
      </c>
      <c r="R212" s="28" t="s">
        <v>890</v>
      </c>
      <c r="S212" s="28"/>
      <c r="T212" s="30">
        <v>1</v>
      </c>
      <c r="U212" s="20" t="s">
        <v>607</v>
      </c>
      <c r="V212" s="28"/>
      <c r="W212" s="28" t="s">
        <v>935</v>
      </c>
      <c r="X212" s="43"/>
      <c r="Y212" s="40" t="s">
        <v>1222</v>
      </c>
      <c r="Z212" s="40" t="s">
        <v>1222</v>
      </c>
      <c r="AA212" s="28"/>
      <c r="AB212" s="28"/>
      <c r="AC212" s="28"/>
      <c r="AD212" s="28"/>
      <c r="AE212" s="28"/>
      <c r="AF212" s="28"/>
      <c r="AG212" s="28"/>
      <c r="AH212" s="28"/>
      <c r="AI212" s="20" t="s">
        <v>1322</v>
      </c>
      <c r="AJ212" s="28"/>
      <c r="AK212" s="28"/>
      <c r="AL212" s="28"/>
      <c r="AM212" s="28"/>
      <c r="AN212" s="35" t="s">
        <v>726</v>
      </c>
      <c r="AO212" s="28"/>
      <c r="AP212" s="28"/>
      <c r="AQ212" s="44"/>
      <c r="AR212" s="20" t="s">
        <v>1317</v>
      </c>
      <c r="AS212" s="40" t="s">
        <v>1222</v>
      </c>
      <c r="AT212" s="40" t="s">
        <v>1317</v>
      </c>
      <c r="AU212" s="47"/>
      <c r="AV212" s="28"/>
      <c r="AW212" s="66"/>
      <c r="AX212" s="36"/>
    </row>
    <row r="213" spans="1:50" ht="29.25" customHeight="1">
      <c r="A213" s="7"/>
      <c r="B213" s="8">
        <v>210</v>
      </c>
      <c r="C213" s="20" t="s">
        <v>286</v>
      </c>
      <c r="D213" s="20" t="s">
        <v>286</v>
      </c>
      <c r="E213" s="8" t="s">
        <v>74</v>
      </c>
      <c r="F213" s="8" t="s">
        <v>75</v>
      </c>
      <c r="G213" s="19" t="s">
        <v>73</v>
      </c>
      <c r="H213" s="29" t="s">
        <v>76</v>
      </c>
      <c r="I213" s="28"/>
      <c r="J213" s="24">
        <v>30049099</v>
      </c>
      <c r="K213" s="11">
        <v>0.05</v>
      </c>
      <c r="L213" s="21">
        <v>1780.78</v>
      </c>
      <c r="M213" s="22">
        <f t="shared" si="9"/>
        <v>1567.0863999999999</v>
      </c>
      <c r="N213" s="23">
        <f t="shared" si="10"/>
        <v>213.69360000000006</v>
      </c>
      <c r="O213" s="26">
        <f t="shared" si="11"/>
        <v>0.12000000000000004</v>
      </c>
      <c r="P213" s="28"/>
      <c r="Q213" s="28" t="s">
        <v>865</v>
      </c>
      <c r="R213" s="28" t="s">
        <v>889</v>
      </c>
      <c r="S213" s="28"/>
      <c r="T213" s="30">
        <v>1</v>
      </c>
      <c r="U213" s="20" t="s">
        <v>589</v>
      </c>
      <c r="V213" s="28"/>
      <c r="W213" s="28" t="s">
        <v>929</v>
      </c>
      <c r="X213" s="43"/>
      <c r="Y213" s="40" t="s">
        <v>1223</v>
      </c>
      <c r="Z213" s="40" t="s">
        <v>1223</v>
      </c>
      <c r="AA213" s="28"/>
      <c r="AB213" s="28"/>
      <c r="AC213" s="28"/>
      <c r="AD213" t="s">
        <v>1331</v>
      </c>
      <c r="AE213" s="28"/>
      <c r="AF213" s="28"/>
      <c r="AG213" s="28"/>
      <c r="AH213" s="28"/>
      <c r="AI213" s="20" t="s">
        <v>1322</v>
      </c>
      <c r="AJ213" s="28"/>
      <c r="AK213" s="28"/>
      <c r="AL213" s="28"/>
      <c r="AM213" s="28"/>
      <c r="AN213" s="35" t="s">
        <v>727</v>
      </c>
      <c r="AO213" s="28"/>
      <c r="AP213" s="28"/>
      <c r="AQ213" s="44"/>
      <c r="AR213" s="20" t="s">
        <v>1317</v>
      </c>
      <c r="AS213" s="40" t="s">
        <v>1223</v>
      </c>
      <c r="AT213" s="40" t="s">
        <v>1317</v>
      </c>
      <c r="AU213" s="47"/>
      <c r="AV213" s="28"/>
      <c r="AW213" s="66"/>
      <c r="AX213" s="36"/>
    </row>
    <row r="214" spans="1:50" ht="29.25" customHeight="1">
      <c r="A214" s="7"/>
      <c r="B214" s="8">
        <v>211</v>
      </c>
      <c r="C214" s="20" t="s">
        <v>287</v>
      </c>
      <c r="D214" s="20" t="s">
        <v>287</v>
      </c>
      <c r="E214" s="8" t="s">
        <v>74</v>
      </c>
      <c r="F214" s="8" t="s">
        <v>75</v>
      </c>
      <c r="G214" s="19" t="s">
        <v>73</v>
      </c>
      <c r="H214" s="29" t="s">
        <v>76</v>
      </c>
      <c r="I214" s="28"/>
      <c r="J214" s="24">
        <v>30049099</v>
      </c>
      <c r="K214" s="11">
        <v>0.05</v>
      </c>
      <c r="L214" s="21">
        <v>2062.5</v>
      </c>
      <c r="M214" s="22">
        <f t="shared" si="9"/>
        <v>1815</v>
      </c>
      <c r="N214" s="23">
        <f t="shared" si="10"/>
        <v>247.5</v>
      </c>
      <c r="O214" s="26">
        <f t="shared" si="11"/>
        <v>0.12</v>
      </c>
      <c r="P214" s="28"/>
      <c r="Q214" s="28" t="s">
        <v>865</v>
      </c>
      <c r="R214" s="28" t="s">
        <v>889</v>
      </c>
      <c r="S214" s="28"/>
      <c r="T214" s="30">
        <v>1</v>
      </c>
      <c r="U214" s="20" t="s">
        <v>589</v>
      </c>
      <c r="V214" s="28"/>
      <c r="W214" s="28" t="s">
        <v>929</v>
      </c>
      <c r="X214" s="43"/>
      <c r="Y214" s="40" t="s">
        <v>1224</v>
      </c>
      <c r="Z214" s="40" t="s">
        <v>1224</v>
      </c>
      <c r="AA214" s="28"/>
      <c r="AB214" s="28"/>
      <c r="AC214" s="28"/>
      <c r="AD214" t="s">
        <v>1331</v>
      </c>
      <c r="AE214" s="28"/>
      <c r="AF214" s="28"/>
      <c r="AG214" s="28"/>
      <c r="AH214" s="28"/>
      <c r="AI214" s="20" t="s">
        <v>1322</v>
      </c>
      <c r="AJ214" s="28"/>
      <c r="AK214" s="28"/>
      <c r="AL214" s="28"/>
      <c r="AM214" s="28"/>
      <c r="AN214" s="35" t="s">
        <v>728</v>
      </c>
      <c r="AO214" s="28"/>
      <c r="AP214" s="28"/>
      <c r="AQ214" s="44"/>
      <c r="AR214" s="20" t="s">
        <v>1317</v>
      </c>
      <c r="AS214" s="40" t="s">
        <v>1224</v>
      </c>
      <c r="AT214" s="40" t="s">
        <v>1317</v>
      </c>
      <c r="AU214" s="47"/>
      <c r="AV214" s="28"/>
      <c r="AW214" s="66"/>
      <c r="AX214" s="36"/>
    </row>
    <row r="215" spans="1:50" ht="27" customHeight="1">
      <c r="A215" s="7"/>
      <c r="B215" s="8">
        <v>212</v>
      </c>
      <c r="C215" s="20" t="s">
        <v>288</v>
      </c>
      <c r="D215" s="20" t="s">
        <v>288</v>
      </c>
      <c r="E215" s="8" t="s">
        <v>74</v>
      </c>
      <c r="F215" s="8" t="s">
        <v>75</v>
      </c>
      <c r="G215" s="19" t="s">
        <v>73</v>
      </c>
      <c r="H215" s="29" t="s">
        <v>76</v>
      </c>
      <c r="I215" s="28"/>
      <c r="J215" s="24">
        <v>30042019</v>
      </c>
      <c r="K215" s="11">
        <v>0.05</v>
      </c>
      <c r="L215" s="21">
        <v>76.540000000000006</v>
      </c>
      <c r="M215" s="22">
        <f t="shared" si="9"/>
        <v>67.355200000000011</v>
      </c>
      <c r="N215" s="23">
        <f t="shared" si="10"/>
        <v>9.1847999999999956</v>
      </c>
      <c r="O215" s="26">
        <f t="shared" si="11"/>
        <v>0.11999999999999994</v>
      </c>
      <c r="P215" s="28"/>
      <c r="Q215" s="28" t="s">
        <v>873</v>
      </c>
      <c r="R215" s="28" t="s">
        <v>889</v>
      </c>
      <c r="S215" s="28"/>
      <c r="T215" s="30">
        <v>1</v>
      </c>
      <c r="U215" s="20" t="s">
        <v>591</v>
      </c>
      <c r="V215" s="28"/>
      <c r="W215" s="20" t="s">
        <v>937</v>
      </c>
      <c r="X215" s="43"/>
      <c r="Y215" s="40" t="s">
        <v>1225</v>
      </c>
      <c r="Z215" s="40" t="s">
        <v>1225</v>
      </c>
      <c r="AA215" s="28"/>
      <c r="AB215" s="28"/>
      <c r="AC215" s="28"/>
      <c r="AD215" s="28"/>
      <c r="AE215" s="28"/>
      <c r="AF215" s="28"/>
      <c r="AG215" s="28"/>
      <c r="AH215" s="28"/>
      <c r="AI215" s="20" t="s">
        <v>1325</v>
      </c>
      <c r="AJ215" s="28"/>
      <c r="AK215" s="28"/>
      <c r="AL215" s="28"/>
      <c r="AM215" s="28"/>
      <c r="AN215" s="35" t="s">
        <v>729</v>
      </c>
      <c r="AO215" s="28"/>
      <c r="AP215" s="28"/>
      <c r="AQ215" s="44"/>
      <c r="AR215" s="20" t="s">
        <v>1312</v>
      </c>
      <c r="AS215" s="40" t="s">
        <v>1225</v>
      </c>
      <c r="AT215" s="40" t="s">
        <v>1312</v>
      </c>
      <c r="AU215" s="47"/>
      <c r="AV215" s="28"/>
      <c r="AW215" s="66"/>
      <c r="AX215" s="36"/>
    </row>
    <row r="216" spans="1:50" ht="29.25" customHeight="1">
      <c r="A216" s="7"/>
      <c r="B216" s="8">
        <v>213</v>
      </c>
      <c r="C216" s="20" t="s">
        <v>289</v>
      </c>
      <c r="D216" s="20" t="s">
        <v>289</v>
      </c>
      <c r="E216" s="8" t="s">
        <v>74</v>
      </c>
      <c r="F216" s="8" t="s">
        <v>75</v>
      </c>
      <c r="G216" s="19" t="s">
        <v>73</v>
      </c>
      <c r="H216" s="29" t="s">
        <v>76</v>
      </c>
      <c r="I216" s="28"/>
      <c r="J216" s="24">
        <v>30042019</v>
      </c>
      <c r="K216" s="11">
        <v>0.05</v>
      </c>
      <c r="L216" s="21">
        <v>1021.88</v>
      </c>
      <c r="M216" s="22">
        <f t="shared" si="9"/>
        <v>899.25440000000003</v>
      </c>
      <c r="N216" s="23">
        <f t="shared" si="10"/>
        <v>122.62559999999996</v>
      </c>
      <c r="O216" s="26">
        <f t="shared" si="11"/>
        <v>0.11999999999999997</v>
      </c>
      <c r="P216" s="28"/>
      <c r="Q216" s="28" t="s">
        <v>859</v>
      </c>
      <c r="R216" s="28" t="s">
        <v>889</v>
      </c>
      <c r="S216" s="28"/>
      <c r="T216" s="30">
        <v>1</v>
      </c>
      <c r="U216" s="20" t="s">
        <v>589</v>
      </c>
      <c r="V216" s="28"/>
      <c r="W216" s="28" t="s">
        <v>929</v>
      </c>
      <c r="X216" s="43"/>
      <c r="Y216" s="40" t="s">
        <v>1226</v>
      </c>
      <c r="Z216" s="40" t="s">
        <v>1226</v>
      </c>
      <c r="AA216" s="28"/>
      <c r="AB216" s="28"/>
      <c r="AC216" s="28"/>
      <c r="AD216" t="s">
        <v>1331</v>
      </c>
      <c r="AE216" s="28"/>
      <c r="AF216" s="28"/>
      <c r="AG216" s="28"/>
      <c r="AH216" s="28"/>
      <c r="AI216" s="20" t="s">
        <v>1325</v>
      </c>
      <c r="AJ216" s="28"/>
      <c r="AK216" s="28"/>
      <c r="AL216" s="28"/>
      <c r="AM216" s="28"/>
      <c r="AN216" s="35" t="s">
        <v>730</v>
      </c>
      <c r="AO216" s="28"/>
      <c r="AP216" s="28"/>
      <c r="AQ216" s="44"/>
      <c r="AR216" s="20" t="s">
        <v>1312</v>
      </c>
      <c r="AS216" s="40" t="s">
        <v>1226</v>
      </c>
      <c r="AT216" s="40" t="s">
        <v>1312</v>
      </c>
      <c r="AU216" s="47"/>
      <c r="AV216" s="28"/>
      <c r="AW216" s="66"/>
      <c r="AX216" s="36"/>
    </row>
    <row r="217" spans="1:50" ht="35.25" customHeight="1">
      <c r="A217" s="7"/>
      <c r="B217" s="8">
        <v>214</v>
      </c>
      <c r="C217" s="20" t="s">
        <v>290</v>
      </c>
      <c r="D217" s="20" t="s">
        <v>290</v>
      </c>
      <c r="E217" s="8" t="s">
        <v>74</v>
      </c>
      <c r="F217" s="8" t="s">
        <v>75</v>
      </c>
      <c r="G217" s="19" t="s">
        <v>73</v>
      </c>
      <c r="H217" s="29" t="s">
        <v>76</v>
      </c>
      <c r="I217" s="28"/>
      <c r="J217" s="24">
        <v>30042019</v>
      </c>
      <c r="K217" s="11">
        <v>0.05</v>
      </c>
      <c r="L217" s="21">
        <v>1044.7</v>
      </c>
      <c r="M217" s="22">
        <f t="shared" si="9"/>
        <v>919.33600000000001</v>
      </c>
      <c r="N217" s="23">
        <f t="shared" si="10"/>
        <v>125.36400000000003</v>
      </c>
      <c r="O217" s="26">
        <f t="shared" si="11"/>
        <v>0.12000000000000002</v>
      </c>
      <c r="P217" s="28"/>
      <c r="Q217" s="28" t="s">
        <v>859</v>
      </c>
      <c r="R217" s="28" t="s">
        <v>889</v>
      </c>
      <c r="S217" s="28"/>
      <c r="T217" s="30">
        <v>1</v>
      </c>
      <c r="U217" s="20" t="s">
        <v>589</v>
      </c>
      <c r="V217" s="28"/>
      <c r="W217" s="28" t="s">
        <v>929</v>
      </c>
      <c r="X217" s="43"/>
      <c r="Y217" s="40" t="s">
        <v>1227</v>
      </c>
      <c r="Z217" s="40" t="s">
        <v>1227</v>
      </c>
      <c r="AA217" s="28"/>
      <c r="AB217" s="28"/>
      <c r="AC217" s="28"/>
      <c r="AD217" t="s">
        <v>1331</v>
      </c>
      <c r="AE217" s="28"/>
      <c r="AF217" s="28"/>
      <c r="AG217" s="28"/>
      <c r="AH217" s="28"/>
      <c r="AI217" s="20" t="s">
        <v>1325</v>
      </c>
      <c r="AJ217" s="28"/>
      <c r="AK217" s="28"/>
      <c r="AL217" s="28"/>
      <c r="AM217" s="28"/>
      <c r="AN217" s="35" t="s">
        <v>731</v>
      </c>
      <c r="AO217" s="28"/>
      <c r="AP217" s="28"/>
      <c r="AQ217" s="44"/>
      <c r="AR217" s="20" t="s">
        <v>1312</v>
      </c>
      <c r="AS217" s="40" t="s">
        <v>1227</v>
      </c>
      <c r="AT217" s="40" t="s">
        <v>1312</v>
      </c>
      <c r="AU217" s="47"/>
      <c r="AV217" s="28"/>
      <c r="AW217" s="66"/>
      <c r="AX217" s="36"/>
    </row>
    <row r="218" spans="1:50" ht="31.5" customHeight="1">
      <c r="A218" s="7"/>
      <c r="B218" s="8">
        <v>215</v>
      </c>
      <c r="C218" s="20" t="s">
        <v>291</v>
      </c>
      <c r="D218" s="20" t="s">
        <v>291</v>
      </c>
      <c r="E218" s="8" t="s">
        <v>74</v>
      </c>
      <c r="F218" s="8" t="s">
        <v>75</v>
      </c>
      <c r="G218" s="19" t="s">
        <v>73</v>
      </c>
      <c r="H218" s="29" t="s">
        <v>76</v>
      </c>
      <c r="I218" s="28"/>
      <c r="J218" s="24">
        <v>30042039</v>
      </c>
      <c r="K218" s="11">
        <v>0.05</v>
      </c>
      <c r="L218" s="21">
        <v>52.28</v>
      </c>
      <c r="M218" s="22">
        <f t="shared" si="9"/>
        <v>46.006399999999999</v>
      </c>
      <c r="N218" s="23">
        <f t="shared" si="10"/>
        <v>6.2736000000000018</v>
      </c>
      <c r="O218" s="26">
        <f t="shared" si="11"/>
        <v>0.12000000000000004</v>
      </c>
      <c r="P218" s="28"/>
      <c r="Q218" s="28" t="s">
        <v>873</v>
      </c>
      <c r="R218" s="28" t="s">
        <v>889</v>
      </c>
      <c r="S218" s="28"/>
      <c r="T218" s="30">
        <v>1</v>
      </c>
      <c r="U218" s="20" t="s">
        <v>618</v>
      </c>
      <c r="V218" s="28"/>
      <c r="W218" s="28" t="s">
        <v>930</v>
      </c>
      <c r="X218" s="43"/>
      <c r="Y218" s="40" t="s">
        <v>1228</v>
      </c>
      <c r="Z218" s="40" t="s">
        <v>1228</v>
      </c>
      <c r="AA218" s="28"/>
      <c r="AB218" s="28"/>
      <c r="AC218" s="28"/>
      <c r="AD218" s="28"/>
      <c r="AE218" s="28"/>
      <c r="AF218" s="28"/>
      <c r="AG218" s="28"/>
      <c r="AH218" s="28"/>
      <c r="AI218" s="20" t="s">
        <v>1325</v>
      </c>
      <c r="AJ218" s="28"/>
      <c r="AK218" s="28"/>
      <c r="AL218" s="28"/>
      <c r="AM218" s="28"/>
      <c r="AN218" s="35" t="s">
        <v>732</v>
      </c>
      <c r="AO218" s="28"/>
      <c r="AP218" s="28"/>
      <c r="AQ218" s="44"/>
      <c r="AR218" s="20" t="s">
        <v>1312</v>
      </c>
      <c r="AS218" s="40" t="s">
        <v>1228</v>
      </c>
      <c r="AT218" s="40" t="s">
        <v>1312</v>
      </c>
      <c r="AU218" s="47"/>
      <c r="AV218" s="28"/>
      <c r="AW218" s="66"/>
      <c r="AX218" s="36"/>
    </row>
    <row r="219" spans="1:50" ht="29.25" customHeight="1">
      <c r="A219" s="7"/>
      <c r="B219" s="8">
        <v>216</v>
      </c>
      <c r="C219" s="20" t="s">
        <v>292</v>
      </c>
      <c r="D219" s="20" t="s">
        <v>292</v>
      </c>
      <c r="E219" s="8" t="s">
        <v>74</v>
      </c>
      <c r="F219" s="8" t="s">
        <v>75</v>
      </c>
      <c r="G219" s="19" t="s">
        <v>73</v>
      </c>
      <c r="H219" s="29" t="s">
        <v>76</v>
      </c>
      <c r="I219" s="28"/>
      <c r="J219" s="24">
        <v>30042019</v>
      </c>
      <c r="K219" s="11">
        <v>0.05</v>
      </c>
      <c r="L219" s="21">
        <v>3515.63</v>
      </c>
      <c r="M219" s="22">
        <f t="shared" si="9"/>
        <v>3093.7544000000003</v>
      </c>
      <c r="N219" s="23">
        <f t="shared" si="10"/>
        <v>421.87559999999985</v>
      </c>
      <c r="O219" s="26">
        <f t="shared" si="11"/>
        <v>0.11999999999999995</v>
      </c>
      <c r="P219" s="28"/>
      <c r="Q219" s="28" t="s">
        <v>859</v>
      </c>
      <c r="R219" s="28" t="s">
        <v>889</v>
      </c>
      <c r="S219" s="28"/>
      <c r="T219" s="30">
        <v>1</v>
      </c>
      <c r="U219" s="20" t="s">
        <v>597</v>
      </c>
      <c r="V219" s="28"/>
      <c r="W219" s="28" t="s">
        <v>929</v>
      </c>
      <c r="X219" s="43"/>
      <c r="Y219" s="40" t="s">
        <v>1229</v>
      </c>
      <c r="Z219" s="40" t="s">
        <v>1229</v>
      </c>
      <c r="AA219" s="28"/>
      <c r="AB219" s="28"/>
      <c r="AC219" s="28"/>
      <c r="AD219" s="28"/>
      <c r="AE219" s="28"/>
      <c r="AF219" s="28"/>
      <c r="AG219" s="28"/>
      <c r="AH219" s="28"/>
      <c r="AI219" s="20" t="s">
        <v>1325</v>
      </c>
      <c r="AJ219" s="28"/>
      <c r="AK219" s="28"/>
      <c r="AL219" s="28"/>
      <c r="AM219" s="28"/>
      <c r="AN219" s="35" t="s">
        <v>733</v>
      </c>
      <c r="AO219" s="28"/>
      <c r="AP219" s="28"/>
      <c r="AQ219" s="44"/>
      <c r="AR219" s="20" t="s">
        <v>1312</v>
      </c>
      <c r="AS219" s="40" t="s">
        <v>1229</v>
      </c>
      <c r="AT219" s="40" t="s">
        <v>1312</v>
      </c>
      <c r="AU219" s="47"/>
      <c r="AV219" s="28"/>
      <c r="AW219" s="66"/>
      <c r="AX219" s="36"/>
    </row>
    <row r="220" spans="1:50" ht="29.25" customHeight="1">
      <c r="A220" s="7"/>
      <c r="B220" s="8">
        <v>217</v>
      </c>
      <c r="C220" s="20" t="s">
        <v>293</v>
      </c>
      <c r="D220" s="20" t="s">
        <v>293</v>
      </c>
      <c r="E220" s="8" t="s">
        <v>74</v>
      </c>
      <c r="F220" s="8" t="s">
        <v>75</v>
      </c>
      <c r="G220" s="19" t="s">
        <v>73</v>
      </c>
      <c r="H220" s="29" t="s">
        <v>76</v>
      </c>
      <c r="I220" s="28"/>
      <c r="J220" s="24">
        <v>30042019</v>
      </c>
      <c r="K220" s="11">
        <v>0.05</v>
      </c>
      <c r="L220" s="21">
        <v>1359.38</v>
      </c>
      <c r="M220" s="22">
        <f t="shared" si="9"/>
        <v>1196.2544</v>
      </c>
      <c r="N220" s="23">
        <f t="shared" si="10"/>
        <v>163.12560000000008</v>
      </c>
      <c r="O220" s="26">
        <f t="shared" si="11"/>
        <v>0.12000000000000005</v>
      </c>
      <c r="P220" s="28"/>
      <c r="Q220" s="28" t="s">
        <v>859</v>
      </c>
      <c r="R220" s="28" t="s">
        <v>889</v>
      </c>
      <c r="S220" s="28"/>
      <c r="T220" s="30">
        <v>1</v>
      </c>
      <c r="U220" s="20" t="s">
        <v>589</v>
      </c>
      <c r="V220" s="28"/>
      <c r="W220" s="28" t="s">
        <v>929</v>
      </c>
      <c r="X220" s="43"/>
      <c r="Y220" s="40" t="s">
        <v>1230</v>
      </c>
      <c r="Z220" s="40" t="s">
        <v>1230</v>
      </c>
      <c r="AA220" s="28"/>
      <c r="AB220" s="28"/>
      <c r="AC220" s="28"/>
      <c r="AD220" t="s">
        <v>1331</v>
      </c>
      <c r="AE220" s="28"/>
      <c r="AF220" s="28"/>
      <c r="AG220" s="28"/>
      <c r="AH220" s="28"/>
      <c r="AI220" s="20" t="s">
        <v>1325</v>
      </c>
      <c r="AJ220" s="28"/>
      <c r="AK220" s="28"/>
      <c r="AL220" s="28"/>
      <c r="AM220" s="28"/>
      <c r="AN220" s="35" t="s">
        <v>734</v>
      </c>
      <c r="AO220" s="28"/>
      <c r="AP220" s="28"/>
      <c r="AQ220" s="44"/>
      <c r="AR220" s="20" t="s">
        <v>1312</v>
      </c>
      <c r="AS220" s="40" t="s">
        <v>1230</v>
      </c>
      <c r="AT220" s="40" t="s">
        <v>1312</v>
      </c>
      <c r="AU220" s="47"/>
      <c r="AV220" s="28"/>
      <c r="AW220" s="66"/>
      <c r="AX220" s="36"/>
    </row>
    <row r="221" spans="1:50" ht="15.75" customHeight="1">
      <c r="B221" s="8">
        <v>218</v>
      </c>
      <c r="C221" s="20" t="s">
        <v>294</v>
      </c>
      <c r="D221" s="20" t="s">
        <v>294</v>
      </c>
      <c r="E221" s="8" t="s">
        <v>74</v>
      </c>
      <c r="F221" s="8" t="s">
        <v>75</v>
      </c>
      <c r="G221" s="19" t="s">
        <v>73</v>
      </c>
      <c r="H221" s="29" t="s">
        <v>76</v>
      </c>
      <c r="I221" s="20"/>
      <c r="J221" s="24">
        <v>30042034</v>
      </c>
      <c r="K221" s="11">
        <v>0.05</v>
      </c>
      <c r="L221" s="21">
        <v>1820</v>
      </c>
      <c r="M221" s="22">
        <f t="shared" si="9"/>
        <v>1601.6</v>
      </c>
      <c r="N221" s="23">
        <f t="shared" si="10"/>
        <v>218.40000000000009</v>
      </c>
      <c r="O221" s="26">
        <f t="shared" si="11"/>
        <v>0.12000000000000005</v>
      </c>
      <c r="P221" s="20"/>
      <c r="Q221" s="20" t="s">
        <v>859</v>
      </c>
      <c r="R221" s="28" t="s">
        <v>889</v>
      </c>
      <c r="S221" s="20"/>
      <c r="T221" s="30">
        <v>1</v>
      </c>
      <c r="U221" s="20" t="s">
        <v>589</v>
      </c>
      <c r="V221" s="20"/>
      <c r="W221" s="20" t="s">
        <v>929</v>
      </c>
      <c r="X221" s="43"/>
      <c r="Y221" s="40" t="s">
        <v>1231</v>
      </c>
      <c r="Z221" s="40" t="s">
        <v>1231</v>
      </c>
      <c r="AA221" s="20"/>
      <c r="AB221" s="20"/>
      <c r="AC221" s="20"/>
      <c r="AD221" t="s">
        <v>1331</v>
      </c>
      <c r="AE221" s="20"/>
      <c r="AF221" s="20"/>
      <c r="AG221" s="20"/>
      <c r="AH221" s="20"/>
      <c r="AI221" s="20" t="s">
        <v>1325</v>
      </c>
      <c r="AJ221" s="20"/>
      <c r="AK221" s="20"/>
      <c r="AL221" s="20"/>
      <c r="AM221" s="20"/>
      <c r="AN221" s="37"/>
      <c r="AO221" s="20"/>
      <c r="AP221" s="20"/>
      <c r="AQ221" s="45"/>
      <c r="AR221" s="20" t="s">
        <v>1312</v>
      </c>
      <c r="AS221" s="40" t="s">
        <v>1231</v>
      </c>
      <c r="AT221" s="40" t="s">
        <v>1312</v>
      </c>
      <c r="AU221" s="48"/>
      <c r="AV221" s="20"/>
      <c r="AW221" s="45"/>
      <c r="AX221" s="20"/>
    </row>
    <row r="222" spans="1:50" ht="27" customHeight="1">
      <c r="B222" s="8">
        <v>219</v>
      </c>
      <c r="C222" s="20" t="s">
        <v>295</v>
      </c>
      <c r="D222" s="20" t="s">
        <v>295</v>
      </c>
      <c r="E222" s="8" t="s">
        <v>74</v>
      </c>
      <c r="F222" s="8" t="s">
        <v>75</v>
      </c>
      <c r="G222" s="19" t="s">
        <v>73</v>
      </c>
      <c r="H222" s="29" t="s">
        <v>76</v>
      </c>
      <c r="I222" s="20"/>
      <c r="J222" s="24">
        <v>30042034</v>
      </c>
      <c r="K222" s="11">
        <v>0.05</v>
      </c>
      <c r="L222" s="21">
        <v>79.69</v>
      </c>
      <c r="M222" s="22">
        <f t="shared" si="9"/>
        <v>70.127200000000002</v>
      </c>
      <c r="N222" s="23">
        <f t="shared" si="10"/>
        <v>9.5627999999999957</v>
      </c>
      <c r="O222" s="26">
        <f t="shared" si="11"/>
        <v>0.11999999999999995</v>
      </c>
      <c r="P222" s="20"/>
      <c r="Q222" s="20" t="s">
        <v>873</v>
      </c>
      <c r="R222" s="28" t="s">
        <v>889</v>
      </c>
      <c r="S222" s="20"/>
      <c r="T222" s="30">
        <v>1</v>
      </c>
      <c r="U222" s="20" t="s">
        <v>618</v>
      </c>
      <c r="V222" s="20"/>
      <c r="W222" s="20" t="s">
        <v>937</v>
      </c>
      <c r="X222" s="43"/>
      <c r="Y222" s="40" t="s">
        <v>1232</v>
      </c>
      <c r="Z222" s="40" t="s">
        <v>1232</v>
      </c>
      <c r="AA222" s="20"/>
      <c r="AB222" s="20"/>
      <c r="AC222" s="20"/>
      <c r="AD222" s="20"/>
      <c r="AE222" s="20"/>
      <c r="AF222" s="20"/>
      <c r="AG222" s="20"/>
      <c r="AH222" s="20"/>
      <c r="AI222" s="20" t="s">
        <v>1325</v>
      </c>
      <c r="AJ222" s="20"/>
      <c r="AK222" s="20"/>
      <c r="AL222" s="20"/>
      <c r="AM222" s="20"/>
      <c r="AN222" s="35" t="s">
        <v>735</v>
      </c>
      <c r="AO222" s="20"/>
      <c r="AP222" s="20"/>
      <c r="AQ222" s="45"/>
      <c r="AR222" s="20" t="s">
        <v>1312</v>
      </c>
      <c r="AS222" s="40" t="s">
        <v>1232</v>
      </c>
      <c r="AT222" s="40" t="s">
        <v>1312</v>
      </c>
      <c r="AU222" s="48"/>
      <c r="AV222" s="20"/>
      <c r="AW222" s="45"/>
      <c r="AX222" s="20"/>
    </row>
    <row r="223" spans="1:50" ht="30.75" customHeight="1">
      <c r="B223" s="8">
        <v>220</v>
      </c>
      <c r="C223" s="20" t="s">
        <v>296</v>
      </c>
      <c r="D223" s="20" t="s">
        <v>296</v>
      </c>
      <c r="E223" s="8" t="s">
        <v>74</v>
      </c>
      <c r="F223" s="8" t="s">
        <v>75</v>
      </c>
      <c r="G223" s="19" t="s">
        <v>73</v>
      </c>
      <c r="H223" s="29" t="s">
        <v>76</v>
      </c>
      <c r="I223" s="20"/>
      <c r="J223" s="24">
        <v>21069099</v>
      </c>
      <c r="K223" s="11">
        <v>0.05</v>
      </c>
      <c r="L223" s="21">
        <v>57.85</v>
      </c>
      <c r="M223" s="22">
        <f t="shared" si="9"/>
        <v>50.908000000000001</v>
      </c>
      <c r="N223" s="23">
        <f t="shared" si="10"/>
        <v>6.9420000000000002</v>
      </c>
      <c r="O223" s="26">
        <f t="shared" si="11"/>
        <v>0.12</v>
      </c>
      <c r="P223" s="20"/>
      <c r="Q223" s="20" t="s">
        <v>875</v>
      </c>
      <c r="R223" s="28" t="s">
        <v>889</v>
      </c>
      <c r="S223" s="20"/>
      <c r="T223" s="30">
        <v>1</v>
      </c>
      <c r="U223" s="20" t="s">
        <v>625</v>
      </c>
      <c r="V223" s="20"/>
      <c r="W223" s="20" t="s">
        <v>930</v>
      </c>
      <c r="X223" s="43"/>
      <c r="Y223" s="40" t="s">
        <v>1233</v>
      </c>
      <c r="Z223" s="40" t="s">
        <v>1233</v>
      </c>
      <c r="AA223" s="20"/>
      <c r="AB223" s="20"/>
      <c r="AC223" s="20"/>
      <c r="AD223" s="20"/>
      <c r="AE223" s="20"/>
      <c r="AF223" s="20"/>
      <c r="AG223" s="20"/>
      <c r="AH223" s="20"/>
      <c r="AI223" s="20" t="s">
        <v>1327</v>
      </c>
      <c r="AJ223" s="20"/>
      <c r="AK223" s="20"/>
      <c r="AL223" s="20"/>
      <c r="AM223" s="20"/>
      <c r="AN223" s="35" t="s">
        <v>736</v>
      </c>
      <c r="AO223" s="20"/>
      <c r="AP223" s="20"/>
      <c r="AQ223" s="45"/>
      <c r="AR223" s="20" t="s">
        <v>1309</v>
      </c>
      <c r="AS223" s="40" t="s">
        <v>1233</v>
      </c>
      <c r="AT223" s="40" t="s">
        <v>1309</v>
      </c>
      <c r="AU223" s="48"/>
      <c r="AV223" s="20"/>
      <c r="AW223" s="45"/>
      <c r="AX223" s="20"/>
    </row>
    <row r="224" spans="1:50" ht="26.25" customHeight="1">
      <c r="B224" s="8">
        <v>221</v>
      </c>
      <c r="C224" s="20" t="s">
        <v>297</v>
      </c>
      <c r="D224" s="20" t="s">
        <v>297</v>
      </c>
      <c r="E224" s="8" t="s">
        <v>74</v>
      </c>
      <c r="F224" s="8" t="s">
        <v>75</v>
      </c>
      <c r="G224" s="19" t="s">
        <v>73</v>
      </c>
      <c r="H224" s="29" t="s">
        <v>76</v>
      </c>
      <c r="I224" s="20"/>
      <c r="J224" s="24">
        <v>21069099</v>
      </c>
      <c r="K224" s="11">
        <v>0.05</v>
      </c>
      <c r="L224" s="21">
        <v>120</v>
      </c>
      <c r="M224" s="22">
        <f t="shared" si="9"/>
        <v>105.6</v>
      </c>
      <c r="N224" s="23">
        <f t="shared" si="10"/>
        <v>14.400000000000006</v>
      </c>
      <c r="O224" s="26">
        <f t="shared" si="11"/>
        <v>0.12000000000000005</v>
      </c>
      <c r="P224" s="20"/>
      <c r="Q224" s="20" t="s">
        <v>862</v>
      </c>
      <c r="R224" s="28" t="s">
        <v>889</v>
      </c>
      <c r="S224" s="20"/>
      <c r="T224" s="30">
        <v>1</v>
      </c>
      <c r="U224" s="20" t="s">
        <v>593</v>
      </c>
      <c r="V224" s="20"/>
      <c r="W224" s="20" t="s">
        <v>931</v>
      </c>
      <c r="X224" s="43"/>
      <c r="Y224" s="40" t="s">
        <v>1234</v>
      </c>
      <c r="Z224" s="40" t="s">
        <v>1234</v>
      </c>
      <c r="AA224" s="20"/>
      <c r="AB224" s="20"/>
      <c r="AC224" s="20"/>
      <c r="AD224" s="20"/>
      <c r="AE224" s="20"/>
      <c r="AF224" s="20"/>
      <c r="AG224" s="20"/>
      <c r="AH224" s="20"/>
      <c r="AI224" s="20" t="s">
        <v>1327</v>
      </c>
      <c r="AJ224" s="20"/>
      <c r="AK224" s="20"/>
      <c r="AL224" s="20"/>
      <c r="AM224" s="20"/>
      <c r="AN224" s="35" t="s">
        <v>737</v>
      </c>
      <c r="AO224" s="20"/>
      <c r="AP224" s="20"/>
      <c r="AQ224" s="45"/>
      <c r="AR224" s="20" t="s">
        <v>1309</v>
      </c>
      <c r="AS224" s="40" t="s">
        <v>1234</v>
      </c>
      <c r="AT224" s="40" t="s">
        <v>1309</v>
      </c>
      <c r="AU224" s="48"/>
      <c r="AV224" s="20"/>
      <c r="AW224" s="45"/>
      <c r="AX224" s="20"/>
    </row>
    <row r="225" spans="2:50" ht="15.75" customHeight="1">
      <c r="B225" s="8">
        <v>222</v>
      </c>
      <c r="C225" s="20" t="s">
        <v>298</v>
      </c>
      <c r="D225" s="20" t="s">
        <v>298</v>
      </c>
      <c r="E225" s="8" t="s">
        <v>74</v>
      </c>
      <c r="F225" s="8" t="s">
        <v>75</v>
      </c>
      <c r="G225" s="19" t="s">
        <v>73</v>
      </c>
      <c r="H225" s="29" t="s">
        <v>76</v>
      </c>
      <c r="I225" s="20"/>
      <c r="J225" s="24">
        <v>21069099</v>
      </c>
      <c r="K225" s="11">
        <v>0.05</v>
      </c>
      <c r="L225" s="21">
        <v>1190</v>
      </c>
      <c r="M225" s="22">
        <f t="shared" si="9"/>
        <v>1047.2</v>
      </c>
      <c r="N225" s="23">
        <f t="shared" si="10"/>
        <v>142.79999999999995</v>
      </c>
      <c r="O225" s="26">
        <f t="shared" si="11"/>
        <v>0.11999999999999997</v>
      </c>
      <c r="P225" s="20"/>
      <c r="Q225" s="20" t="s">
        <v>859</v>
      </c>
      <c r="R225" s="28" t="s">
        <v>889</v>
      </c>
      <c r="S225" s="20"/>
      <c r="T225" s="30">
        <v>1</v>
      </c>
      <c r="U225" s="20" t="s">
        <v>642</v>
      </c>
      <c r="V225" s="20"/>
      <c r="W225" s="20" t="s">
        <v>929</v>
      </c>
      <c r="X225" s="43"/>
      <c r="Y225" s="40" t="s">
        <v>1235</v>
      </c>
      <c r="Z225" s="40" t="s">
        <v>1235</v>
      </c>
      <c r="AA225" s="20"/>
      <c r="AB225" s="20"/>
      <c r="AC225" s="20"/>
      <c r="AD225" s="20"/>
      <c r="AE225" s="20"/>
      <c r="AF225" s="20"/>
      <c r="AG225" s="20"/>
      <c r="AH225" s="20"/>
      <c r="AI225" s="20" t="s">
        <v>1326</v>
      </c>
      <c r="AJ225" s="20"/>
      <c r="AK225" s="20"/>
      <c r="AL225" s="20"/>
      <c r="AM225" s="20"/>
      <c r="AN225" s="37"/>
      <c r="AO225" s="20"/>
      <c r="AP225" s="20"/>
      <c r="AQ225" s="45"/>
      <c r="AR225" s="20" t="s">
        <v>1309</v>
      </c>
      <c r="AS225" s="40" t="s">
        <v>1235</v>
      </c>
      <c r="AT225" s="40" t="s">
        <v>1309</v>
      </c>
      <c r="AU225" s="48"/>
      <c r="AV225" s="20"/>
      <c r="AW225" s="45"/>
      <c r="AX225" s="20"/>
    </row>
    <row r="226" spans="2:50" ht="26.25" customHeight="1">
      <c r="B226" s="8">
        <v>223</v>
      </c>
      <c r="C226" s="20" t="s">
        <v>299</v>
      </c>
      <c r="D226" s="20" t="s">
        <v>299</v>
      </c>
      <c r="E226" s="8" t="s">
        <v>74</v>
      </c>
      <c r="F226" s="8" t="s">
        <v>75</v>
      </c>
      <c r="G226" s="19" t="s">
        <v>73</v>
      </c>
      <c r="H226" s="29" t="s">
        <v>76</v>
      </c>
      <c r="I226" s="20"/>
      <c r="J226" s="24">
        <v>29362390</v>
      </c>
      <c r="K226" s="11">
        <v>0.05</v>
      </c>
      <c r="L226" s="21">
        <v>1112.5</v>
      </c>
      <c r="M226" s="22">
        <f t="shared" si="9"/>
        <v>979</v>
      </c>
      <c r="N226" s="23">
        <f t="shared" si="10"/>
        <v>133.5</v>
      </c>
      <c r="O226" s="26">
        <f t="shared" si="11"/>
        <v>0.12</v>
      </c>
      <c r="P226" s="20"/>
      <c r="Q226" s="20" t="s">
        <v>869</v>
      </c>
      <c r="R226" s="28" t="s">
        <v>889</v>
      </c>
      <c r="S226" s="20"/>
      <c r="T226" s="30">
        <v>1</v>
      </c>
      <c r="U226" s="20" t="s">
        <v>597</v>
      </c>
      <c r="V226" s="20"/>
      <c r="W226" s="20" t="s">
        <v>929</v>
      </c>
      <c r="X226" s="43"/>
      <c r="Y226" s="40" t="s">
        <v>1236</v>
      </c>
      <c r="Z226" s="40" t="s">
        <v>1236</v>
      </c>
      <c r="AA226" s="20"/>
      <c r="AB226" s="20"/>
      <c r="AC226" s="20"/>
      <c r="AD226" s="20"/>
      <c r="AE226" s="20"/>
      <c r="AF226" s="20"/>
      <c r="AG226" s="20"/>
      <c r="AH226" s="20"/>
      <c r="AI226" s="20" t="s">
        <v>1322</v>
      </c>
      <c r="AJ226" s="20"/>
      <c r="AK226" s="20"/>
      <c r="AL226" s="20"/>
      <c r="AM226" s="20"/>
      <c r="AN226" s="35" t="s">
        <v>738</v>
      </c>
      <c r="AO226" s="20"/>
      <c r="AP226" s="20"/>
      <c r="AQ226" s="45"/>
      <c r="AR226" s="20" t="s">
        <v>1306</v>
      </c>
      <c r="AS226" s="40" t="s">
        <v>1236</v>
      </c>
      <c r="AT226" s="40" t="s">
        <v>1306</v>
      </c>
      <c r="AU226" s="48"/>
      <c r="AV226" s="20"/>
      <c r="AW226" s="45"/>
      <c r="AX226" s="20"/>
    </row>
    <row r="227" spans="2:50" ht="27" customHeight="1">
      <c r="B227" s="8">
        <v>224</v>
      </c>
      <c r="C227" s="20" t="s">
        <v>300</v>
      </c>
      <c r="D227" s="20" t="s">
        <v>300</v>
      </c>
      <c r="E227" s="8" t="s">
        <v>74</v>
      </c>
      <c r="F227" s="8" t="s">
        <v>75</v>
      </c>
      <c r="G227" s="19" t="s">
        <v>73</v>
      </c>
      <c r="H227" s="29" t="s">
        <v>76</v>
      </c>
      <c r="I227" s="20"/>
      <c r="J227" s="24">
        <v>30049099</v>
      </c>
      <c r="K227" s="11">
        <v>0.05</v>
      </c>
      <c r="L227" s="21">
        <v>118.13</v>
      </c>
      <c r="M227" s="22">
        <f t="shared" si="9"/>
        <v>103.95439999999999</v>
      </c>
      <c r="N227" s="23">
        <f t="shared" si="10"/>
        <v>14.175600000000003</v>
      </c>
      <c r="O227" s="26">
        <f t="shared" si="11"/>
        <v>0.12000000000000002</v>
      </c>
      <c r="P227" s="20"/>
      <c r="Q227" s="20" t="s">
        <v>875</v>
      </c>
      <c r="R227" s="28" t="s">
        <v>889</v>
      </c>
      <c r="S227" s="20"/>
      <c r="T227" s="30">
        <v>1</v>
      </c>
      <c r="U227" s="20" t="s">
        <v>591</v>
      </c>
      <c r="V227" s="20"/>
      <c r="W227" s="20" t="s">
        <v>930</v>
      </c>
      <c r="X227" s="43"/>
      <c r="Y227" s="40" t="s">
        <v>1237</v>
      </c>
      <c r="Z227" s="40" t="s">
        <v>1237</v>
      </c>
      <c r="AA227" s="20"/>
      <c r="AB227" s="20"/>
      <c r="AC227" s="20"/>
      <c r="AD227" s="20"/>
      <c r="AE227" s="20"/>
      <c r="AF227" s="20"/>
      <c r="AG227" s="20"/>
      <c r="AH227" s="20"/>
      <c r="AI227" s="20" t="s">
        <v>1329</v>
      </c>
      <c r="AJ227" s="20"/>
      <c r="AK227" s="20"/>
      <c r="AL227" s="20"/>
      <c r="AM227" s="20"/>
      <c r="AN227" s="35" t="s">
        <v>739</v>
      </c>
      <c r="AO227" s="20"/>
      <c r="AP227" s="20"/>
      <c r="AQ227" s="45"/>
      <c r="AR227" s="20" t="s">
        <v>1306</v>
      </c>
      <c r="AS227" s="40" t="s">
        <v>1237</v>
      </c>
      <c r="AT227" s="40" t="s">
        <v>1306</v>
      </c>
      <c r="AU227" s="48"/>
      <c r="AV227" s="20"/>
      <c r="AW227" s="45"/>
      <c r="AX227" s="20"/>
    </row>
    <row r="228" spans="2:50" ht="28.5" customHeight="1">
      <c r="B228" s="8">
        <v>225</v>
      </c>
      <c r="C228" s="20" t="s">
        <v>301</v>
      </c>
      <c r="D228" s="20" t="s">
        <v>301</v>
      </c>
      <c r="E228" s="8" t="s">
        <v>74</v>
      </c>
      <c r="F228" s="8" t="s">
        <v>75</v>
      </c>
      <c r="G228" s="19" t="s">
        <v>73</v>
      </c>
      <c r="H228" s="29" t="s">
        <v>76</v>
      </c>
      <c r="I228" s="20"/>
      <c r="J228" s="24">
        <v>30049099</v>
      </c>
      <c r="K228" s="11">
        <v>0.05</v>
      </c>
      <c r="L228" s="21">
        <v>120</v>
      </c>
      <c r="M228" s="22">
        <f t="shared" si="9"/>
        <v>105.6</v>
      </c>
      <c r="N228" s="23">
        <f t="shared" si="10"/>
        <v>14.400000000000006</v>
      </c>
      <c r="O228" s="26">
        <f t="shared" si="11"/>
        <v>0.12000000000000005</v>
      </c>
      <c r="P228" s="20"/>
      <c r="Q228" s="20" t="s">
        <v>862</v>
      </c>
      <c r="R228" s="28" t="s">
        <v>889</v>
      </c>
      <c r="S228" s="20"/>
      <c r="T228" s="30">
        <v>1</v>
      </c>
      <c r="U228" s="20" t="s">
        <v>592</v>
      </c>
      <c r="V228" s="20"/>
      <c r="W228" s="20" t="s">
        <v>931</v>
      </c>
      <c r="X228" s="43"/>
      <c r="Y228" s="40" t="s">
        <v>1238</v>
      </c>
      <c r="Z228" s="40" t="s">
        <v>1238</v>
      </c>
      <c r="AA228" s="20"/>
      <c r="AB228" s="20"/>
      <c r="AC228" s="20"/>
      <c r="AD228" s="20"/>
      <c r="AE228" s="20"/>
      <c r="AF228" s="20"/>
      <c r="AG228" s="20"/>
      <c r="AH228" s="20"/>
      <c r="AI228" s="20" t="s">
        <v>1329</v>
      </c>
      <c r="AJ228" s="20"/>
      <c r="AK228" s="20"/>
      <c r="AL228" s="20"/>
      <c r="AM228" s="20"/>
      <c r="AN228" s="35" t="s">
        <v>740</v>
      </c>
      <c r="AO228" s="20"/>
      <c r="AP228" s="20"/>
      <c r="AQ228" s="45"/>
      <c r="AR228" s="20" t="s">
        <v>1306</v>
      </c>
      <c r="AS228" s="40" t="s">
        <v>1238</v>
      </c>
      <c r="AT228" s="40" t="s">
        <v>1306</v>
      </c>
      <c r="AU228" s="48"/>
      <c r="AV228" s="20"/>
      <c r="AW228" s="45"/>
      <c r="AX228" s="20"/>
    </row>
    <row r="229" spans="2:50" ht="15.75" customHeight="1">
      <c r="B229" s="8">
        <v>226</v>
      </c>
      <c r="C229" s="20" t="s">
        <v>302</v>
      </c>
      <c r="D229" s="20" t="s">
        <v>302</v>
      </c>
      <c r="E229" s="8" t="s">
        <v>74</v>
      </c>
      <c r="F229" s="8" t="s">
        <v>75</v>
      </c>
      <c r="G229" s="19" t="s">
        <v>73</v>
      </c>
      <c r="H229" s="29" t="s">
        <v>76</v>
      </c>
      <c r="I229" s="20"/>
      <c r="J229" s="24">
        <v>30049099</v>
      </c>
      <c r="K229" s="11">
        <v>0.05</v>
      </c>
      <c r="L229" s="21">
        <v>310</v>
      </c>
      <c r="M229" s="22">
        <f t="shared" si="9"/>
        <v>272.8</v>
      </c>
      <c r="N229" s="23">
        <f t="shared" si="10"/>
        <v>37.199999999999989</v>
      </c>
      <c r="O229" s="26">
        <f t="shared" si="11"/>
        <v>0.11999999999999997</v>
      </c>
      <c r="P229" s="20"/>
      <c r="Q229" s="20" t="s">
        <v>858</v>
      </c>
      <c r="R229" s="20" t="s">
        <v>890</v>
      </c>
      <c r="S229" s="20"/>
      <c r="T229" s="30">
        <v>1</v>
      </c>
      <c r="U229" s="20" t="s">
        <v>614</v>
      </c>
      <c r="V229" s="20"/>
      <c r="W229" s="20" t="s">
        <v>928</v>
      </c>
      <c r="X229" s="43"/>
      <c r="Y229" s="40" t="s">
        <v>1239</v>
      </c>
      <c r="Z229" s="40" t="s">
        <v>1239</v>
      </c>
      <c r="AA229" s="20"/>
      <c r="AB229" s="20"/>
      <c r="AC229" s="20"/>
      <c r="AD229" s="20"/>
      <c r="AE229" s="20"/>
      <c r="AF229" s="20"/>
      <c r="AG229" s="20"/>
      <c r="AH229" s="20"/>
      <c r="AI229" s="20" t="s">
        <v>1322</v>
      </c>
      <c r="AJ229" s="20"/>
      <c r="AK229" s="20"/>
      <c r="AL229" s="20"/>
      <c r="AM229" s="20"/>
      <c r="AN229" s="37"/>
      <c r="AO229" s="20"/>
      <c r="AP229" s="20"/>
      <c r="AQ229" s="45"/>
      <c r="AR229" s="20" t="s">
        <v>1309</v>
      </c>
      <c r="AS229" s="40" t="s">
        <v>1239</v>
      </c>
      <c r="AT229" s="40" t="s">
        <v>1309</v>
      </c>
      <c r="AU229" s="48"/>
      <c r="AV229" s="20"/>
      <c r="AW229" s="45"/>
      <c r="AX229" s="20"/>
    </row>
    <row r="230" spans="2:50" ht="33" customHeight="1">
      <c r="B230" s="8">
        <v>227</v>
      </c>
      <c r="C230" s="20" t="s">
        <v>303</v>
      </c>
      <c r="D230" s="20" t="s">
        <v>303</v>
      </c>
      <c r="E230" s="8" t="s">
        <v>74</v>
      </c>
      <c r="F230" s="8" t="s">
        <v>75</v>
      </c>
      <c r="G230" s="19" t="s">
        <v>73</v>
      </c>
      <c r="H230" s="29" t="s">
        <v>76</v>
      </c>
      <c r="I230" s="20"/>
      <c r="J230" s="24">
        <v>34011110</v>
      </c>
      <c r="K230" s="11">
        <v>0.05</v>
      </c>
      <c r="L230" s="21">
        <v>129.05000000000001</v>
      </c>
      <c r="M230" s="22">
        <f t="shared" si="9"/>
        <v>113.56400000000001</v>
      </c>
      <c r="N230" s="23">
        <f t="shared" si="10"/>
        <v>15.486000000000004</v>
      </c>
      <c r="O230" s="26">
        <f t="shared" si="11"/>
        <v>0.12000000000000002</v>
      </c>
      <c r="P230" s="20"/>
      <c r="Q230" s="20" t="s">
        <v>868</v>
      </c>
      <c r="R230" s="20" t="s">
        <v>890</v>
      </c>
      <c r="S230" s="20"/>
      <c r="T230" s="30">
        <v>1</v>
      </c>
      <c r="U230" s="20" t="s">
        <v>607</v>
      </c>
      <c r="V230" s="20"/>
      <c r="W230" s="20" t="s">
        <v>935</v>
      </c>
      <c r="X230" s="43"/>
      <c r="Y230" s="40" t="s">
        <v>1240</v>
      </c>
      <c r="Z230" s="40" t="s">
        <v>1240</v>
      </c>
      <c r="AA230" s="20"/>
      <c r="AB230" s="20"/>
      <c r="AC230" s="20"/>
      <c r="AD230" s="20"/>
      <c r="AE230" s="20"/>
      <c r="AF230" s="20"/>
      <c r="AG230" s="20"/>
      <c r="AH230" s="20"/>
      <c r="AI230" s="20" t="s">
        <v>1322</v>
      </c>
      <c r="AJ230" s="20"/>
      <c r="AK230" s="20"/>
      <c r="AL230" s="20"/>
      <c r="AM230" s="20"/>
      <c r="AN230" s="35" t="s">
        <v>741</v>
      </c>
      <c r="AO230" s="20"/>
      <c r="AP230" s="20"/>
      <c r="AQ230" s="45"/>
      <c r="AR230" s="20" t="s">
        <v>1309</v>
      </c>
      <c r="AS230" s="40" t="s">
        <v>1240</v>
      </c>
      <c r="AT230" s="40" t="s">
        <v>1309</v>
      </c>
      <c r="AU230" s="48"/>
      <c r="AV230" s="20"/>
      <c r="AW230" s="45"/>
      <c r="AX230" s="20"/>
    </row>
    <row r="231" spans="2:50" ht="26.25" customHeight="1">
      <c r="B231" s="8">
        <v>228</v>
      </c>
      <c r="C231" s="20" t="s">
        <v>304</v>
      </c>
      <c r="D231" s="20" t="s">
        <v>304</v>
      </c>
      <c r="E231" s="8" t="s">
        <v>74</v>
      </c>
      <c r="F231" s="8" t="s">
        <v>75</v>
      </c>
      <c r="G231" s="19" t="s">
        <v>73</v>
      </c>
      <c r="H231" s="29" t="s">
        <v>76</v>
      </c>
      <c r="I231" s="20"/>
      <c r="J231" s="24">
        <v>30049099</v>
      </c>
      <c r="K231" s="11">
        <v>0.05</v>
      </c>
      <c r="L231" s="21">
        <v>1218.75</v>
      </c>
      <c r="M231" s="22">
        <f t="shared" si="9"/>
        <v>1072.5</v>
      </c>
      <c r="N231" s="23">
        <f t="shared" si="10"/>
        <v>146.25</v>
      </c>
      <c r="O231" s="26">
        <f t="shared" si="11"/>
        <v>0.12</v>
      </c>
      <c r="P231" s="20"/>
      <c r="Q231" s="20" t="s">
        <v>859</v>
      </c>
      <c r="R231" s="20" t="s">
        <v>889</v>
      </c>
      <c r="S231" s="20"/>
      <c r="T231" s="30">
        <v>1</v>
      </c>
      <c r="U231" s="20" t="s">
        <v>604</v>
      </c>
      <c r="V231" s="20"/>
      <c r="W231" s="20" t="s">
        <v>929</v>
      </c>
      <c r="X231" s="43"/>
      <c r="Y231" s="40" t="s">
        <v>1241</v>
      </c>
      <c r="Z231" s="40" t="s">
        <v>1241</v>
      </c>
      <c r="AA231" s="20"/>
      <c r="AB231" s="20"/>
      <c r="AC231" s="20"/>
      <c r="AD231" s="20"/>
      <c r="AE231" s="20"/>
      <c r="AF231" s="20"/>
      <c r="AG231" s="20"/>
      <c r="AH231" s="20"/>
      <c r="AI231" s="20" t="s">
        <v>1327</v>
      </c>
      <c r="AJ231" s="20"/>
      <c r="AK231" s="20"/>
      <c r="AL231" s="20"/>
      <c r="AM231" s="20"/>
      <c r="AN231" s="35" t="s">
        <v>742</v>
      </c>
      <c r="AO231" s="20"/>
      <c r="AP231" s="20"/>
      <c r="AQ231" s="45"/>
      <c r="AR231" s="20" t="s">
        <v>1309</v>
      </c>
      <c r="AS231" s="40" t="s">
        <v>1241</v>
      </c>
      <c r="AT231" s="40" t="s">
        <v>1309</v>
      </c>
      <c r="AU231" s="48"/>
      <c r="AV231" s="20"/>
      <c r="AW231" s="45"/>
      <c r="AX231" s="20"/>
    </row>
    <row r="232" spans="2:50" ht="25.5" customHeight="1">
      <c r="B232" s="8">
        <v>229</v>
      </c>
      <c r="C232" s="20" t="s">
        <v>305</v>
      </c>
      <c r="D232" s="20" t="s">
        <v>305</v>
      </c>
      <c r="E232" s="8" t="s">
        <v>74</v>
      </c>
      <c r="F232" s="8" t="s">
        <v>75</v>
      </c>
      <c r="G232" s="19" t="s">
        <v>73</v>
      </c>
      <c r="H232" s="29" t="s">
        <v>76</v>
      </c>
      <c r="I232" s="20"/>
      <c r="J232" s="24">
        <v>30049099</v>
      </c>
      <c r="K232" s="11">
        <v>0.05</v>
      </c>
      <c r="L232" s="21">
        <v>1171.8800000000001</v>
      </c>
      <c r="M232" s="22">
        <f t="shared" si="9"/>
        <v>1031.2544</v>
      </c>
      <c r="N232" s="23">
        <f t="shared" si="10"/>
        <v>140.62560000000008</v>
      </c>
      <c r="O232" s="26">
        <f t="shared" si="11"/>
        <v>0.12000000000000005</v>
      </c>
      <c r="P232" s="20"/>
      <c r="Q232" s="20" t="s">
        <v>859</v>
      </c>
      <c r="R232" s="20" t="s">
        <v>889</v>
      </c>
      <c r="S232" s="20"/>
      <c r="T232" s="30">
        <v>1</v>
      </c>
      <c r="U232" s="20" t="s">
        <v>604</v>
      </c>
      <c r="V232" s="20"/>
      <c r="W232" s="20" t="s">
        <v>929</v>
      </c>
      <c r="X232" s="43"/>
      <c r="Y232" s="40" t="s">
        <v>1242</v>
      </c>
      <c r="Z232" s="40" t="s">
        <v>1242</v>
      </c>
      <c r="AA232" s="20"/>
      <c r="AB232" s="20"/>
      <c r="AC232" s="20"/>
      <c r="AD232" s="20"/>
      <c r="AE232" s="20"/>
      <c r="AF232" s="20"/>
      <c r="AG232" s="20"/>
      <c r="AH232" s="20"/>
      <c r="AI232" s="20" t="s">
        <v>1323</v>
      </c>
      <c r="AJ232" s="20"/>
      <c r="AK232" s="20"/>
      <c r="AL232" s="20"/>
      <c r="AM232" s="20"/>
      <c r="AN232" s="35" t="s">
        <v>743</v>
      </c>
      <c r="AO232" s="20"/>
      <c r="AP232" s="20"/>
      <c r="AQ232" s="45"/>
      <c r="AR232" s="20" t="s">
        <v>1309</v>
      </c>
      <c r="AS232" s="40" t="s">
        <v>1242</v>
      </c>
      <c r="AT232" s="40" t="s">
        <v>1309</v>
      </c>
      <c r="AU232" s="48"/>
      <c r="AV232" s="20"/>
      <c r="AW232" s="45"/>
      <c r="AX232" s="20"/>
    </row>
    <row r="233" spans="2:50" ht="15.75" customHeight="1">
      <c r="B233" s="8">
        <v>230</v>
      </c>
      <c r="C233" s="20" t="s">
        <v>306</v>
      </c>
      <c r="D233" s="20" t="s">
        <v>306</v>
      </c>
      <c r="E233" s="8" t="s">
        <v>74</v>
      </c>
      <c r="F233" s="8" t="s">
        <v>75</v>
      </c>
      <c r="G233" s="19" t="s">
        <v>73</v>
      </c>
      <c r="H233" s="29" t="s">
        <v>76</v>
      </c>
      <c r="I233" s="20"/>
      <c r="J233" s="24">
        <v>30049039</v>
      </c>
      <c r="K233" s="11">
        <v>0.05</v>
      </c>
      <c r="L233" s="21">
        <v>1650</v>
      </c>
      <c r="M233" s="22">
        <f t="shared" si="9"/>
        <v>1452</v>
      </c>
      <c r="N233" s="23">
        <f t="shared" si="10"/>
        <v>198</v>
      </c>
      <c r="O233" s="26">
        <f t="shared" si="11"/>
        <v>0.12</v>
      </c>
      <c r="P233" s="20"/>
      <c r="Q233" s="20" t="s">
        <v>865</v>
      </c>
      <c r="R233" s="20" t="s">
        <v>889</v>
      </c>
      <c r="S233" s="20"/>
      <c r="T233" s="30">
        <v>1</v>
      </c>
      <c r="U233" s="20" t="s">
        <v>589</v>
      </c>
      <c r="V233" s="20"/>
      <c r="W233" s="20" t="s">
        <v>929</v>
      </c>
      <c r="X233" s="43"/>
      <c r="Y233" s="40" t="s">
        <v>1243</v>
      </c>
      <c r="Z233" s="40" t="s">
        <v>1243</v>
      </c>
      <c r="AA233" s="20"/>
      <c r="AB233" s="20"/>
      <c r="AC233" s="20"/>
      <c r="AD233" t="s">
        <v>1331</v>
      </c>
      <c r="AE233" s="20"/>
      <c r="AF233" s="20"/>
      <c r="AG233" s="20"/>
      <c r="AH233" s="20"/>
      <c r="AI233" s="20" t="s">
        <v>1323</v>
      </c>
      <c r="AJ233" s="20"/>
      <c r="AK233" s="20"/>
      <c r="AL233" s="20"/>
      <c r="AM233" s="20"/>
      <c r="AN233" s="37"/>
      <c r="AO233" s="20"/>
      <c r="AP233" s="20"/>
      <c r="AQ233" s="45"/>
      <c r="AR233" s="20" t="s">
        <v>1309</v>
      </c>
      <c r="AS233" s="40" t="s">
        <v>1243</v>
      </c>
      <c r="AT233" s="40" t="s">
        <v>1309</v>
      </c>
      <c r="AU233" s="48"/>
      <c r="AV233" s="20"/>
      <c r="AW233" s="45"/>
      <c r="AX233" s="20"/>
    </row>
    <row r="234" spans="2:50" ht="27" customHeight="1">
      <c r="B234" s="8">
        <v>231</v>
      </c>
      <c r="C234" s="20" t="s">
        <v>307</v>
      </c>
      <c r="D234" s="20" t="s">
        <v>307</v>
      </c>
      <c r="E234" s="8" t="s">
        <v>74</v>
      </c>
      <c r="F234" s="8" t="s">
        <v>75</v>
      </c>
      <c r="G234" s="19" t="s">
        <v>73</v>
      </c>
      <c r="H234" s="29" t="s">
        <v>76</v>
      </c>
      <c r="I234" s="20"/>
      <c r="J234" s="24">
        <v>30039011</v>
      </c>
      <c r="K234" s="11">
        <v>0.05</v>
      </c>
      <c r="L234" s="21">
        <v>351.56</v>
      </c>
      <c r="M234" s="22">
        <f t="shared" si="9"/>
        <v>309.37279999999998</v>
      </c>
      <c r="N234" s="23">
        <f t="shared" si="10"/>
        <v>42.187200000000018</v>
      </c>
      <c r="O234" s="26">
        <f t="shared" si="11"/>
        <v>0.12000000000000005</v>
      </c>
      <c r="P234" s="20"/>
      <c r="Q234" s="20" t="s">
        <v>877</v>
      </c>
      <c r="R234" s="20" t="s">
        <v>889</v>
      </c>
      <c r="S234" s="20"/>
      <c r="T234" s="30">
        <v>1</v>
      </c>
      <c r="U234" s="20" t="s">
        <v>643</v>
      </c>
      <c r="V234" s="20"/>
      <c r="W234" s="20" t="s">
        <v>932</v>
      </c>
      <c r="X234" s="43"/>
      <c r="Y234" s="40" t="s">
        <v>1244</v>
      </c>
      <c r="Z234" s="40" t="s">
        <v>1244</v>
      </c>
      <c r="AA234" s="20"/>
      <c r="AB234" s="20"/>
      <c r="AC234" s="20"/>
      <c r="AD234" s="20"/>
      <c r="AE234" s="20"/>
      <c r="AF234" s="20"/>
      <c r="AG234" s="20"/>
      <c r="AH234" s="20"/>
      <c r="AI234" s="20" t="s">
        <v>1327</v>
      </c>
      <c r="AJ234" s="20"/>
      <c r="AK234" s="20"/>
      <c r="AL234" s="20"/>
      <c r="AM234" s="20"/>
      <c r="AN234" s="35" t="s">
        <v>744</v>
      </c>
      <c r="AO234" s="20"/>
      <c r="AP234" s="20"/>
      <c r="AQ234" s="45"/>
      <c r="AR234" s="20" t="s">
        <v>1309</v>
      </c>
      <c r="AS234" s="40" t="s">
        <v>1244</v>
      </c>
      <c r="AT234" s="40" t="s">
        <v>1309</v>
      </c>
      <c r="AU234" s="48"/>
      <c r="AV234" s="20"/>
      <c r="AW234" s="45"/>
      <c r="AX234" s="20"/>
    </row>
    <row r="235" spans="2:50" ht="28.5" customHeight="1">
      <c r="B235" s="8">
        <v>232</v>
      </c>
      <c r="C235" s="20" t="s">
        <v>308</v>
      </c>
      <c r="D235" s="20" t="s">
        <v>308</v>
      </c>
      <c r="E235" s="8" t="s">
        <v>74</v>
      </c>
      <c r="F235" s="8" t="s">
        <v>75</v>
      </c>
      <c r="G235" s="19" t="s">
        <v>73</v>
      </c>
      <c r="H235" s="29" t="s">
        <v>76</v>
      </c>
      <c r="I235" s="20"/>
      <c r="J235" s="24">
        <v>30049045</v>
      </c>
      <c r="K235" s="11">
        <v>0.05</v>
      </c>
      <c r="L235" s="21">
        <v>125</v>
      </c>
      <c r="M235" s="22">
        <f t="shared" si="9"/>
        <v>110</v>
      </c>
      <c r="N235" s="23">
        <f t="shared" si="10"/>
        <v>15</v>
      </c>
      <c r="O235" s="26">
        <f t="shared" si="11"/>
        <v>0.12</v>
      </c>
      <c r="P235" s="20"/>
      <c r="Q235" s="20" t="s">
        <v>862</v>
      </c>
      <c r="R235" s="20" t="s">
        <v>889</v>
      </c>
      <c r="S235" s="20"/>
      <c r="T235" s="30">
        <v>1</v>
      </c>
      <c r="U235" s="20" t="s">
        <v>592</v>
      </c>
      <c r="V235" s="20"/>
      <c r="W235" s="20" t="s">
        <v>931</v>
      </c>
      <c r="X235" s="43"/>
      <c r="Y235" s="40" t="s">
        <v>1245</v>
      </c>
      <c r="Z235" s="40" t="s">
        <v>1245</v>
      </c>
      <c r="AA235" s="20"/>
      <c r="AB235" s="20"/>
      <c r="AC235" s="20"/>
      <c r="AD235" s="20"/>
      <c r="AE235" s="20"/>
      <c r="AF235" s="20"/>
      <c r="AG235" s="20"/>
      <c r="AH235" s="20"/>
      <c r="AI235" s="20" t="s">
        <v>1323</v>
      </c>
      <c r="AJ235" s="20"/>
      <c r="AK235" s="20"/>
      <c r="AL235" s="20"/>
      <c r="AM235" s="20"/>
      <c r="AN235" s="35" t="s">
        <v>745</v>
      </c>
      <c r="AO235" s="20"/>
      <c r="AP235" s="20"/>
      <c r="AQ235" s="45"/>
      <c r="AR235" s="20" t="s">
        <v>1309</v>
      </c>
      <c r="AS235" s="40" t="s">
        <v>1245</v>
      </c>
      <c r="AT235" s="40" t="s">
        <v>1309</v>
      </c>
      <c r="AU235" s="48"/>
      <c r="AV235" s="20"/>
      <c r="AW235" s="45"/>
      <c r="AX235" s="20"/>
    </row>
    <row r="236" spans="2:50" ht="28.5" customHeight="1">
      <c r="B236" s="8">
        <v>233</v>
      </c>
      <c r="C236" s="20" t="s">
        <v>309</v>
      </c>
      <c r="D236" s="20" t="s">
        <v>309</v>
      </c>
      <c r="E236" s="8" t="s">
        <v>74</v>
      </c>
      <c r="F236" s="8" t="s">
        <v>75</v>
      </c>
      <c r="G236" s="19" t="s">
        <v>73</v>
      </c>
      <c r="H236" s="29" t="s">
        <v>76</v>
      </c>
      <c r="I236" s="20"/>
      <c r="J236" s="24">
        <v>30049045</v>
      </c>
      <c r="K236" s="11">
        <v>0.05</v>
      </c>
      <c r="L236" s="21">
        <v>256</v>
      </c>
      <c r="M236" s="22">
        <f t="shared" si="9"/>
        <v>225.28</v>
      </c>
      <c r="N236" s="23">
        <f t="shared" si="10"/>
        <v>30.72</v>
      </c>
      <c r="O236" s="26">
        <f t="shared" si="11"/>
        <v>0.12</v>
      </c>
      <c r="P236" s="20"/>
      <c r="Q236" s="20" t="s">
        <v>862</v>
      </c>
      <c r="R236" s="20" t="s">
        <v>889</v>
      </c>
      <c r="S236" s="20"/>
      <c r="T236" s="30">
        <v>1</v>
      </c>
      <c r="U236" s="20" t="s">
        <v>593</v>
      </c>
      <c r="V236" s="20"/>
      <c r="W236" s="20" t="s">
        <v>931</v>
      </c>
      <c r="X236" s="43"/>
      <c r="Y236" s="40" t="s">
        <v>1245</v>
      </c>
      <c r="Z236" s="40" t="s">
        <v>1245</v>
      </c>
      <c r="AA236" s="20"/>
      <c r="AB236" s="20"/>
      <c r="AC236" s="20"/>
      <c r="AD236" s="20"/>
      <c r="AE236" s="20"/>
      <c r="AF236" s="20"/>
      <c r="AG236" s="20"/>
      <c r="AH236" s="20"/>
      <c r="AI236" s="20" t="s">
        <v>1323</v>
      </c>
      <c r="AJ236" s="20"/>
      <c r="AK236" s="20"/>
      <c r="AL236" s="20"/>
      <c r="AM236" s="20"/>
      <c r="AN236" s="35" t="s">
        <v>746</v>
      </c>
      <c r="AO236" s="20"/>
      <c r="AP236" s="20"/>
      <c r="AQ236" s="45"/>
      <c r="AR236" s="20" t="s">
        <v>1309</v>
      </c>
      <c r="AS236" s="40" t="s">
        <v>1245</v>
      </c>
      <c r="AT236" s="40" t="s">
        <v>1309</v>
      </c>
      <c r="AU236" s="48"/>
      <c r="AV236" s="20"/>
      <c r="AW236" s="45"/>
      <c r="AX236" s="20"/>
    </row>
    <row r="237" spans="2:50" ht="32.25" customHeight="1">
      <c r="B237" s="8">
        <v>234</v>
      </c>
      <c r="C237" s="20" t="s">
        <v>310</v>
      </c>
      <c r="D237" s="20" t="s">
        <v>310</v>
      </c>
      <c r="E237" s="8" t="s">
        <v>74</v>
      </c>
      <c r="F237" s="8" t="s">
        <v>75</v>
      </c>
      <c r="G237" s="19" t="s">
        <v>73</v>
      </c>
      <c r="H237" s="29" t="s">
        <v>76</v>
      </c>
      <c r="I237" s="20"/>
      <c r="J237" s="24">
        <v>30049032</v>
      </c>
      <c r="K237" s="11">
        <v>0.05</v>
      </c>
      <c r="L237" s="21">
        <v>186</v>
      </c>
      <c r="M237" s="22">
        <f t="shared" si="9"/>
        <v>163.68</v>
      </c>
      <c r="N237" s="23">
        <f t="shared" si="10"/>
        <v>22.319999999999993</v>
      </c>
      <c r="O237" s="26">
        <f t="shared" si="11"/>
        <v>0.11999999999999997</v>
      </c>
      <c r="P237" s="20"/>
      <c r="Q237" s="20" t="s">
        <v>863</v>
      </c>
      <c r="R237" s="20" t="s">
        <v>889</v>
      </c>
      <c r="S237" s="20"/>
      <c r="T237" s="30">
        <v>1</v>
      </c>
      <c r="U237" s="20" t="s">
        <v>593</v>
      </c>
      <c r="V237" s="20"/>
      <c r="W237" s="20" t="s">
        <v>931</v>
      </c>
      <c r="X237" s="43"/>
      <c r="Y237" s="40" t="s">
        <v>1246</v>
      </c>
      <c r="Z237" s="40" t="s">
        <v>1246</v>
      </c>
      <c r="AA237" s="20"/>
      <c r="AB237" s="20"/>
      <c r="AC237" s="20"/>
      <c r="AD237" s="20"/>
      <c r="AE237" s="20"/>
      <c r="AF237" s="20"/>
      <c r="AG237" s="20"/>
      <c r="AH237" s="20"/>
      <c r="AI237" s="20" t="s">
        <v>1327</v>
      </c>
      <c r="AJ237" s="20"/>
      <c r="AK237" s="20"/>
      <c r="AL237" s="20"/>
      <c r="AM237" s="20"/>
      <c r="AN237" s="35" t="s">
        <v>747</v>
      </c>
      <c r="AO237" s="20"/>
      <c r="AP237" s="20"/>
      <c r="AQ237" s="45"/>
      <c r="AR237" s="20" t="s">
        <v>1309</v>
      </c>
      <c r="AS237" s="40" t="s">
        <v>1246</v>
      </c>
      <c r="AT237" s="40" t="s">
        <v>1309</v>
      </c>
      <c r="AU237" s="48"/>
      <c r="AV237" s="20"/>
      <c r="AW237" s="45"/>
      <c r="AX237" s="20"/>
    </row>
    <row r="238" spans="2:50" ht="33" customHeight="1">
      <c r="B238" s="8">
        <v>235</v>
      </c>
      <c r="C238" s="20" t="s">
        <v>311</v>
      </c>
      <c r="D238" s="20" t="s">
        <v>311</v>
      </c>
      <c r="E238" s="8" t="s">
        <v>74</v>
      </c>
      <c r="F238" s="8" t="s">
        <v>75</v>
      </c>
      <c r="G238" s="19" t="s">
        <v>73</v>
      </c>
      <c r="H238" s="29" t="s">
        <v>76</v>
      </c>
      <c r="I238" s="20"/>
      <c r="J238" s="24">
        <v>30049039</v>
      </c>
      <c r="K238" s="11">
        <v>0.05</v>
      </c>
      <c r="L238" s="21">
        <v>1687.5</v>
      </c>
      <c r="M238" s="22">
        <f t="shared" si="9"/>
        <v>1485</v>
      </c>
      <c r="N238" s="23">
        <f t="shared" si="10"/>
        <v>202.5</v>
      </c>
      <c r="O238" s="26">
        <f t="shared" si="11"/>
        <v>0.12</v>
      </c>
      <c r="P238" s="20"/>
      <c r="Q238" s="20" t="s">
        <v>859</v>
      </c>
      <c r="R238" s="20" t="s">
        <v>889</v>
      </c>
      <c r="S238" s="20"/>
      <c r="T238" s="30">
        <v>1</v>
      </c>
      <c r="U238" s="20" t="s">
        <v>604</v>
      </c>
      <c r="V238" s="20"/>
      <c r="W238" s="20" t="s">
        <v>929</v>
      </c>
      <c r="X238" s="43"/>
      <c r="Y238" s="40" t="s">
        <v>1247</v>
      </c>
      <c r="Z238" s="40" t="s">
        <v>1247</v>
      </c>
      <c r="AA238" s="20"/>
      <c r="AB238" s="20"/>
      <c r="AC238" s="20"/>
      <c r="AD238" s="20"/>
      <c r="AE238" s="20"/>
      <c r="AF238" s="20"/>
      <c r="AG238" s="20"/>
      <c r="AH238" s="20"/>
      <c r="AI238" s="20" t="s">
        <v>1327</v>
      </c>
      <c r="AJ238" s="20"/>
      <c r="AK238" s="20"/>
      <c r="AL238" s="20"/>
      <c r="AM238" s="20"/>
      <c r="AN238" s="35" t="s">
        <v>749</v>
      </c>
      <c r="AO238" s="20"/>
      <c r="AP238" s="20"/>
      <c r="AQ238" s="45"/>
      <c r="AR238" s="20" t="s">
        <v>1309</v>
      </c>
      <c r="AS238" s="40" t="s">
        <v>1247</v>
      </c>
      <c r="AT238" s="40" t="s">
        <v>1309</v>
      </c>
      <c r="AU238" s="48"/>
      <c r="AV238" s="20"/>
      <c r="AW238" s="45"/>
      <c r="AX238" s="20"/>
    </row>
    <row r="239" spans="2:50" ht="25.5" customHeight="1">
      <c r="B239" s="8">
        <v>236</v>
      </c>
      <c r="C239" s="20" t="s">
        <v>312</v>
      </c>
      <c r="D239" s="20" t="s">
        <v>312</v>
      </c>
      <c r="E239" s="8" t="s">
        <v>74</v>
      </c>
      <c r="F239" s="8" t="s">
        <v>75</v>
      </c>
      <c r="G239" s="19" t="s">
        <v>73</v>
      </c>
      <c r="H239" s="29" t="s">
        <v>76</v>
      </c>
      <c r="I239" s="20"/>
      <c r="J239" s="24">
        <v>30049039</v>
      </c>
      <c r="K239" s="11">
        <v>0.05</v>
      </c>
      <c r="L239" s="21">
        <v>2109.38</v>
      </c>
      <c r="M239" s="22">
        <f t="shared" si="9"/>
        <v>1856.2544</v>
      </c>
      <c r="N239" s="23">
        <f t="shared" si="10"/>
        <v>253.12560000000008</v>
      </c>
      <c r="O239" s="26">
        <f t="shared" si="11"/>
        <v>0.12000000000000002</v>
      </c>
      <c r="P239" s="20"/>
      <c r="Q239" s="20" t="s">
        <v>859</v>
      </c>
      <c r="R239" s="20" t="s">
        <v>889</v>
      </c>
      <c r="S239" s="20"/>
      <c r="T239" s="30">
        <v>1</v>
      </c>
      <c r="U239" s="20" t="s">
        <v>604</v>
      </c>
      <c r="V239" s="20"/>
      <c r="W239" s="20" t="s">
        <v>929</v>
      </c>
      <c r="X239" s="43"/>
      <c r="Y239" s="40" t="s">
        <v>1248</v>
      </c>
      <c r="Z239" s="40" t="s">
        <v>1248</v>
      </c>
      <c r="AA239" s="20"/>
      <c r="AB239" s="20"/>
      <c r="AC239" s="20"/>
      <c r="AD239" s="20"/>
      <c r="AE239" s="20"/>
      <c r="AF239" s="20"/>
      <c r="AG239" s="20"/>
      <c r="AH239" s="20"/>
      <c r="AI239" s="20" t="s">
        <v>1327</v>
      </c>
      <c r="AJ239" s="20"/>
      <c r="AK239" s="20"/>
      <c r="AL239" s="20"/>
      <c r="AM239" s="20"/>
      <c r="AN239" s="35" t="s">
        <v>750</v>
      </c>
      <c r="AO239" s="20"/>
      <c r="AP239" s="20"/>
      <c r="AQ239" s="45"/>
      <c r="AR239" s="20" t="s">
        <v>1309</v>
      </c>
      <c r="AS239" s="40" t="s">
        <v>1248</v>
      </c>
      <c r="AT239" s="40" t="s">
        <v>1309</v>
      </c>
      <c r="AU239" s="48"/>
      <c r="AV239" s="20"/>
      <c r="AW239" s="45"/>
      <c r="AX239" s="20"/>
    </row>
    <row r="240" spans="2:50" ht="27" customHeight="1">
      <c r="B240" s="8">
        <v>237</v>
      </c>
      <c r="C240" s="20" t="s">
        <v>313</v>
      </c>
      <c r="D240" s="20" t="s">
        <v>313</v>
      </c>
      <c r="E240" s="8" t="s">
        <v>74</v>
      </c>
      <c r="F240" s="8" t="s">
        <v>75</v>
      </c>
      <c r="G240" s="19" t="s">
        <v>73</v>
      </c>
      <c r="H240" s="29" t="s">
        <v>76</v>
      </c>
      <c r="I240" s="20"/>
      <c r="J240" s="24">
        <v>30049039</v>
      </c>
      <c r="K240" s="11">
        <v>0.05</v>
      </c>
      <c r="L240" s="21">
        <v>1125</v>
      </c>
      <c r="M240" s="22">
        <f t="shared" si="9"/>
        <v>990</v>
      </c>
      <c r="N240" s="23">
        <f t="shared" si="10"/>
        <v>135</v>
      </c>
      <c r="O240" s="26">
        <f t="shared" si="11"/>
        <v>0.12</v>
      </c>
      <c r="P240" s="20"/>
      <c r="Q240" s="20" t="s">
        <v>859</v>
      </c>
      <c r="R240" s="20" t="s">
        <v>889</v>
      </c>
      <c r="S240" s="20"/>
      <c r="T240" s="30">
        <v>1</v>
      </c>
      <c r="U240" s="20" t="s">
        <v>604</v>
      </c>
      <c r="V240" s="20"/>
      <c r="W240" s="20" t="s">
        <v>929</v>
      </c>
      <c r="X240" s="43"/>
      <c r="Y240" s="40" t="s">
        <v>1249</v>
      </c>
      <c r="Z240" s="40" t="s">
        <v>1249</v>
      </c>
      <c r="AA240" s="20"/>
      <c r="AB240" s="20"/>
      <c r="AC240" s="20"/>
      <c r="AD240" s="20"/>
      <c r="AE240" s="20"/>
      <c r="AF240" s="20"/>
      <c r="AG240" s="20"/>
      <c r="AH240" s="20"/>
      <c r="AI240" s="20" t="s">
        <v>1327</v>
      </c>
      <c r="AJ240" s="20"/>
      <c r="AK240" s="20"/>
      <c r="AL240" s="20"/>
      <c r="AM240" s="20"/>
      <c r="AN240" s="35" t="s">
        <v>748</v>
      </c>
      <c r="AO240" s="20"/>
      <c r="AP240" s="20"/>
      <c r="AQ240" s="45"/>
      <c r="AR240" s="20" t="s">
        <v>1309</v>
      </c>
      <c r="AS240" s="40" t="s">
        <v>1249</v>
      </c>
      <c r="AT240" s="40" t="s">
        <v>1309</v>
      </c>
      <c r="AU240" s="48"/>
      <c r="AV240" s="20"/>
      <c r="AW240" s="45"/>
      <c r="AX240" s="20"/>
    </row>
    <row r="241" spans="2:50" ht="25.5" customHeight="1">
      <c r="B241" s="8">
        <v>238</v>
      </c>
      <c r="C241" s="20" t="s">
        <v>314</v>
      </c>
      <c r="D241" s="20" t="s">
        <v>314</v>
      </c>
      <c r="E241" s="8" t="s">
        <v>74</v>
      </c>
      <c r="F241" s="8" t="s">
        <v>75</v>
      </c>
      <c r="G241" s="19" t="s">
        <v>73</v>
      </c>
      <c r="H241" s="29" t="s">
        <v>76</v>
      </c>
      <c r="I241" s="20"/>
      <c r="J241" s="24">
        <v>30049099</v>
      </c>
      <c r="K241" s="11">
        <v>0.05</v>
      </c>
      <c r="L241" s="21">
        <v>2900</v>
      </c>
      <c r="M241" s="22">
        <f t="shared" si="9"/>
        <v>2552</v>
      </c>
      <c r="N241" s="23">
        <f t="shared" si="10"/>
        <v>348</v>
      </c>
      <c r="O241" s="26">
        <f t="shared" si="11"/>
        <v>0.12</v>
      </c>
      <c r="P241" s="20"/>
      <c r="Q241" s="20" t="s">
        <v>859</v>
      </c>
      <c r="R241" s="20" t="s">
        <v>889</v>
      </c>
      <c r="S241" s="20"/>
      <c r="T241" s="30">
        <v>1</v>
      </c>
      <c r="U241" s="20" t="s">
        <v>644</v>
      </c>
      <c r="V241" s="20"/>
      <c r="W241" s="20" t="s">
        <v>929</v>
      </c>
      <c r="X241" s="43"/>
      <c r="Y241" s="40" t="s">
        <v>1250</v>
      </c>
      <c r="Z241" s="40" t="s">
        <v>1250</v>
      </c>
      <c r="AA241" s="20"/>
      <c r="AB241" s="20"/>
      <c r="AC241" s="20"/>
      <c r="AD241" s="20"/>
      <c r="AE241" s="20"/>
      <c r="AF241" s="20"/>
      <c r="AG241" s="20"/>
      <c r="AH241" s="20"/>
      <c r="AI241" s="20" t="s">
        <v>1327</v>
      </c>
      <c r="AJ241" s="20"/>
      <c r="AK241" s="20"/>
      <c r="AL241" s="20"/>
      <c r="AM241" s="20"/>
      <c r="AN241" s="35" t="s">
        <v>751</v>
      </c>
      <c r="AO241" s="20"/>
      <c r="AP241" s="20"/>
      <c r="AQ241" s="45"/>
      <c r="AR241" s="20" t="s">
        <v>1309</v>
      </c>
      <c r="AS241" s="40" t="s">
        <v>1250</v>
      </c>
      <c r="AT241" s="40" t="s">
        <v>1309</v>
      </c>
      <c r="AU241" s="48"/>
      <c r="AV241" s="20"/>
      <c r="AW241" s="45"/>
      <c r="AX241" s="20"/>
    </row>
    <row r="242" spans="2:50" ht="15.75" customHeight="1">
      <c r="B242" s="8">
        <v>239</v>
      </c>
      <c r="C242" s="20" t="s">
        <v>315</v>
      </c>
      <c r="D242" s="20" t="s">
        <v>315</v>
      </c>
      <c r="E242" s="8" t="s">
        <v>74</v>
      </c>
      <c r="F242" s="8" t="s">
        <v>75</v>
      </c>
      <c r="G242" s="19" t="s">
        <v>73</v>
      </c>
      <c r="H242" s="29" t="s">
        <v>76</v>
      </c>
      <c r="I242" s="20"/>
      <c r="J242" s="24">
        <v>30049099</v>
      </c>
      <c r="K242" s="11">
        <v>0.05</v>
      </c>
      <c r="L242" s="21">
        <v>68</v>
      </c>
      <c r="M242" s="22">
        <f t="shared" si="9"/>
        <v>59.84</v>
      </c>
      <c r="N242" s="23">
        <f t="shared" si="10"/>
        <v>8.1599999999999966</v>
      </c>
      <c r="O242" s="26">
        <f t="shared" si="11"/>
        <v>0.11999999999999995</v>
      </c>
      <c r="P242" s="20"/>
      <c r="Q242" s="20" t="s">
        <v>878</v>
      </c>
      <c r="R242" s="20" t="s">
        <v>889</v>
      </c>
      <c r="S242" s="20"/>
      <c r="T242" s="30">
        <v>1</v>
      </c>
      <c r="U242" s="20" t="s">
        <v>600</v>
      </c>
      <c r="V242" s="20"/>
      <c r="W242" s="20" t="s">
        <v>930</v>
      </c>
      <c r="X242" s="43"/>
      <c r="Y242" s="40" t="s">
        <v>1251</v>
      </c>
      <c r="Z242" s="40" t="s">
        <v>1251</v>
      </c>
      <c r="AA242" s="20"/>
      <c r="AB242" s="20"/>
      <c r="AC242" s="20"/>
      <c r="AD242" s="20"/>
      <c r="AE242" s="20"/>
      <c r="AF242" s="20"/>
      <c r="AG242" s="20"/>
      <c r="AH242" s="20"/>
      <c r="AI242" s="20" t="s">
        <v>1322</v>
      </c>
      <c r="AJ242" s="20"/>
      <c r="AK242" s="20"/>
      <c r="AL242" s="20"/>
      <c r="AM242" s="20"/>
      <c r="AN242" s="37"/>
      <c r="AO242" s="20"/>
      <c r="AP242" s="20"/>
      <c r="AQ242" s="45"/>
      <c r="AR242" s="20" t="s">
        <v>1309</v>
      </c>
      <c r="AS242" s="40" t="s">
        <v>1251</v>
      </c>
      <c r="AT242" s="40" t="s">
        <v>1309</v>
      </c>
      <c r="AU242" s="48"/>
      <c r="AV242" s="20"/>
      <c r="AW242" s="45"/>
      <c r="AX242" s="20"/>
    </row>
    <row r="243" spans="2:50" ht="30" customHeight="1">
      <c r="B243" s="8">
        <v>240</v>
      </c>
      <c r="C243" s="20" t="s">
        <v>316</v>
      </c>
      <c r="D243" s="20" t="s">
        <v>316</v>
      </c>
      <c r="E243" s="8" t="s">
        <v>74</v>
      </c>
      <c r="F243" s="8" t="s">
        <v>75</v>
      </c>
      <c r="G243" s="19" t="s">
        <v>73</v>
      </c>
      <c r="H243" s="29" t="s">
        <v>76</v>
      </c>
      <c r="I243" s="20"/>
      <c r="J243" s="24">
        <v>21069099</v>
      </c>
      <c r="K243" s="11">
        <v>0.05</v>
      </c>
      <c r="L243" s="21">
        <v>2670</v>
      </c>
      <c r="M243" s="22">
        <f t="shared" si="9"/>
        <v>2349.6</v>
      </c>
      <c r="N243" s="23">
        <f t="shared" si="10"/>
        <v>320.40000000000009</v>
      </c>
      <c r="O243" s="26">
        <f t="shared" si="11"/>
        <v>0.12000000000000004</v>
      </c>
      <c r="P243" s="20"/>
      <c r="Q243" s="20" t="s">
        <v>859</v>
      </c>
      <c r="R243" s="20" t="s">
        <v>889</v>
      </c>
      <c r="S243" s="20"/>
      <c r="T243" s="30">
        <v>1</v>
      </c>
      <c r="U243" s="20" t="s">
        <v>597</v>
      </c>
      <c r="V243" s="20"/>
      <c r="W243" s="20" t="s">
        <v>929</v>
      </c>
      <c r="X243" s="43"/>
      <c r="Y243" s="40" t="s">
        <v>1252</v>
      </c>
      <c r="Z243" s="40" t="s">
        <v>1252</v>
      </c>
      <c r="AA243" s="20"/>
      <c r="AB243" s="20"/>
      <c r="AC243" s="20"/>
      <c r="AD243" s="20"/>
      <c r="AE243" s="20"/>
      <c r="AF243" s="20"/>
      <c r="AG243" s="20"/>
      <c r="AH243" s="20"/>
      <c r="AI243" s="20" t="s">
        <v>1329</v>
      </c>
      <c r="AJ243" s="20"/>
      <c r="AK243" s="20"/>
      <c r="AL243" s="20"/>
      <c r="AM243" s="20"/>
      <c r="AN243" s="35" t="s">
        <v>752</v>
      </c>
      <c r="AO243" s="20"/>
      <c r="AP243" s="20"/>
      <c r="AQ243" s="45"/>
      <c r="AR243" s="20" t="s">
        <v>1306</v>
      </c>
      <c r="AS243" s="40" t="s">
        <v>1252</v>
      </c>
      <c r="AT243" s="40" t="s">
        <v>1306</v>
      </c>
      <c r="AU243" s="48"/>
      <c r="AV243" s="20"/>
      <c r="AW243" s="45"/>
      <c r="AX243" s="20"/>
    </row>
    <row r="244" spans="2:50" ht="29.25" customHeight="1">
      <c r="B244" s="8">
        <v>241</v>
      </c>
      <c r="C244" s="20" t="s">
        <v>317</v>
      </c>
      <c r="D244" s="20" t="s">
        <v>317</v>
      </c>
      <c r="E244" s="8" t="s">
        <v>74</v>
      </c>
      <c r="F244" s="8" t="s">
        <v>75</v>
      </c>
      <c r="G244" s="19" t="s">
        <v>73</v>
      </c>
      <c r="H244" s="29" t="s">
        <v>76</v>
      </c>
      <c r="I244" s="20"/>
      <c r="J244" s="24">
        <v>30039011</v>
      </c>
      <c r="K244" s="11">
        <v>0.05</v>
      </c>
      <c r="L244" s="21">
        <v>2340</v>
      </c>
      <c r="M244" s="22">
        <f t="shared" si="9"/>
        <v>2059.1999999999998</v>
      </c>
      <c r="N244" s="23">
        <f t="shared" si="10"/>
        <v>280.80000000000018</v>
      </c>
      <c r="O244" s="26">
        <f t="shared" si="11"/>
        <v>0.12000000000000008</v>
      </c>
      <c r="P244" s="20"/>
      <c r="Q244" s="20" t="s">
        <v>865</v>
      </c>
      <c r="R244" s="20" t="s">
        <v>889</v>
      </c>
      <c r="S244" s="20"/>
      <c r="T244" s="30">
        <v>1</v>
      </c>
      <c r="U244" s="20" t="s">
        <v>597</v>
      </c>
      <c r="V244" s="20"/>
      <c r="W244" s="20" t="s">
        <v>929</v>
      </c>
      <c r="X244" s="43"/>
      <c r="Y244" s="40" t="s">
        <v>1253</v>
      </c>
      <c r="Z244" s="40" t="s">
        <v>1253</v>
      </c>
      <c r="AA244" s="20"/>
      <c r="AB244" s="20"/>
      <c r="AC244" s="20"/>
      <c r="AD244" s="20"/>
      <c r="AE244" s="20"/>
      <c r="AF244" s="20"/>
      <c r="AG244" s="20"/>
      <c r="AH244" s="20"/>
      <c r="AI244" s="20" t="s">
        <v>1327</v>
      </c>
      <c r="AJ244" s="20"/>
      <c r="AK244" s="20"/>
      <c r="AL244" s="20"/>
      <c r="AM244" s="20"/>
      <c r="AN244" s="35" t="s">
        <v>753</v>
      </c>
      <c r="AO244" s="20"/>
      <c r="AP244" s="20"/>
      <c r="AQ244" s="45"/>
      <c r="AR244" s="20" t="s">
        <v>1309</v>
      </c>
      <c r="AS244" s="40" t="s">
        <v>1253</v>
      </c>
      <c r="AT244" s="40" t="s">
        <v>1309</v>
      </c>
      <c r="AU244" s="48"/>
      <c r="AV244" s="20"/>
      <c r="AW244" s="45"/>
      <c r="AX244" s="20"/>
    </row>
    <row r="245" spans="2:50" ht="15.75" customHeight="1">
      <c r="B245" s="8">
        <v>242</v>
      </c>
      <c r="C245" s="20" t="s">
        <v>318</v>
      </c>
      <c r="D245" s="20" t="s">
        <v>318</v>
      </c>
      <c r="E245" s="8" t="s">
        <v>74</v>
      </c>
      <c r="F245" s="8" t="s">
        <v>75</v>
      </c>
      <c r="G245" s="19" t="s">
        <v>73</v>
      </c>
      <c r="H245" s="29" t="s">
        <v>76</v>
      </c>
      <c r="I245" s="20"/>
      <c r="J245" s="24">
        <v>29362390</v>
      </c>
      <c r="K245" s="11">
        <v>0.05</v>
      </c>
      <c r="L245" s="21">
        <v>1900</v>
      </c>
      <c r="M245" s="22">
        <f t="shared" si="9"/>
        <v>1672</v>
      </c>
      <c r="N245" s="23">
        <f t="shared" si="10"/>
        <v>228</v>
      </c>
      <c r="O245" s="26">
        <f t="shared" si="11"/>
        <v>0.12</v>
      </c>
      <c r="P245" s="20"/>
      <c r="Q245" s="20" t="s">
        <v>869</v>
      </c>
      <c r="R245" s="20" t="s">
        <v>889</v>
      </c>
      <c r="S245" s="20"/>
      <c r="T245" s="30">
        <v>1</v>
      </c>
      <c r="U245" s="20" t="s">
        <v>589</v>
      </c>
      <c r="V245" s="20"/>
      <c r="W245" s="20" t="s">
        <v>929</v>
      </c>
      <c r="X245" s="43"/>
      <c r="Y245" s="40" t="s">
        <v>1254</v>
      </c>
      <c r="Z245" s="40" t="s">
        <v>1254</v>
      </c>
      <c r="AA245" s="20"/>
      <c r="AB245" s="20"/>
      <c r="AC245" s="20"/>
      <c r="AD245" t="s">
        <v>1331</v>
      </c>
      <c r="AE245" s="20"/>
      <c r="AF245" s="20"/>
      <c r="AG245" s="20"/>
      <c r="AH245" s="20"/>
      <c r="AI245" s="20" t="s">
        <v>1322</v>
      </c>
      <c r="AJ245" s="20"/>
      <c r="AK245" s="20"/>
      <c r="AL245" s="20"/>
      <c r="AM245" s="20"/>
      <c r="AN245" s="37"/>
      <c r="AO245" s="20"/>
      <c r="AP245" s="20"/>
      <c r="AQ245" s="45"/>
      <c r="AR245" s="20" t="s">
        <v>1309</v>
      </c>
      <c r="AS245" s="40" t="s">
        <v>1254</v>
      </c>
      <c r="AT245" s="40" t="s">
        <v>1309</v>
      </c>
      <c r="AU245" s="48"/>
      <c r="AV245" s="20"/>
      <c r="AW245" s="45"/>
      <c r="AX245" s="20"/>
    </row>
    <row r="246" spans="2:50" ht="33" customHeight="1">
      <c r="B246" s="8">
        <v>243</v>
      </c>
      <c r="C246" s="20" t="s">
        <v>319</v>
      </c>
      <c r="D246" s="20" t="s">
        <v>319</v>
      </c>
      <c r="E246" s="8" t="s">
        <v>74</v>
      </c>
      <c r="F246" s="8" t="s">
        <v>75</v>
      </c>
      <c r="G246" s="19" t="s">
        <v>73</v>
      </c>
      <c r="H246" s="29" t="s">
        <v>76</v>
      </c>
      <c r="I246" s="20"/>
      <c r="J246" s="24">
        <v>30049099</v>
      </c>
      <c r="K246" s="11">
        <v>0.05</v>
      </c>
      <c r="L246" s="21">
        <v>2025</v>
      </c>
      <c r="M246" s="22">
        <f t="shared" si="9"/>
        <v>1782</v>
      </c>
      <c r="N246" s="23">
        <f t="shared" si="10"/>
        <v>243</v>
      </c>
      <c r="O246" s="26">
        <f t="shared" si="11"/>
        <v>0.12</v>
      </c>
      <c r="P246" s="20"/>
      <c r="Q246" s="20" t="s">
        <v>859</v>
      </c>
      <c r="R246" s="20" t="s">
        <v>889</v>
      </c>
      <c r="S246" s="20"/>
      <c r="T246" s="30">
        <v>1</v>
      </c>
      <c r="U246" s="20" t="s">
        <v>621</v>
      </c>
      <c r="V246" s="20"/>
      <c r="W246" s="20" t="s">
        <v>929</v>
      </c>
      <c r="X246" s="43"/>
      <c r="Y246" s="40" t="s">
        <v>1255</v>
      </c>
      <c r="Z246" s="40" t="s">
        <v>1255</v>
      </c>
      <c r="AA246" s="20"/>
      <c r="AB246" s="20"/>
      <c r="AC246" s="20"/>
      <c r="AD246" s="20"/>
      <c r="AE246" s="20"/>
      <c r="AF246" s="20"/>
      <c r="AG246" s="20"/>
      <c r="AH246" s="20"/>
      <c r="AI246" s="20" t="s">
        <v>1325</v>
      </c>
      <c r="AJ246" s="20"/>
      <c r="AK246" s="20"/>
      <c r="AL246" s="20"/>
      <c r="AM246" s="20"/>
      <c r="AN246" s="35" t="s">
        <v>754</v>
      </c>
      <c r="AO246" s="20"/>
      <c r="AP246" s="20"/>
      <c r="AQ246" s="45"/>
      <c r="AR246" s="20" t="s">
        <v>1309</v>
      </c>
      <c r="AS246" s="40" t="s">
        <v>1255</v>
      </c>
      <c r="AT246" s="40" t="s">
        <v>1309</v>
      </c>
      <c r="AU246" s="48"/>
      <c r="AV246" s="20"/>
      <c r="AW246" s="45"/>
      <c r="AX246" s="20"/>
    </row>
    <row r="247" spans="2:50" ht="30" customHeight="1">
      <c r="B247" s="8">
        <v>244</v>
      </c>
      <c r="C247" s="20" t="s">
        <v>320</v>
      </c>
      <c r="D247" s="20" t="s">
        <v>320</v>
      </c>
      <c r="E247" s="8" t="s">
        <v>74</v>
      </c>
      <c r="F247" s="8" t="s">
        <v>75</v>
      </c>
      <c r="G247" s="19" t="s">
        <v>73</v>
      </c>
      <c r="H247" s="29" t="s">
        <v>76</v>
      </c>
      <c r="I247" s="20"/>
      <c r="J247" s="24">
        <v>30049082</v>
      </c>
      <c r="K247" s="11">
        <v>0.05</v>
      </c>
      <c r="L247" s="21">
        <v>960.66</v>
      </c>
      <c r="M247" s="22">
        <f t="shared" si="9"/>
        <v>845.38080000000002</v>
      </c>
      <c r="N247" s="23">
        <f t="shared" si="10"/>
        <v>115.27919999999995</v>
      </c>
      <c r="O247" s="26">
        <f t="shared" si="11"/>
        <v>0.11999999999999995</v>
      </c>
      <c r="P247" s="20"/>
      <c r="Q247" s="20" t="s">
        <v>859</v>
      </c>
      <c r="R247" s="20" t="s">
        <v>889</v>
      </c>
      <c r="S247" s="20"/>
      <c r="T247" s="30">
        <v>1</v>
      </c>
      <c r="U247" s="20" t="s">
        <v>589</v>
      </c>
      <c r="V247" s="20"/>
      <c r="W247" s="20" t="s">
        <v>929</v>
      </c>
      <c r="X247" s="43"/>
      <c r="Y247" s="40" t="s">
        <v>1256</v>
      </c>
      <c r="Z247" s="40" t="s">
        <v>1256</v>
      </c>
      <c r="AA247" s="20"/>
      <c r="AB247" s="20"/>
      <c r="AC247" s="20"/>
      <c r="AD247" t="s">
        <v>1331</v>
      </c>
      <c r="AE247" s="20"/>
      <c r="AF247" s="20"/>
      <c r="AG247" s="20"/>
      <c r="AH247" s="20"/>
      <c r="AI247" s="20" t="s">
        <v>1325</v>
      </c>
      <c r="AJ247" s="20"/>
      <c r="AK247" s="20"/>
      <c r="AL247" s="20"/>
      <c r="AM247" s="20"/>
      <c r="AN247" s="35" t="s">
        <v>755</v>
      </c>
      <c r="AO247" s="20"/>
      <c r="AP247" s="20"/>
      <c r="AQ247" s="45"/>
      <c r="AR247" s="20" t="s">
        <v>1312</v>
      </c>
      <c r="AS247" s="40" t="s">
        <v>1256</v>
      </c>
      <c r="AT247" s="40" t="s">
        <v>1312</v>
      </c>
      <c r="AU247" s="48"/>
      <c r="AV247" s="20"/>
      <c r="AW247" s="45"/>
      <c r="AX247" s="20"/>
    </row>
    <row r="248" spans="2:50" ht="28.5" customHeight="1">
      <c r="B248" s="8">
        <v>245</v>
      </c>
      <c r="C248" s="20" t="s">
        <v>321</v>
      </c>
      <c r="D248" s="20" t="s">
        <v>321</v>
      </c>
      <c r="E248" s="8" t="s">
        <v>74</v>
      </c>
      <c r="F248" s="8" t="s">
        <v>75</v>
      </c>
      <c r="G248" s="19" t="s">
        <v>73</v>
      </c>
      <c r="H248" s="29" t="s">
        <v>76</v>
      </c>
      <c r="I248" s="20"/>
      <c r="J248" s="24">
        <v>21069099</v>
      </c>
      <c r="K248" s="11">
        <v>0.05</v>
      </c>
      <c r="L248" s="21">
        <v>3471</v>
      </c>
      <c r="M248" s="22">
        <f t="shared" si="9"/>
        <v>3054.48</v>
      </c>
      <c r="N248" s="23">
        <f t="shared" si="10"/>
        <v>416.52</v>
      </c>
      <c r="O248" s="26">
        <f t="shared" si="11"/>
        <v>0.12</v>
      </c>
      <c r="P248" s="20"/>
      <c r="Q248" s="20" t="s">
        <v>859</v>
      </c>
      <c r="R248" s="20" t="s">
        <v>889</v>
      </c>
      <c r="S248" s="20"/>
      <c r="T248" s="30">
        <v>1</v>
      </c>
      <c r="U248" s="20" t="s">
        <v>597</v>
      </c>
      <c r="V248" s="20"/>
      <c r="W248" s="20" t="s">
        <v>929</v>
      </c>
      <c r="X248" s="43"/>
      <c r="Y248" s="40" t="s">
        <v>1257</v>
      </c>
      <c r="Z248" s="40" t="s">
        <v>1257</v>
      </c>
      <c r="AA248" s="20"/>
      <c r="AB248" s="20"/>
      <c r="AC248" s="20"/>
      <c r="AD248" s="20"/>
      <c r="AE248" s="20"/>
      <c r="AF248" s="20"/>
      <c r="AG248" s="20"/>
      <c r="AH248" s="20"/>
      <c r="AI248" s="20" t="s">
        <v>1329</v>
      </c>
      <c r="AJ248" s="20"/>
      <c r="AK248" s="20"/>
      <c r="AL248" s="20"/>
      <c r="AM248" s="20"/>
      <c r="AN248" s="35" t="s">
        <v>756</v>
      </c>
      <c r="AO248" s="20"/>
      <c r="AP248" s="20"/>
      <c r="AQ248" s="45"/>
      <c r="AR248" s="20" t="s">
        <v>1306</v>
      </c>
      <c r="AS248" s="40" t="s">
        <v>1257</v>
      </c>
      <c r="AT248" s="40" t="s">
        <v>1306</v>
      </c>
      <c r="AU248" s="48"/>
      <c r="AV248" s="20"/>
      <c r="AW248" s="45"/>
      <c r="AX248" s="20"/>
    </row>
    <row r="249" spans="2:50" ht="28.5" customHeight="1">
      <c r="B249" s="8">
        <v>246</v>
      </c>
      <c r="C249" s="20" t="s">
        <v>322</v>
      </c>
      <c r="D249" s="20" t="s">
        <v>322</v>
      </c>
      <c r="E249" s="8" t="s">
        <v>74</v>
      </c>
      <c r="F249" s="8" t="s">
        <v>75</v>
      </c>
      <c r="G249" s="19" t="s">
        <v>73</v>
      </c>
      <c r="H249" s="29" t="s">
        <v>76</v>
      </c>
      <c r="I249" s="20"/>
      <c r="J249" s="24">
        <v>30049099</v>
      </c>
      <c r="K249" s="11">
        <v>0.05</v>
      </c>
      <c r="L249" s="21">
        <v>1603.13</v>
      </c>
      <c r="M249" s="22">
        <f t="shared" si="9"/>
        <v>1410.7544</v>
      </c>
      <c r="N249" s="23">
        <f t="shared" si="10"/>
        <v>192.37560000000008</v>
      </c>
      <c r="O249" s="26">
        <f t="shared" si="11"/>
        <v>0.12000000000000004</v>
      </c>
      <c r="P249" s="20"/>
      <c r="Q249" s="20" t="s">
        <v>859</v>
      </c>
      <c r="R249" s="20" t="s">
        <v>889</v>
      </c>
      <c r="S249" s="20"/>
      <c r="T249" s="30">
        <v>1</v>
      </c>
      <c r="U249" s="20" t="s">
        <v>621</v>
      </c>
      <c r="V249" s="20"/>
      <c r="W249" s="20" t="s">
        <v>929</v>
      </c>
      <c r="X249" s="43"/>
      <c r="Y249" s="40" t="s">
        <v>1258</v>
      </c>
      <c r="Z249" s="40" t="s">
        <v>1258</v>
      </c>
      <c r="AA249" s="20"/>
      <c r="AB249" s="20"/>
      <c r="AC249" s="20"/>
      <c r="AD249" s="20"/>
      <c r="AE249" s="20"/>
      <c r="AF249" s="20"/>
      <c r="AG249" s="20"/>
      <c r="AH249" s="20"/>
      <c r="AI249" s="20" t="s">
        <v>1327</v>
      </c>
      <c r="AJ249" s="20"/>
      <c r="AK249" s="20"/>
      <c r="AL249" s="20"/>
      <c r="AM249" s="20"/>
      <c r="AN249" s="35" t="s">
        <v>757</v>
      </c>
      <c r="AO249" s="20"/>
      <c r="AP249" s="20"/>
      <c r="AQ249" s="45"/>
      <c r="AR249" s="20" t="s">
        <v>1309</v>
      </c>
      <c r="AS249" s="40" t="s">
        <v>1258</v>
      </c>
      <c r="AT249" s="40" t="s">
        <v>1309</v>
      </c>
      <c r="AU249" s="48"/>
      <c r="AV249" s="20"/>
      <c r="AW249" s="45"/>
      <c r="AX249" s="20"/>
    </row>
    <row r="250" spans="2:50" ht="15.75" customHeight="1">
      <c r="B250" s="8">
        <v>247</v>
      </c>
      <c r="C250" s="20" t="s">
        <v>323</v>
      </c>
      <c r="D250" s="20" t="s">
        <v>323</v>
      </c>
      <c r="E250" s="8" t="s">
        <v>74</v>
      </c>
      <c r="F250" s="8" t="s">
        <v>75</v>
      </c>
      <c r="G250" s="19" t="s">
        <v>73</v>
      </c>
      <c r="H250" s="29" t="s">
        <v>76</v>
      </c>
      <c r="I250" s="20"/>
      <c r="J250" s="24">
        <v>30045010</v>
      </c>
      <c r="K250" s="11">
        <v>0.05</v>
      </c>
      <c r="L250" s="21">
        <v>202.14</v>
      </c>
      <c r="M250" s="22">
        <f t="shared" si="9"/>
        <v>177.88319999999999</v>
      </c>
      <c r="N250" s="23">
        <f t="shared" si="10"/>
        <v>24.256799999999998</v>
      </c>
      <c r="O250" s="26">
        <f t="shared" si="11"/>
        <v>0.12</v>
      </c>
      <c r="P250" s="20"/>
      <c r="Q250" s="20" t="s">
        <v>862</v>
      </c>
      <c r="R250" s="20" t="s">
        <v>889</v>
      </c>
      <c r="S250" s="20"/>
      <c r="T250" s="30">
        <v>1</v>
      </c>
      <c r="U250" s="20" t="s">
        <v>645</v>
      </c>
      <c r="V250" s="20"/>
      <c r="W250" s="20" t="s">
        <v>931</v>
      </c>
      <c r="X250" s="43"/>
      <c r="Y250" s="40" t="s">
        <v>1259</v>
      </c>
      <c r="Z250" s="40" t="s">
        <v>1259</v>
      </c>
      <c r="AA250" s="20"/>
      <c r="AB250" s="20"/>
      <c r="AC250" s="20"/>
      <c r="AD250" s="20"/>
      <c r="AE250" s="20"/>
      <c r="AF250" s="20"/>
      <c r="AG250" s="20"/>
      <c r="AH250" s="20"/>
      <c r="AI250" s="20" t="s">
        <v>1329</v>
      </c>
      <c r="AJ250" s="20"/>
      <c r="AK250" s="20"/>
      <c r="AL250" s="20"/>
      <c r="AM250" s="20"/>
      <c r="AN250" s="37"/>
      <c r="AO250" s="20"/>
      <c r="AP250" s="20"/>
      <c r="AQ250" s="45"/>
      <c r="AR250" s="20" t="s">
        <v>1304</v>
      </c>
      <c r="AS250" s="40" t="s">
        <v>1259</v>
      </c>
      <c r="AT250" s="40" t="s">
        <v>1304</v>
      </c>
      <c r="AU250" s="48"/>
      <c r="AV250" s="20"/>
      <c r="AW250" s="45"/>
      <c r="AX250" s="20"/>
    </row>
    <row r="251" spans="2:50" ht="39" customHeight="1">
      <c r="B251" s="8">
        <v>248</v>
      </c>
      <c r="C251" s="20" t="s">
        <v>324</v>
      </c>
      <c r="D251" s="20" t="s">
        <v>324</v>
      </c>
      <c r="E251" s="8" t="s">
        <v>74</v>
      </c>
      <c r="F251" s="8" t="s">
        <v>75</v>
      </c>
      <c r="G251" s="19" t="s">
        <v>73</v>
      </c>
      <c r="H251" s="29" t="s">
        <v>76</v>
      </c>
      <c r="I251" s="20"/>
      <c r="J251" s="24">
        <v>30045090</v>
      </c>
      <c r="K251" s="11">
        <v>0.05</v>
      </c>
      <c r="L251" s="21">
        <v>3046.88</v>
      </c>
      <c r="M251" s="22">
        <f t="shared" si="9"/>
        <v>2681.2544000000003</v>
      </c>
      <c r="N251" s="23">
        <f t="shared" si="10"/>
        <v>365.62559999999985</v>
      </c>
      <c r="O251" s="26">
        <f t="shared" si="11"/>
        <v>0.11999999999999994</v>
      </c>
      <c r="P251" s="20"/>
      <c r="Q251" s="20" t="s">
        <v>864</v>
      </c>
      <c r="R251" s="20" t="s">
        <v>891</v>
      </c>
      <c r="S251" s="20"/>
      <c r="T251" s="30">
        <v>1</v>
      </c>
      <c r="U251" s="20" t="s">
        <v>613</v>
      </c>
      <c r="V251" s="20"/>
      <c r="W251" s="20" t="s">
        <v>936</v>
      </c>
      <c r="X251" s="43"/>
      <c r="Y251" s="40" t="s">
        <v>1260</v>
      </c>
      <c r="Z251" s="40" t="s">
        <v>1260</v>
      </c>
      <c r="AA251" s="20"/>
      <c r="AB251" s="20"/>
      <c r="AC251" s="20"/>
      <c r="AD251" s="20"/>
      <c r="AE251" s="20"/>
      <c r="AF251" s="20"/>
      <c r="AG251" s="20"/>
      <c r="AH251" s="20"/>
      <c r="AI251" s="20" t="s">
        <v>1327</v>
      </c>
      <c r="AJ251" s="20"/>
      <c r="AK251" s="20"/>
      <c r="AL251" s="20"/>
      <c r="AM251" s="20"/>
      <c r="AN251" s="35" t="s">
        <v>758</v>
      </c>
      <c r="AO251" s="20"/>
      <c r="AP251" s="20"/>
      <c r="AQ251" s="45"/>
      <c r="AR251" s="20" t="s">
        <v>1309</v>
      </c>
      <c r="AS251" s="40" t="s">
        <v>1260</v>
      </c>
      <c r="AT251" s="40" t="s">
        <v>1309</v>
      </c>
      <c r="AU251" s="48"/>
      <c r="AV251" s="20"/>
      <c r="AW251" s="45"/>
      <c r="AX251" s="20"/>
    </row>
    <row r="252" spans="2:50" ht="31.5" customHeight="1">
      <c r="B252" s="8">
        <v>249</v>
      </c>
      <c r="C252" s="20" t="s">
        <v>325</v>
      </c>
      <c r="D252" s="20" t="s">
        <v>325</v>
      </c>
      <c r="E252" s="8" t="s">
        <v>74</v>
      </c>
      <c r="F252" s="8" t="s">
        <v>75</v>
      </c>
      <c r="G252" s="19" t="s">
        <v>73</v>
      </c>
      <c r="H252" s="29" t="s">
        <v>76</v>
      </c>
      <c r="I252" s="20"/>
      <c r="J252" s="24">
        <v>30049099</v>
      </c>
      <c r="K252" s="11">
        <v>0.05</v>
      </c>
      <c r="L252" s="21">
        <v>1968</v>
      </c>
      <c r="M252" s="22">
        <f t="shared" si="9"/>
        <v>1731.84</v>
      </c>
      <c r="N252" s="23">
        <f t="shared" si="10"/>
        <v>236.16000000000008</v>
      </c>
      <c r="O252" s="26">
        <f t="shared" si="11"/>
        <v>0.12000000000000004</v>
      </c>
      <c r="P252" s="20"/>
      <c r="Q252" s="20" t="s">
        <v>859</v>
      </c>
      <c r="R252" s="20" t="s">
        <v>889</v>
      </c>
      <c r="S252" s="20"/>
      <c r="T252" s="30">
        <v>1</v>
      </c>
      <c r="U252" s="20" t="s">
        <v>604</v>
      </c>
      <c r="V252" s="20"/>
      <c r="W252" s="20" t="s">
        <v>929</v>
      </c>
      <c r="X252" s="43"/>
      <c r="Y252" s="40" t="s">
        <v>1261</v>
      </c>
      <c r="Z252" s="40" t="s">
        <v>1261</v>
      </c>
      <c r="AA252" s="20"/>
      <c r="AB252" s="20"/>
      <c r="AC252" s="20"/>
      <c r="AD252" s="20"/>
      <c r="AE252" s="20"/>
      <c r="AF252" s="20"/>
      <c r="AG252" s="20"/>
      <c r="AH252" s="20"/>
      <c r="AI252" s="20" t="s">
        <v>1329</v>
      </c>
      <c r="AJ252" s="20"/>
      <c r="AK252" s="20"/>
      <c r="AL252" s="20"/>
      <c r="AM252" s="20"/>
      <c r="AN252" s="35" t="s">
        <v>759</v>
      </c>
      <c r="AO252" s="20"/>
      <c r="AP252" s="20"/>
      <c r="AQ252" s="45"/>
      <c r="AR252" s="20" t="s">
        <v>1306</v>
      </c>
      <c r="AS252" s="40" t="s">
        <v>1261</v>
      </c>
      <c r="AT252" s="40" t="s">
        <v>1306</v>
      </c>
      <c r="AU252" s="48"/>
      <c r="AV252" s="20"/>
      <c r="AW252" s="45"/>
      <c r="AX252" s="20"/>
    </row>
    <row r="253" spans="2:50" ht="28.5" customHeight="1">
      <c r="B253" s="8">
        <v>250</v>
      </c>
      <c r="C253" s="20" t="s">
        <v>326</v>
      </c>
      <c r="D253" s="20" t="s">
        <v>326</v>
      </c>
      <c r="E253" s="8" t="s">
        <v>74</v>
      </c>
      <c r="F253" s="8" t="s">
        <v>75</v>
      </c>
      <c r="G253" s="19" t="s">
        <v>73</v>
      </c>
      <c r="H253" s="29" t="s">
        <v>76</v>
      </c>
      <c r="I253" s="20"/>
      <c r="J253" s="24">
        <v>30049099</v>
      </c>
      <c r="K253" s="11">
        <v>0.05</v>
      </c>
      <c r="L253" s="21">
        <v>178.13</v>
      </c>
      <c r="M253" s="22">
        <f t="shared" si="9"/>
        <v>156.7544</v>
      </c>
      <c r="N253" s="23">
        <f t="shared" si="10"/>
        <v>21.375599999999991</v>
      </c>
      <c r="O253" s="26">
        <f t="shared" si="11"/>
        <v>0.11999999999999995</v>
      </c>
      <c r="P253" s="20"/>
      <c r="Q253" s="20" t="s">
        <v>863</v>
      </c>
      <c r="R253" s="20" t="s">
        <v>889</v>
      </c>
      <c r="S253" s="20"/>
      <c r="T253" s="30">
        <v>1</v>
      </c>
      <c r="U253" s="20" t="s">
        <v>593</v>
      </c>
      <c r="V253" s="20"/>
      <c r="W253" s="20" t="s">
        <v>931</v>
      </c>
      <c r="X253" s="43"/>
      <c r="Y253" s="40" t="s">
        <v>1192</v>
      </c>
      <c r="Z253" s="40" t="s">
        <v>1192</v>
      </c>
      <c r="AA253" s="20"/>
      <c r="AB253" s="20"/>
      <c r="AC253" s="20"/>
      <c r="AD253" s="20"/>
      <c r="AE253" s="20"/>
      <c r="AF253" s="20"/>
      <c r="AG253" s="20"/>
      <c r="AH253" s="20"/>
      <c r="AI253" s="20" t="s">
        <v>1329</v>
      </c>
      <c r="AJ253" s="20"/>
      <c r="AK253" s="20"/>
      <c r="AL253" s="20"/>
      <c r="AM253" s="20"/>
      <c r="AN253" s="35" t="s">
        <v>760</v>
      </c>
      <c r="AO253" s="20"/>
      <c r="AP253" s="20"/>
      <c r="AQ253" s="45"/>
      <c r="AR253" s="20" t="s">
        <v>1306</v>
      </c>
      <c r="AS253" s="40" t="s">
        <v>1192</v>
      </c>
      <c r="AT253" s="40" t="s">
        <v>1306</v>
      </c>
      <c r="AU253" s="48"/>
      <c r="AV253" s="20"/>
      <c r="AW253" s="45"/>
      <c r="AX253" s="20"/>
    </row>
    <row r="254" spans="2:50" ht="30.75" customHeight="1">
      <c r="B254" s="8">
        <v>251</v>
      </c>
      <c r="C254" s="20" t="s">
        <v>327</v>
      </c>
      <c r="D254" s="20" t="s">
        <v>327</v>
      </c>
      <c r="E254" s="8" t="s">
        <v>74</v>
      </c>
      <c r="F254" s="8" t="s">
        <v>75</v>
      </c>
      <c r="G254" s="19" t="s">
        <v>73</v>
      </c>
      <c r="H254" s="29" t="s">
        <v>76</v>
      </c>
      <c r="I254" s="20"/>
      <c r="J254" s="24">
        <v>30049099</v>
      </c>
      <c r="K254" s="11">
        <v>0.05</v>
      </c>
      <c r="L254" s="21">
        <v>89.06</v>
      </c>
      <c r="M254" s="22">
        <f t="shared" si="9"/>
        <v>78.372799999999998</v>
      </c>
      <c r="N254" s="23">
        <f t="shared" si="10"/>
        <v>10.687200000000004</v>
      </c>
      <c r="O254" s="26">
        <f t="shared" si="11"/>
        <v>0.12000000000000005</v>
      </c>
      <c r="P254" s="20"/>
      <c r="Q254" s="20" t="s">
        <v>875</v>
      </c>
      <c r="R254" s="20" t="s">
        <v>889</v>
      </c>
      <c r="S254" s="20"/>
      <c r="T254" s="30">
        <v>1</v>
      </c>
      <c r="U254" s="20" t="s">
        <v>625</v>
      </c>
      <c r="V254" s="20"/>
      <c r="W254" s="20" t="s">
        <v>930</v>
      </c>
      <c r="X254" s="43"/>
      <c r="Y254" s="20" t="s">
        <v>1191</v>
      </c>
      <c r="Z254" s="20" t="s">
        <v>1191</v>
      </c>
      <c r="AA254" s="20"/>
      <c r="AB254" s="20"/>
      <c r="AC254" s="20"/>
      <c r="AD254" s="20"/>
      <c r="AE254" s="20"/>
      <c r="AF254" s="20"/>
      <c r="AG254" s="20"/>
      <c r="AH254" s="20"/>
      <c r="AI254" s="20" t="s">
        <v>1329</v>
      </c>
      <c r="AJ254" s="20"/>
      <c r="AK254" s="20"/>
      <c r="AL254" s="20"/>
      <c r="AM254" s="20"/>
      <c r="AN254" s="35" t="s">
        <v>761</v>
      </c>
      <c r="AO254" s="20"/>
      <c r="AP254" s="20"/>
      <c r="AQ254" s="45"/>
      <c r="AR254" s="20" t="s">
        <v>1306</v>
      </c>
      <c r="AS254" s="20" t="s">
        <v>1191</v>
      </c>
      <c r="AT254" s="40" t="s">
        <v>1306</v>
      </c>
      <c r="AU254" s="48"/>
      <c r="AV254" s="20"/>
      <c r="AW254" s="45"/>
      <c r="AX254" s="20"/>
    </row>
    <row r="255" spans="2:50" ht="29.25" customHeight="1">
      <c r="B255" s="8">
        <v>252</v>
      </c>
      <c r="C255" s="20" t="s">
        <v>328</v>
      </c>
      <c r="D255" s="20" t="s">
        <v>328</v>
      </c>
      <c r="E255" s="8" t="s">
        <v>74</v>
      </c>
      <c r="F255" s="8" t="s">
        <v>75</v>
      </c>
      <c r="G255" s="19" t="s">
        <v>73</v>
      </c>
      <c r="H255" s="29" t="s">
        <v>76</v>
      </c>
      <c r="I255" s="20"/>
      <c r="J255" s="24">
        <v>30049099</v>
      </c>
      <c r="K255" s="11">
        <v>0.05</v>
      </c>
      <c r="L255" s="21">
        <v>150</v>
      </c>
      <c r="M255" s="22">
        <f t="shared" si="9"/>
        <v>132</v>
      </c>
      <c r="N255" s="23">
        <f t="shared" si="10"/>
        <v>18</v>
      </c>
      <c r="O255" s="26">
        <f t="shared" si="11"/>
        <v>0.12</v>
      </c>
      <c r="P255" s="20"/>
      <c r="Q255" s="20" t="s">
        <v>863</v>
      </c>
      <c r="R255" s="20" t="s">
        <v>889</v>
      </c>
      <c r="S255" s="20"/>
      <c r="T255" s="30">
        <v>1</v>
      </c>
      <c r="U255" s="20" t="s">
        <v>593</v>
      </c>
      <c r="V255" s="20"/>
      <c r="W255" s="20" t="s">
        <v>931</v>
      </c>
      <c r="X255" s="43"/>
      <c r="Y255" s="20" t="s">
        <v>1190</v>
      </c>
      <c r="Z255" s="20" t="s">
        <v>1190</v>
      </c>
      <c r="AA255" s="20"/>
      <c r="AB255" s="20"/>
      <c r="AC255" s="20"/>
      <c r="AD255" s="20"/>
      <c r="AE255" s="20"/>
      <c r="AF255" s="20"/>
      <c r="AG255" s="20"/>
      <c r="AH255" s="20"/>
      <c r="AI255" s="20" t="s">
        <v>1329</v>
      </c>
      <c r="AJ255" s="20"/>
      <c r="AK255" s="20"/>
      <c r="AL255" s="20"/>
      <c r="AM255" s="20"/>
      <c r="AN255" s="35" t="s">
        <v>762</v>
      </c>
      <c r="AO255" s="20"/>
      <c r="AP255" s="20"/>
      <c r="AQ255" s="45"/>
      <c r="AR255" s="20" t="s">
        <v>1306</v>
      </c>
      <c r="AS255" s="20" t="s">
        <v>1190</v>
      </c>
      <c r="AT255" s="40" t="s">
        <v>1306</v>
      </c>
      <c r="AU255" s="48"/>
      <c r="AV255" s="20"/>
      <c r="AW255" s="45"/>
      <c r="AX255" s="20"/>
    </row>
    <row r="256" spans="2:50" ht="29.25" customHeight="1">
      <c r="B256" s="8">
        <v>253</v>
      </c>
      <c r="C256" s="20" t="s">
        <v>329</v>
      </c>
      <c r="D256" s="20" t="s">
        <v>329</v>
      </c>
      <c r="E256" s="8" t="s">
        <v>74</v>
      </c>
      <c r="F256" s="8" t="s">
        <v>75</v>
      </c>
      <c r="G256" s="19" t="s">
        <v>73</v>
      </c>
      <c r="H256" s="29" t="s">
        <v>76</v>
      </c>
      <c r="I256" s="20"/>
      <c r="J256" s="24">
        <v>300410</v>
      </c>
      <c r="K256" s="11">
        <v>0.05</v>
      </c>
      <c r="L256" s="21">
        <v>1218.75</v>
      </c>
      <c r="M256" s="22">
        <f t="shared" si="9"/>
        <v>1072.5</v>
      </c>
      <c r="N256" s="23">
        <f t="shared" si="10"/>
        <v>146.25</v>
      </c>
      <c r="O256" s="26">
        <f t="shared" si="11"/>
        <v>0.12</v>
      </c>
      <c r="P256" s="20"/>
      <c r="Q256" s="20" t="s">
        <v>859</v>
      </c>
      <c r="R256" s="20" t="s">
        <v>889</v>
      </c>
      <c r="S256" s="20"/>
      <c r="T256" s="30">
        <v>1</v>
      </c>
      <c r="U256" s="20" t="s">
        <v>589</v>
      </c>
      <c r="V256" s="20"/>
      <c r="W256" s="20" t="s">
        <v>929</v>
      </c>
      <c r="X256" s="43"/>
      <c r="Y256" s="40" t="s">
        <v>1189</v>
      </c>
      <c r="Z256" s="40" t="s">
        <v>1189</v>
      </c>
      <c r="AA256" s="20"/>
      <c r="AB256" s="20"/>
      <c r="AC256" s="20"/>
      <c r="AD256" t="s">
        <v>1331</v>
      </c>
      <c r="AE256" s="20"/>
      <c r="AF256" s="20"/>
      <c r="AG256" s="20"/>
      <c r="AH256" s="20"/>
      <c r="AI256" s="20" t="s">
        <v>1329</v>
      </c>
      <c r="AJ256" s="20"/>
      <c r="AK256" s="20"/>
      <c r="AL256" s="20"/>
      <c r="AM256" s="20"/>
      <c r="AN256" s="35" t="s">
        <v>763</v>
      </c>
      <c r="AO256" s="20"/>
      <c r="AP256" s="20"/>
      <c r="AQ256" s="45"/>
      <c r="AR256" s="20" t="s">
        <v>1306</v>
      </c>
      <c r="AS256" s="40" t="s">
        <v>1189</v>
      </c>
      <c r="AT256" s="40" t="s">
        <v>1306</v>
      </c>
      <c r="AU256" s="48"/>
      <c r="AV256" s="20"/>
      <c r="AW256" s="45"/>
      <c r="AX256" s="20"/>
    </row>
    <row r="257" spans="2:50" ht="33.75" customHeight="1">
      <c r="B257" s="8">
        <v>254</v>
      </c>
      <c r="C257" s="20" t="s">
        <v>330</v>
      </c>
      <c r="D257" s="20" t="s">
        <v>330</v>
      </c>
      <c r="E257" s="8" t="s">
        <v>74</v>
      </c>
      <c r="F257" s="8" t="s">
        <v>75</v>
      </c>
      <c r="G257" s="19" t="s">
        <v>73</v>
      </c>
      <c r="H257" s="29" t="s">
        <v>76</v>
      </c>
      <c r="I257" s="20"/>
      <c r="J257" s="24">
        <v>30049099</v>
      </c>
      <c r="K257" s="11">
        <v>0.05</v>
      </c>
      <c r="L257" s="21">
        <v>262.5</v>
      </c>
      <c r="M257" s="22">
        <f t="shared" si="9"/>
        <v>231</v>
      </c>
      <c r="N257" s="23">
        <f t="shared" si="10"/>
        <v>31.5</v>
      </c>
      <c r="O257" s="26">
        <f t="shared" si="11"/>
        <v>0.12</v>
      </c>
      <c r="P257" s="20"/>
      <c r="Q257" s="20" t="s">
        <v>864</v>
      </c>
      <c r="R257" s="20" t="s">
        <v>891</v>
      </c>
      <c r="S257" s="20"/>
      <c r="T257" s="30">
        <v>1</v>
      </c>
      <c r="U257" s="20" t="s">
        <v>646</v>
      </c>
      <c r="V257" s="20"/>
      <c r="W257" s="20" t="s">
        <v>936</v>
      </c>
      <c r="X257" s="43"/>
      <c r="Y257" s="20" t="s">
        <v>1188</v>
      </c>
      <c r="Z257" s="20" t="s">
        <v>1188</v>
      </c>
      <c r="AA257" s="20"/>
      <c r="AB257" s="20"/>
      <c r="AC257" s="20"/>
      <c r="AD257" s="20"/>
      <c r="AE257" s="20"/>
      <c r="AF257" s="20"/>
      <c r="AG257" s="20"/>
      <c r="AH257" s="20"/>
      <c r="AI257" s="20" t="s">
        <v>1329</v>
      </c>
      <c r="AJ257" s="20"/>
      <c r="AK257" s="20"/>
      <c r="AL257" s="20"/>
      <c r="AM257" s="20"/>
      <c r="AN257" s="35" t="s">
        <v>764</v>
      </c>
      <c r="AO257" s="20"/>
      <c r="AP257" s="20"/>
      <c r="AQ257" s="45"/>
      <c r="AR257" s="20" t="s">
        <v>1306</v>
      </c>
      <c r="AS257" s="20" t="s">
        <v>1188</v>
      </c>
      <c r="AT257" s="40" t="s">
        <v>1306</v>
      </c>
      <c r="AU257" s="48"/>
      <c r="AV257" s="20"/>
      <c r="AW257" s="45"/>
      <c r="AX257" s="20"/>
    </row>
    <row r="258" spans="2:50" ht="47.25" customHeight="1">
      <c r="B258" s="8">
        <v>255</v>
      </c>
      <c r="C258" s="20" t="s">
        <v>331</v>
      </c>
      <c r="D258" s="20" t="s">
        <v>331</v>
      </c>
      <c r="E258" s="8" t="s">
        <v>74</v>
      </c>
      <c r="F258" s="8" t="s">
        <v>75</v>
      </c>
      <c r="G258" s="19" t="s">
        <v>73</v>
      </c>
      <c r="H258" s="29" t="s">
        <v>76</v>
      </c>
      <c r="I258" s="20"/>
      <c r="J258" s="24">
        <v>30042099</v>
      </c>
      <c r="K258" s="11">
        <v>0.05</v>
      </c>
      <c r="L258" s="21">
        <v>1990</v>
      </c>
      <c r="M258" s="22">
        <f t="shared" si="9"/>
        <v>1751.2</v>
      </c>
      <c r="N258" s="23">
        <f t="shared" si="10"/>
        <v>238.79999999999995</v>
      </c>
      <c r="O258" s="26">
        <f t="shared" si="11"/>
        <v>0.11999999999999998</v>
      </c>
      <c r="P258" s="20"/>
      <c r="Q258" s="20" t="s">
        <v>869</v>
      </c>
      <c r="R258" s="20" t="s">
        <v>889</v>
      </c>
      <c r="S258" s="20"/>
      <c r="T258" s="30">
        <v>1</v>
      </c>
      <c r="U258" s="20" t="s">
        <v>647</v>
      </c>
      <c r="V258" s="20"/>
      <c r="W258" s="20" t="s">
        <v>932</v>
      </c>
      <c r="X258" s="43"/>
      <c r="Y258" s="40" t="s">
        <v>1187</v>
      </c>
      <c r="Z258" s="40" t="s">
        <v>1187</v>
      </c>
      <c r="AA258" s="20"/>
      <c r="AB258" s="20"/>
      <c r="AC258" s="20"/>
      <c r="AD258" s="20"/>
      <c r="AE258" s="20"/>
      <c r="AF258" s="20"/>
      <c r="AG258" s="20"/>
      <c r="AH258" s="20"/>
      <c r="AI258" s="20" t="s">
        <v>1329</v>
      </c>
      <c r="AJ258" s="20"/>
      <c r="AK258" s="20"/>
      <c r="AL258" s="20"/>
      <c r="AM258" s="20"/>
      <c r="AN258" s="37"/>
      <c r="AO258" s="20"/>
      <c r="AP258" s="20"/>
      <c r="AQ258" s="45"/>
      <c r="AR258" s="20" t="s">
        <v>1309</v>
      </c>
      <c r="AS258" s="40" t="s">
        <v>1187</v>
      </c>
      <c r="AT258" s="40" t="s">
        <v>1309</v>
      </c>
      <c r="AU258" s="48"/>
      <c r="AV258" s="20"/>
      <c r="AW258" s="45"/>
      <c r="AX258" s="20"/>
    </row>
    <row r="259" spans="2:50" ht="26.25" customHeight="1">
      <c r="B259" s="8">
        <v>256</v>
      </c>
      <c r="C259" s="20" t="s">
        <v>332</v>
      </c>
      <c r="D259" s="20" t="s">
        <v>332</v>
      </c>
      <c r="E259" s="8" t="s">
        <v>74</v>
      </c>
      <c r="F259" s="8" t="s">
        <v>75</v>
      </c>
      <c r="G259" s="19" t="s">
        <v>73</v>
      </c>
      <c r="H259" s="29" t="s">
        <v>76</v>
      </c>
      <c r="I259" s="20"/>
      <c r="J259" s="24">
        <v>30049099</v>
      </c>
      <c r="K259" s="11">
        <v>0.05</v>
      </c>
      <c r="L259" s="21">
        <v>6468.75</v>
      </c>
      <c r="M259" s="22">
        <f t="shared" si="9"/>
        <v>5692.5</v>
      </c>
      <c r="N259" s="23">
        <f t="shared" si="10"/>
        <v>776.25</v>
      </c>
      <c r="O259" s="26">
        <f t="shared" si="11"/>
        <v>0.12</v>
      </c>
      <c r="P259" s="20"/>
      <c r="Q259" s="20" t="s">
        <v>859</v>
      </c>
      <c r="R259" s="20" t="s">
        <v>889</v>
      </c>
      <c r="S259" s="20"/>
      <c r="T259" s="30">
        <v>1</v>
      </c>
      <c r="U259" s="20" t="s">
        <v>597</v>
      </c>
      <c r="V259" s="20"/>
      <c r="W259" s="20" t="s">
        <v>929</v>
      </c>
      <c r="X259" s="43"/>
      <c r="Y259" s="20" t="s">
        <v>1186</v>
      </c>
      <c r="Z259" s="20" t="s">
        <v>1186</v>
      </c>
      <c r="AA259" s="20"/>
      <c r="AB259" s="20"/>
      <c r="AC259" s="20"/>
      <c r="AD259" s="20"/>
      <c r="AE259" s="20"/>
      <c r="AF259" s="20"/>
      <c r="AG259" s="20"/>
      <c r="AH259" s="20"/>
      <c r="AI259" s="20" t="s">
        <v>1327</v>
      </c>
      <c r="AJ259" s="20"/>
      <c r="AK259" s="20"/>
      <c r="AL259" s="20"/>
      <c r="AM259" s="20"/>
      <c r="AN259" s="35" t="s">
        <v>765</v>
      </c>
      <c r="AO259" s="20"/>
      <c r="AP259" s="20"/>
      <c r="AQ259" s="45"/>
      <c r="AR259" s="20" t="s">
        <v>1309</v>
      </c>
      <c r="AS259" s="20" t="s">
        <v>1186</v>
      </c>
      <c r="AT259" s="40" t="s">
        <v>1309</v>
      </c>
      <c r="AU259" s="48"/>
      <c r="AV259" s="20"/>
      <c r="AW259" s="45"/>
      <c r="AX259" s="20"/>
    </row>
    <row r="260" spans="2:50" ht="27.75" customHeight="1">
      <c r="B260" s="8">
        <v>257</v>
      </c>
      <c r="C260" s="20" t="s">
        <v>333</v>
      </c>
      <c r="D260" s="20" t="s">
        <v>333</v>
      </c>
      <c r="E260" s="8" t="s">
        <v>74</v>
      </c>
      <c r="F260" s="8" t="s">
        <v>75</v>
      </c>
      <c r="G260" s="19" t="s">
        <v>73</v>
      </c>
      <c r="H260" s="29" t="s">
        <v>76</v>
      </c>
      <c r="I260" s="20"/>
      <c r="J260" s="24">
        <v>29362390</v>
      </c>
      <c r="K260" s="11">
        <v>0.05</v>
      </c>
      <c r="L260" s="21">
        <v>1379.5</v>
      </c>
      <c r="M260" s="22">
        <f t="shared" si="9"/>
        <v>1213.96</v>
      </c>
      <c r="N260" s="23">
        <f t="shared" si="10"/>
        <v>165.53999999999996</v>
      </c>
      <c r="O260" s="26">
        <f t="shared" si="11"/>
        <v>0.11999999999999997</v>
      </c>
      <c r="P260" s="20"/>
      <c r="Q260" s="20" t="s">
        <v>869</v>
      </c>
      <c r="R260" s="20" t="s">
        <v>889</v>
      </c>
      <c r="S260" s="20"/>
      <c r="T260" s="30">
        <v>1</v>
      </c>
      <c r="U260" s="20" t="s">
        <v>597</v>
      </c>
      <c r="V260" s="20"/>
      <c r="W260" s="20" t="s">
        <v>929</v>
      </c>
      <c r="X260" s="43"/>
      <c r="Y260" s="20" t="s">
        <v>1185</v>
      </c>
      <c r="Z260" s="20" t="s">
        <v>1185</v>
      </c>
      <c r="AA260" s="20"/>
      <c r="AB260" s="20"/>
      <c r="AC260" s="20"/>
      <c r="AD260" s="20"/>
      <c r="AE260" s="20"/>
      <c r="AF260" s="20"/>
      <c r="AG260" s="20"/>
      <c r="AH260" s="20"/>
      <c r="AI260" s="20" t="s">
        <v>1322</v>
      </c>
      <c r="AJ260" s="20"/>
      <c r="AK260" s="20"/>
      <c r="AL260" s="20"/>
      <c r="AM260" s="20"/>
      <c r="AN260" s="35" t="s">
        <v>766</v>
      </c>
      <c r="AO260" s="20"/>
      <c r="AP260" s="20"/>
      <c r="AQ260" s="45"/>
      <c r="AR260" s="20" t="s">
        <v>1309</v>
      </c>
      <c r="AS260" s="20" t="s">
        <v>1185</v>
      </c>
      <c r="AT260" s="40" t="s">
        <v>1309</v>
      </c>
      <c r="AU260" s="48"/>
      <c r="AV260" s="20"/>
      <c r="AW260" s="45"/>
      <c r="AX260" s="20"/>
    </row>
    <row r="261" spans="2:50" ht="29.25" customHeight="1">
      <c r="B261" s="8">
        <v>258</v>
      </c>
      <c r="C261" s="20" t="s">
        <v>334</v>
      </c>
      <c r="D261" s="20" t="s">
        <v>334</v>
      </c>
      <c r="E261" s="8" t="s">
        <v>74</v>
      </c>
      <c r="F261" s="8" t="s">
        <v>75</v>
      </c>
      <c r="G261" s="19" t="s">
        <v>73</v>
      </c>
      <c r="H261" s="29" t="s">
        <v>76</v>
      </c>
      <c r="I261" s="20"/>
      <c r="J261" s="24">
        <v>34011110</v>
      </c>
      <c r="K261" s="11">
        <v>0.05</v>
      </c>
      <c r="L261" s="21">
        <v>66.75</v>
      </c>
      <c r="M261" s="22">
        <f t="shared" ref="M261:M324" si="12">L261*0.88</f>
        <v>58.74</v>
      </c>
      <c r="N261" s="23">
        <f t="shared" ref="N261:N324" si="13">L261-M261</f>
        <v>8.009999999999998</v>
      </c>
      <c r="O261" s="26">
        <f t="shared" ref="O261:O324" si="14">N261/L261</f>
        <v>0.11999999999999997</v>
      </c>
      <c r="P261" s="20"/>
      <c r="Q261" s="20" t="s">
        <v>868</v>
      </c>
      <c r="R261" s="20" t="s">
        <v>890</v>
      </c>
      <c r="S261" s="20"/>
      <c r="T261" s="30">
        <v>1</v>
      </c>
      <c r="U261" s="20" t="s">
        <v>607</v>
      </c>
      <c r="V261" s="20"/>
      <c r="W261" s="20" t="s">
        <v>935</v>
      </c>
      <c r="X261" s="43"/>
      <c r="Y261" s="40" t="s">
        <v>1184</v>
      </c>
      <c r="Z261" s="40" t="s">
        <v>1184</v>
      </c>
      <c r="AA261" s="20"/>
      <c r="AB261" s="20"/>
      <c r="AC261" s="20"/>
      <c r="AD261" s="20"/>
      <c r="AE261" s="20"/>
      <c r="AF261" s="20"/>
      <c r="AG261" s="20"/>
      <c r="AH261" s="20"/>
      <c r="AI261" s="20" t="s">
        <v>1322</v>
      </c>
      <c r="AJ261" s="20"/>
      <c r="AK261" s="20"/>
      <c r="AL261" s="20"/>
      <c r="AM261" s="20"/>
      <c r="AN261" s="35" t="s">
        <v>767</v>
      </c>
      <c r="AO261" s="20"/>
      <c r="AP261" s="20"/>
      <c r="AQ261" s="45"/>
      <c r="AR261" s="20" t="s">
        <v>1309</v>
      </c>
      <c r="AS261" s="40" t="s">
        <v>1184</v>
      </c>
      <c r="AT261" s="40" t="s">
        <v>1309</v>
      </c>
      <c r="AU261" s="48"/>
      <c r="AV261" s="20"/>
      <c r="AW261" s="45"/>
      <c r="AX261" s="20"/>
    </row>
    <row r="262" spans="2:50" ht="45.75" customHeight="1">
      <c r="B262" s="8">
        <v>259</v>
      </c>
      <c r="C262" s="20" t="s">
        <v>335</v>
      </c>
      <c r="D262" s="20" t="s">
        <v>335</v>
      </c>
      <c r="E262" s="8" t="s">
        <v>74</v>
      </c>
      <c r="F262" s="8" t="s">
        <v>75</v>
      </c>
      <c r="G262" s="19" t="s">
        <v>73</v>
      </c>
      <c r="H262" s="29" t="s">
        <v>76</v>
      </c>
      <c r="I262" s="20"/>
      <c r="J262" s="24">
        <v>21069099</v>
      </c>
      <c r="K262" s="11">
        <v>0.05</v>
      </c>
      <c r="L262" s="21">
        <v>6800</v>
      </c>
      <c r="M262" s="22">
        <f t="shared" si="12"/>
        <v>5984</v>
      </c>
      <c r="N262" s="23">
        <f t="shared" si="13"/>
        <v>816</v>
      </c>
      <c r="O262" s="26">
        <f t="shared" si="14"/>
        <v>0.12</v>
      </c>
      <c r="P262" s="20"/>
      <c r="Q262" s="20" t="s">
        <v>859</v>
      </c>
      <c r="R262" s="20" t="s">
        <v>889</v>
      </c>
      <c r="S262" s="20"/>
      <c r="T262" s="30">
        <v>1</v>
      </c>
      <c r="U262" s="20" t="s">
        <v>597</v>
      </c>
      <c r="V262" s="20"/>
      <c r="W262" s="20" t="s">
        <v>929</v>
      </c>
      <c r="X262" s="43"/>
      <c r="Y262" s="40" t="s">
        <v>1183</v>
      </c>
      <c r="Z262" s="40" t="s">
        <v>1183</v>
      </c>
      <c r="AA262" s="20"/>
      <c r="AB262" s="20"/>
      <c r="AC262" s="20"/>
      <c r="AD262" s="20"/>
      <c r="AE262" s="20"/>
      <c r="AF262" s="20"/>
      <c r="AG262" s="20"/>
      <c r="AH262" s="20"/>
      <c r="AI262" s="20" t="s">
        <v>1329</v>
      </c>
      <c r="AJ262" s="20"/>
      <c r="AK262" s="20"/>
      <c r="AL262" s="20"/>
      <c r="AM262" s="20"/>
      <c r="AN262" s="35" t="s">
        <v>768</v>
      </c>
      <c r="AO262" s="20"/>
      <c r="AP262" s="20"/>
      <c r="AQ262" s="45"/>
      <c r="AR262" s="20" t="s">
        <v>1306</v>
      </c>
      <c r="AS262" s="40" t="s">
        <v>1183</v>
      </c>
      <c r="AT262" s="40" t="s">
        <v>1306</v>
      </c>
      <c r="AU262" s="48"/>
      <c r="AV262" s="20"/>
      <c r="AW262" s="45"/>
      <c r="AX262" s="20"/>
    </row>
    <row r="263" spans="2:50" ht="29.25" customHeight="1">
      <c r="B263" s="8">
        <v>260</v>
      </c>
      <c r="C263" s="20" t="s">
        <v>336</v>
      </c>
      <c r="D263" s="20" t="s">
        <v>336</v>
      </c>
      <c r="E263" s="8" t="s">
        <v>74</v>
      </c>
      <c r="F263" s="8" t="s">
        <v>75</v>
      </c>
      <c r="G263" s="19" t="s">
        <v>73</v>
      </c>
      <c r="H263" s="29" t="s">
        <v>76</v>
      </c>
      <c r="I263" s="20"/>
      <c r="J263" s="24">
        <v>30041030</v>
      </c>
      <c r="K263" s="11">
        <v>0.05</v>
      </c>
      <c r="L263" s="21">
        <v>609.38</v>
      </c>
      <c r="M263" s="22">
        <f t="shared" si="12"/>
        <v>536.25440000000003</v>
      </c>
      <c r="N263" s="23">
        <f t="shared" si="13"/>
        <v>73.125599999999963</v>
      </c>
      <c r="O263" s="26">
        <f t="shared" si="14"/>
        <v>0.11999999999999994</v>
      </c>
      <c r="P263" s="20"/>
      <c r="Q263" s="20" t="s">
        <v>859</v>
      </c>
      <c r="R263" s="20" t="s">
        <v>889</v>
      </c>
      <c r="S263" s="20"/>
      <c r="T263" s="30">
        <v>1</v>
      </c>
      <c r="U263" s="20" t="s">
        <v>589</v>
      </c>
      <c r="V263" s="20"/>
      <c r="W263" s="20" t="s">
        <v>929</v>
      </c>
      <c r="X263" s="43"/>
      <c r="Y263" s="20" t="s">
        <v>1182</v>
      </c>
      <c r="Z263" s="20" t="s">
        <v>1182</v>
      </c>
      <c r="AA263" s="20"/>
      <c r="AB263" s="20"/>
      <c r="AC263" s="20"/>
      <c r="AD263" t="s">
        <v>1331</v>
      </c>
      <c r="AE263" s="20"/>
      <c r="AF263" s="20"/>
      <c r="AG263" s="20"/>
      <c r="AH263" s="20"/>
      <c r="AI263" s="20" t="s">
        <v>1325</v>
      </c>
      <c r="AJ263" s="20"/>
      <c r="AK263" s="20"/>
      <c r="AL263" s="20"/>
      <c r="AM263" s="20"/>
      <c r="AN263" s="35" t="s">
        <v>769</v>
      </c>
      <c r="AO263" s="20"/>
      <c r="AP263" s="20"/>
      <c r="AQ263" s="45"/>
      <c r="AR263" s="20" t="s">
        <v>1312</v>
      </c>
      <c r="AS263" s="20" t="s">
        <v>1182</v>
      </c>
      <c r="AT263" s="40" t="s">
        <v>1312</v>
      </c>
      <c r="AU263" s="48"/>
      <c r="AV263" s="20"/>
      <c r="AW263" s="45"/>
      <c r="AX263" s="20"/>
    </row>
    <row r="264" spans="2:50" ht="33" customHeight="1">
      <c r="B264" s="8">
        <v>261</v>
      </c>
      <c r="C264" s="20" t="s">
        <v>337</v>
      </c>
      <c r="D264" s="20" t="s">
        <v>337</v>
      </c>
      <c r="E264" s="8" t="s">
        <v>74</v>
      </c>
      <c r="F264" s="8" t="s">
        <v>75</v>
      </c>
      <c r="G264" s="19" t="s">
        <v>73</v>
      </c>
      <c r="H264" s="29" t="s">
        <v>76</v>
      </c>
      <c r="I264" s="20"/>
      <c r="J264" s="24">
        <v>30041030</v>
      </c>
      <c r="K264" s="11">
        <v>0.05</v>
      </c>
      <c r="L264" s="21">
        <v>771.56</v>
      </c>
      <c r="M264" s="22">
        <f t="shared" si="12"/>
        <v>678.97280000000001</v>
      </c>
      <c r="N264" s="23">
        <f t="shared" si="13"/>
        <v>92.587199999999939</v>
      </c>
      <c r="O264" s="26">
        <f t="shared" si="14"/>
        <v>0.11999999999999993</v>
      </c>
      <c r="P264" s="20"/>
      <c r="Q264" s="20" t="s">
        <v>865</v>
      </c>
      <c r="R264" s="20" t="s">
        <v>889</v>
      </c>
      <c r="S264" s="20"/>
      <c r="T264" s="30">
        <v>1</v>
      </c>
      <c r="U264" s="20" t="s">
        <v>589</v>
      </c>
      <c r="V264" s="20"/>
      <c r="W264" s="20" t="s">
        <v>929</v>
      </c>
      <c r="X264" s="43"/>
      <c r="Y264" s="20" t="s">
        <v>1181</v>
      </c>
      <c r="Z264" s="20" t="s">
        <v>1181</v>
      </c>
      <c r="AA264" s="20"/>
      <c r="AB264" s="20"/>
      <c r="AC264" s="20"/>
      <c r="AD264" t="s">
        <v>1331</v>
      </c>
      <c r="AE264" s="20"/>
      <c r="AF264" s="20"/>
      <c r="AG264" s="20"/>
      <c r="AH264" s="20"/>
      <c r="AI264" s="20" t="s">
        <v>1325</v>
      </c>
      <c r="AJ264" s="20"/>
      <c r="AK264" s="20"/>
      <c r="AL264" s="20"/>
      <c r="AM264" s="20"/>
      <c r="AN264" s="35" t="s">
        <v>770</v>
      </c>
      <c r="AO264" s="20"/>
      <c r="AP264" s="20"/>
      <c r="AQ264" s="45"/>
      <c r="AR264" s="20" t="s">
        <v>1312</v>
      </c>
      <c r="AS264" s="20" t="s">
        <v>1181</v>
      </c>
      <c r="AT264" s="40" t="s">
        <v>1312</v>
      </c>
      <c r="AU264" s="48"/>
      <c r="AV264" s="20"/>
      <c r="AW264" s="45"/>
      <c r="AX264" s="20"/>
    </row>
    <row r="265" spans="2:50" ht="28.5" customHeight="1">
      <c r="B265" s="8">
        <v>262</v>
      </c>
      <c r="C265" s="20" t="s">
        <v>338</v>
      </c>
      <c r="D265" s="20" t="s">
        <v>338</v>
      </c>
      <c r="E265" s="8" t="s">
        <v>74</v>
      </c>
      <c r="F265" s="8" t="s">
        <v>75</v>
      </c>
      <c r="G265" s="19" t="s">
        <v>73</v>
      </c>
      <c r="H265" s="29" t="s">
        <v>76</v>
      </c>
      <c r="I265" s="20"/>
      <c r="J265" s="24">
        <v>30049099</v>
      </c>
      <c r="K265" s="11">
        <v>0.05</v>
      </c>
      <c r="L265" s="21">
        <v>107.81</v>
      </c>
      <c r="M265" s="22">
        <f t="shared" si="12"/>
        <v>94.872799999999998</v>
      </c>
      <c r="N265" s="23">
        <f t="shared" si="13"/>
        <v>12.937200000000004</v>
      </c>
      <c r="O265" s="26">
        <f t="shared" si="14"/>
        <v>0.12000000000000004</v>
      </c>
      <c r="P265" s="20"/>
      <c r="Q265" s="20" t="s">
        <v>883</v>
      </c>
      <c r="R265" s="20" t="s">
        <v>890</v>
      </c>
      <c r="S265" s="20"/>
      <c r="T265" s="30">
        <v>1</v>
      </c>
      <c r="U265" s="20" t="s">
        <v>648</v>
      </c>
      <c r="V265" s="20"/>
      <c r="W265" s="20" t="s">
        <v>928</v>
      </c>
      <c r="X265" s="43"/>
      <c r="Y265" s="20" t="s">
        <v>1180</v>
      </c>
      <c r="Z265" s="20" t="s">
        <v>1180</v>
      </c>
      <c r="AA265" s="20"/>
      <c r="AB265" s="20"/>
      <c r="AC265" s="20"/>
      <c r="AD265" s="20"/>
      <c r="AE265" s="20"/>
      <c r="AF265" s="20"/>
      <c r="AG265" s="20"/>
      <c r="AH265" s="20"/>
      <c r="AI265" s="20" t="s">
        <v>1322</v>
      </c>
      <c r="AJ265" s="20"/>
      <c r="AK265" s="20"/>
      <c r="AL265" s="20"/>
      <c r="AM265" s="20"/>
      <c r="AN265" s="35" t="s">
        <v>771</v>
      </c>
      <c r="AO265" s="20"/>
      <c r="AP265" s="20"/>
      <c r="AQ265" s="45"/>
      <c r="AR265" s="20" t="s">
        <v>1309</v>
      </c>
      <c r="AS265" s="20" t="s">
        <v>1180</v>
      </c>
      <c r="AT265" s="40" t="s">
        <v>1309</v>
      </c>
      <c r="AU265" s="48"/>
      <c r="AV265" s="20"/>
      <c r="AW265" s="45"/>
      <c r="AX265" s="20"/>
    </row>
    <row r="266" spans="2:50" ht="28.5" customHeight="1">
      <c r="B266" s="8">
        <v>263</v>
      </c>
      <c r="C266" s="20" t="s">
        <v>339</v>
      </c>
      <c r="D266" s="20" t="s">
        <v>339</v>
      </c>
      <c r="E266" s="8" t="s">
        <v>74</v>
      </c>
      <c r="F266" s="8" t="s">
        <v>75</v>
      </c>
      <c r="G266" s="19" t="s">
        <v>73</v>
      </c>
      <c r="H266" s="29" t="s">
        <v>76</v>
      </c>
      <c r="I266" s="20"/>
      <c r="J266" s="24">
        <v>30045036</v>
      </c>
      <c r="K266" s="11">
        <v>0.05</v>
      </c>
      <c r="L266" s="21">
        <v>98.44</v>
      </c>
      <c r="M266" s="22">
        <f t="shared" si="12"/>
        <v>86.627200000000002</v>
      </c>
      <c r="N266" s="23">
        <f t="shared" si="13"/>
        <v>11.812799999999996</v>
      </c>
      <c r="O266" s="26">
        <f t="shared" si="14"/>
        <v>0.11999999999999995</v>
      </c>
      <c r="P266" s="20"/>
      <c r="Q266" s="20" t="s">
        <v>875</v>
      </c>
      <c r="R266" s="20" t="s">
        <v>889</v>
      </c>
      <c r="S266" s="20"/>
      <c r="T266" s="30">
        <v>1</v>
      </c>
      <c r="U266" s="20" t="s">
        <v>591</v>
      </c>
      <c r="V266" s="20"/>
      <c r="W266" s="20" t="s">
        <v>930</v>
      </c>
      <c r="X266" s="43"/>
      <c r="Y266" s="20" t="s">
        <v>1179</v>
      </c>
      <c r="Z266" s="20" t="s">
        <v>1179</v>
      </c>
      <c r="AA266" s="20"/>
      <c r="AB266" s="20"/>
      <c r="AC266" s="20"/>
      <c r="AD266" s="20"/>
      <c r="AE266" s="20"/>
      <c r="AF266" s="20"/>
      <c r="AG266" s="20"/>
      <c r="AH266" s="20"/>
      <c r="AI266" s="20" t="s">
        <v>1327</v>
      </c>
      <c r="AJ266" s="20"/>
      <c r="AK266" s="20"/>
      <c r="AL266" s="20"/>
      <c r="AM266" s="20"/>
      <c r="AN266" s="35" t="s">
        <v>772</v>
      </c>
      <c r="AO266" s="20"/>
      <c r="AP266" s="20"/>
      <c r="AQ266" s="45"/>
      <c r="AR266" s="20" t="s">
        <v>1309</v>
      </c>
      <c r="AS266" s="20" t="s">
        <v>1179</v>
      </c>
      <c r="AT266" s="40" t="s">
        <v>1309</v>
      </c>
      <c r="AU266" s="48"/>
      <c r="AV266" s="20"/>
      <c r="AW266" s="45"/>
      <c r="AX266" s="20"/>
    </row>
    <row r="267" spans="2:50" ht="29.25" customHeight="1">
      <c r="B267" s="8">
        <v>264</v>
      </c>
      <c r="C267" s="20" t="s">
        <v>340</v>
      </c>
      <c r="D267" s="20" t="s">
        <v>340</v>
      </c>
      <c r="E267" s="8" t="s">
        <v>74</v>
      </c>
      <c r="F267" s="8" t="s">
        <v>75</v>
      </c>
      <c r="G267" s="19" t="s">
        <v>73</v>
      </c>
      <c r="H267" s="29" t="s">
        <v>76</v>
      </c>
      <c r="I267" s="20"/>
      <c r="J267" s="24">
        <v>30045036</v>
      </c>
      <c r="K267" s="11">
        <v>0.05</v>
      </c>
      <c r="L267" s="21">
        <v>300</v>
      </c>
      <c r="M267" s="22">
        <f t="shared" si="12"/>
        <v>264</v>
      </c>
      <c r="N267" s="23">
        <f t="shared" si="13"/>
        <v>36</v>
      </c>
      <c r="O267" s="26">
        <f t="shared" si="14"/>
        <v>0.12</v>
      </c>
      <c r="P267" s="20"/>
      <c r="Q267" s="20" t="s">
        <v>884</v>
      </c>
      <c r="R267" s="20" t="s">
        <v>889</v>
      </c>
      <c r="S267" s="20"/>
      <c r="T267" s="30">
        <v>1</v>
      </c>
      <c r="U267" s="20" t="s">
        <v>600</v>
      </c>
      <c r="V267" s="20"/>
      <c r="W267" s="20" t="s">
        <v>937</v>
      </c>
      <c r="X267" s="43"/>
      <c r="Y267" s="20" t="s">
        <v>1178</v>
      </c>
      <c r="Z267" s="20" t="s">
        <v>1178</v>
      </c>
      <c r="AA267" s="20"/>
      <c r="AB267" s="20"/>
      <c r="AC267" s="20"/>
      <c r="AD267" s="20"/>
      <c r="AE267" s="20"/>
      <c r="AF267" s="20"/>
      <c r="AG267" s="20"/>
      <c r="AH267" s="20"/>
      <c r="AI267" s="20" t="s">
        <v>1327</v>
      </c>
      <c r="AJ267" s="20"/>
      <c r="AK267" s="20"/>
      <c r="AL267" s="20"/>
      <c r="AM267" s="20"/>
      <c r="AN267" s="35" t="s">
        <v>773</v>
      </c>
      <c r="AO267" s="20"/>
      <c r="AP267" s="20"/>
      <c r="AQ267" s="45"/>
      <c r="AR267" s="20" t="s">
        <v>1309</v>
      </c>
      <c r="AS267" s="20" t="s">
        <v>1178</v>
      </c>
      <c r="AT267" s="40" t="s">
        <v>1309</v>
      </c>
      <c r="AU267" s="48"/>
      <c r="AV267" s="20"/>
      <c r="AW267" s="45"/>
      <c r="AX267" s="20"/>
    </row>
    <row r="268" spans="2:50" ht="15.75" customHeight="1">
      <c r="B268" s="8">
        <v>265</v>
      </c>
      <c r="C268" s="20" t="s">
        <v>341</v>
      </c>
      <c r="D268" s="20" t="s">
        <v>341</v>
      </c>
      <c r="E268" s="8" t="s">
        <v>74</v>
      </c>
      <c r="F268" s="8" t="s">
        <v>75</v>
      </c>
      <c r="G268" s="19" t="s">
        <v>73</v>
      </c>
      <c r="H268" s="29" t="s">
        <v>76</v>
      </c>
      <c r="I268" s="20"/>
      <c r="J268" s="24">
        <v>30049099</v>
      </c>
      <c r="K268" s="11">
        <v>0.05</v>
      </c>
      <c r="L268" s="21">
        <v>320</v>
      </c>
      <c r="M268" s="22">
        <f t="shared" si="12"/>
        <v>281.60000000000002</v>
      </c>
      <c r="N268" s="23">
        <f t="shared" si="13"/>
        <v>38.399999999999977</v>
      </c>
      <c r="O268" s="26">
        <f t="shared" si="14"/>
        <v>0.11999999999999993</v>
      </c>
      <c r="P268" s="20"/>
      <c r="Q268" s="20" t="s">
        <v>884</v>
      </c>
      <c r="R268" s="20" t="s">
        <v>889</v>
      </c>
      <c r="S268" s="20"/>
      <c r="T268" s="30">
        <v>1</v>
      </c>
      <c r="U268" s="20" t="s">
        <v>649</v>
      </c>
      <c r="V268" s="20"/>
      <c r="W268" s="20" t="s">
        <v>937</v>
      </c>
      <c r="X268" s="43"/>
      <c r="Y268" s="20" t="s">
        <v>1178</v>
      </c>
      <c r="Z268" s="20" t="s">
        <v>1178</v>
      </c>
      <c r="AA268" s="20"/>
      <c r="AB268" s="20"/>
      <c r="AC268" s="20"/>
      <c r="AD268" s="20"/>
      <c r="AE268" s="20"/>
      <c r="AF268" s="20"/>
      <c r="AG268" s="20"/>
      <c r="AH268" s="20"/>
      <c r="AI268" s="20" t="s">
        <v>1327</v>
      </c>
      <c r="AJ268" s="20"/>
      <c r="AK268" s="20"/>
      <c r="AL268" s="20"/>
      <c r="AM268" s="20"/>
      <c r="AN268" s="37"/>
      <c r="AO268" s="20"/>
      <c r="AP268" s="20"/>
      <c r="AQ268" s="45"/>
      <c r="AR268" s="20" t="s">
        <v>1309</v>
      </c>
      <c r="AS268" s="20" t="s">
        <v>1178</v>
      </c>
      <c r="AT268" s="40" t="s">
        <v>1309</v>
      </c>
      <c r="AU268" s="48"/>
      <c r="AV268" s="20"/>
      <c r="AW268" s="45"/>
      <c r="AX268" s="20"/>
    </row>
    <row r="269" spans="2:50" ht="15.75" customHeight="1">
      <c r="B269" s="8">
        <v>266</v>
      </c>
      <c r="C269" s="20" t="s">
        <v>342</v>
      </c>
      <c r="D269" s="20" t="s">
        <v>342</v>
      </c>
      <c r="E269" s="8" t="s">
        <v>74</v>
      </c>
      <c r="F269" s="8" t="s">
        <v>75</v>
      </c>
      <c r="G269" s="19" t="s">
        <v>73</v>
      </c>
      <c r="H269" s="29" t="s">
        <v>76</v>
      </c>
      <c r="I269" s="20"/>
      <c r="J269" s="24">
        <v>30049099</v>
      </c>
      <c r="K269" s="11">
        <v>0.05</v>
      </c>
      <c r="L269" s="21">
        <v>320</v>
      </c>
      <c r="M269" s="22">
        <f t="shared" si="12"/>
        <v>281.60000000000002</v>
      </c>
      <c r="N269" s="23">
        <f t="shared" si="13"/>
        <v>38.399999999999977</v>
      </c>
      <c r="O269" s="26">
        <f t="shared" si="14"/>
        <v>0.11999999999999993</v>
      </c>
      <c r="P269" s="20"/>
      <c r="Q269" s="20" t="s">
        <v>884</v>
      </c>
      <c r="R269" s="20" t="s">
        <v>889</v>
      </c>
      <c r="S269" s="20"/>
      <c r="T269" s="30">
        <v>1</v>
      </c>
      <c r="U269" s="20" t="s">
        <v>649</v>
      </c>
      <c r="V269" s="20"/>
      <c r="W269" s="20" t="s">
        <v>937</v>
      </c>
      <c r="X269" s="43"/>
      <c r="Y269" s="20" t="s">
        <v>1178</v>
      </c>
      <c r="Z269" s="20" t="s">
        <v>1178</v>
      </c>
      <c r="AA269" s="20"/>
      <c r="AB269" s="20"/>
      <c r="AC269" s="20"/>
      <c r="AD269" s="20"/>
      <c r="AE269" s="20"/>
      <c r="AF269" s="20"/>
      <c r="AG269" s="20"/>
      <c r="AH269" s="20"/>
      <c r="AI269" s="20" t="s">
        <v>1327</v>
      </c>
      <c r="AJ269" s="20"/>
      <c r="AK269" s="20"/>
      <c r="AL269" s="20"/>
      <c r="AM269" s="20"/>
      <c r="AN269" s="37"/>
      <c r="AO269" s="20"/>
      <c r="AP269" s="20"/>
      <c r="AQ269" s="45"/>
      <c r="AR269" s="20" t="s">
        <v>1309</v>
      </c>
      <c r="AS269" s="20" t="s">
        <v>1178</v>
      </c>
      <c r="AT269" s="40" t="s">
        <v>1309</v>
      </c>
      <c r="AU269" s="48"/>
      <c r="AV269" s="20"/>
      <c r="AW269" s="45"/>
      <c r="AX269" s="20"/>
    </row>
    <row r="270" spans="2:50" ht="28.5" customHeight="1">
      <c r="B270" s="8">
        <v>267</v>
      </c>
      <c r="C270" s="20" t="s">
        <v>343</v>
      </c>
      <c r="D270" s="20" t="s">
        <v>343</v>
      </c>
      <c r="E270" s="8" t="s">
        <v>74</v>
      </c>
      <c r="F270" s="8" t="s">
        <v>75</v>
      </c>
      <c r="G270" s="19" t="s">
        <v>73</v>
      </c>
      <c r="H270" s="29" t="s">
        <v>76</v>
      </c>
      <c r="I270" s="20"/>
      <c r="J270" s="24">
        <v>300410</v>
      </c>
      <c r="K270" s="11">
        <v>0.05</v>
      </c>
      <c r="L270" s="21">
        <v>346.88</v>
      </c>
      <c r="M270" s="22">
        <f t="shared" si="12"/>
        <v>305.25439999999998</v>
      </c>
      <c r="N270" s="23">
        <f t="shared" si="13"/>
        <v>41.62560000000002</v>
      </c>
      <c r="O270" s="26">
        <f t="shared" si="14"/>
        <v>0.12000000000000006</v>
      </c>
      <c r="P270" s="20"/>
      <c r="Q270" s="20" t="s">
        <v>882</v>
      </c>
      <c r="R270" s="20" t="s">
        <v>889</v>
      </c>
      <c r="S270" s="20"/>
      <c r="T270" s="30">
        <v>1</v>
      </c>
      <c r="U270" s="20" t="s">
        <v>650</v>
      </c>
      <c r="V270" s="20"/>
      <c r="W270" s="20" t="s">
        <v>938</v>
      </c>
      <c r="X270" s="43"/>
      <c r="Y270" s="20" t="s">
        <v>1177</v>
      </c>
      <c r="Z270" s="20" t="s">
        <v>1177</v>
      </c>
      <c r="AA270" s="20"/>
      <c r="AB270" s="20"/>
      <c r="AC270" s="20"/>
      <c r="AD270" s="20"/>
      <c r="AE270" s="20"/>
      <c r="AF270" s="20"/>
      <c r="AG270" s="20"/>
      <c r="AH270" s="20"/>
      <c r="AI270" s="20" t="s">
        <v>1327</v>
      </c>
      <c r="AJ270" s="20"/>
      <c r="AK270" s="20"/>
      <c r="AL270" s="20"/>
      <c r="AM270" s="20"/>
      <c r="AN270" s="35" t="s">
        <v>774</v>
      </c>
      <c r="AO270" s="20"/>
      <c r="AP270" s="20"/>
      <c r="AQ270" s="45"/>
      <c r="AR270" s="20" t="s">
        <v>1309</v>
      </c>
      <c r="AS270" s="20" t="s">
        <v>1177</v>
      </c>
      <c r="AT270" s="40" t="s">
        <v>1309</v>
      </c>
      <c r="AU270" s="48"/>
      <c r="AV270" s="20"/>
      <c r="AW270" s="45"/>
      <c r="AX270" s="20"/>
    </row>
    <row r="271" spans="2:50" ht="33" customHeight="1">
      <c r="B271" s="8">
        <v>268</v>
      </c>
      <c r="C271" s="20" t="s">
        <v>344</v>
      </c>
      <c r="D271" s="20" t="s">
        <v>344</v>
      </c>
      <c r="E271" s="8" t="s">
        <v>74</v>
      </c>
      <c r="F271" s="8" t="s">
        <v>75</v>
      </c>
      <c r="G271" s="19" t="s">
        <v>73</v>
      </c>
      <c r="H271" s="29" t="s">
        <v>76</v>
      </c>
      <c r="I271" s="20"/>
      <c r="J271" s="24">
        <v>30045090</v>
      </c>
      <c r="K271" s="11">
        <v>0.05</v>
      </c>
      <c r="L271" s="21">
        <v>1020</v>
      </c>
      <c r="M271" s="22">
        <f t="shared" si="12"/>
        <v>897.6</v>
      </c>
      <c r="N271" s="23">
        <f t="shared" si="13"/>
        <v>122.39999999999998</v>
      </c>
      <c r="O271" s="26">
        <f t="shared" si="14"/>
        <v>0.11999999999999998</v>
      </c>
      <c r="P271" s="20"/>
      <c r="Q271" s="20" t="s">
        <v>869</v>
      </c>
      <c r="R271" s="20" t="s">
        <v>889</v>
      </c>
      <c r="S271" s="20"/>
      <c r="T271" s="30">
        <v>1</v>
      </c>
      <c r="U271" s="20" t="s">
        <v>603</v>
      </c>
      <c r="V271" s="20"/>
      <c r="W271" s="20" t="s">
        <v>929</v>
      </c>
      <c r="X271" s="43"/>
      <c r="Y271" s="20" t="s">
        <v>1176</v>
      </c>
      <c r="Z271" s="20" t="s">
        <v>1176</v>
      </c>
      <c r="AA271" s="20"/>
      <c r="AB271" s="20"/>
      <c r="AC271" s="20"/>
      <c r="AD271" s="20"/>
      <c r="AE271" s="20"/>
      <c r="AF271" s="20"/>
      <c r="AG271" s="20"/>
      <c r="AH271" s="20"/>
      <c r="AI271" s="20" t="s">
        <v>1322</v>
      </c>
      <c r="AJ271" s="20"/>
      <c r="AK271" s="20"/>
      <c r="AL271" s="20"/>
      <c r="AM271" s="20"/>
      <c r="AN271" s="35" t="s">
        <v>775</v>
      </c>
      <c r="AO271" s="20"/>
      <c r="AP271" s="20"/>
      <c r="AQ271" s="45"/>
      <c r="AR271" s="20" t="s">
        <v>1309</v>
      </c>
      <c r="AS271" s="20" t="s">
        <v>1176</v>
      </c>
      <c r="AT271" s="40" t="s">
        <v>1309</v>
      </c>
      <c r="AU271" s="48"/>
      <c r="AV271" s="20"/>
      <c r="AW271" s="45"/>
      <c r="AX271" s="20"/>
    </row>
    <row r="272" spans="2:50" ht="15.75" customHeight="1">
      <c r="B272" s="8">
        <v>269</v>
      </c>
      <c r="C272" s="20" t="s">
        <v>345</v>
      </c>
      <c r="D272" s="20" t="s">
        <v>345</v>
      </c>
      <c r="E272" s="8" t="s">
        <v>74</v>
      </c>
      <c r="F272" s="8" t="s">
        <v>75</v>
      </c>
      <c r="G272" s="19" t="s">
        <v>73</v>
      </c>
      <c r="H272" s="29" t="s">
        <v>76</v>
      </c>
      <c r="I272" s="20"/>
      <c r="J272" s="24">
        <v>30049099</v>
      </c>
      <c r="K272" s="11">
        <v>0.05</v>
      </c>
      <c r="L272" s="21">
        <v>2150</v>
      </c>
      <c r="M272" s="22">
        <f t="shared" si="12"/>
        <v>1892</v>
      </c>
      <c r="N272" s="23">
        <f t="shared" si="13"/>
        <v>258</v>
      </c>
      <c r="O272" s="26">
        <f t="shared" si="14"/>
        <v>0.12</v>
      </c>
      <c r="P272" s="20"/>
      <c r="Q272" s="20" t="s">
        <v>869</v>
      </c>
      <c r="R272" s="20" t="s">
        <v>889</v>
      </c>
      <c r="S272" s="20"/>
      <c r="T272" s="30">
        <v>1</v>
      </c>
      <c r="U272" s="20" t="s">
        <v>651</v>
      </c>
      <c r="V272" s="20"/>
      <c r="W272" s="20" t="s">
        <v>929</v>
      </c>
      <c r="X272" s="43"/>
      <c r="Y272" s="20" t="s">
        <v>1176</v>
      </c>
      <c r="Z272" s="20" t="s">
        <v>1176</v>
      </c>
      <c r="AA272" s="20"/>
      <c r="AB272" s="20"/>
      <c r="AC272" s="20"/>
      <c r="AD272" s="20"/>
      <c r="AE272" s="20"/>
      <c r="AF272" s="20"/>
      <c r="AG272" s="20"/>
      <c r="AH272" s="20"/>
      <c r="AI272" s="20" t="s">
        <v>1322</v>
      </c>
      <c r="AJ272" s="20"/>
      <c r="AK272" s="20"/>
      <c r="AL272" s="20"/>
      <c r="AM272" s="20"/>
      <c r="AN272" s="37"/>
      <c r="AO272" s="20"/>
      <c r="AP272" s="20"/>
      <c r="AQ272" s="45"/>
      <c r="AR272" s="20" t="s">
        <v>1309</v>
      </c>
      <c r="AS272" s="20" t="s">
        <v>1176</v>
      </c>
      <c r="AT272" s="40" t="s">
        <v>1309</v>
      </c>
      <c r="AU272" s="48"/>
      <c r="AV272" s="20"/>
      <c r="AW272" s="45"/>
      <c r="AX272" s="20"/>
    </row>
    <row r="273" spans="2:50" ht="28.5" customHeight="1">
      <c r="B273" s="8">
        <v>270</v>
      </c>
      <c r="C273" s="20" t="s">
        <v>346</v>
      </c>
      <c r="D273" s="20" t="s">
        <v>346</v>
      </c>
      <c r="E273" s="8" t="s">
        <v>74</v>
      </c>
      <c r="F273" s="8" t="s">
        <v>75</v>
      </c>
      <c r="G273" s="19" t="s">
        <v>73</v>
      </c>
      <c r="H273" s="29" t="s">
        <v>76</v>
      </c>
      <c r="I273" s="20"/>
      <c r="J273" s="24">
        <v>30049099</v>
      </c>
      <c r="K273" s="11">
        <v>0.05</v>
      </c>
      <c r="L273" s="21">
        <v>1603.13</v>
      </c>
      <c r="M273" s="22">
        <f t="shared" si="12"/>
        <v>1410.7544</v>
      </c>
      <c r="N273" s="23">
        <f t="shared" si="13"/>
        <v>192.37560000000008</v>
      </c>
      <c r="O273" s="26">
        <f t="shared" si="14"/>
        <v>0.12000000000000004</v>
      </c>
      <c r="P273" s="20"/>
      <c r="Q273" s="20" t="s">
        <v>859</v>
      </c>
      <c r="R273" s="20" t="s">
        <v>889</v>
      </c>
      <c r="S273" s="20"/>
      <c r="T273" s="30">
        <v>1</v>
      </c>
      <c r="U273" s="20" t="s">
        <v>589</v>
      </c>
      <c r="V273" s="20"/>
      <c r="W273" s="20" t="s">
        <v>929</v>
      </c>
      <c r="X273" s="43"/>
      <c r="Y273" s="20" t="s">
        <v>1175</v>
      </c>
      <c r="Z273" s="20" t="s">
        <v>1175</v>
      </c>
      <c r="AA273" s="20"/>
      <c r="AB273" s="20"/>
      <c r="AC273" s="20"/>
      <c r="AD273" t="s">
        <v>1331</v>
      </c>
      <c r="AE273" s="20"/>
      <c r="AF273" s="20"/>
      <c r="AG273" s="20"/>
      <c r="AH273" s="20"/>
      <c r="AI273" s="20" t="s">
        <v>1323</v>
      </c>
      <c r="AJ273" s="20"/>
      <c r="AK273" s="20"/>
      <c r="AL273" s="20"/>
      <c r="AM273" s="20"/>
      <c r="AN273" s="35" t="s">
        <v>776</v>
      </c>
      <c r="AO273" s="20"/>
      <c r="AP273" s="20"/>
      <c r="AQ273" s="45"/>
      <c r="AR273" s="20" t="s">
        <v>1309</v>
      </c>
      <c r="AS273" s="20" t="s">
        <v>1175</v>
      </c>
      <c r="AT273" s="40" t="s">
        <v>1309</v>
      </c>
      <c r="AU273" s="48"/>
      <c r="AV273" s="20"/>
      <c r="AW273" s="45"/>
      <c r="AX273" s="20"/>
    </row>
    <row r="274" spans="2:50" ht="15.75" customHeight="1">
      <c r="B274" s="8">
        <v>271</v>
      </c>
      <c r="C274" s="20" t="s">
        <v>347</v>
      </c>
      <c r="D274" s="20" t="s">
        <v>347</v>
      </c>
      <c r="E274" s="8" t="s">
        <v>74</v>
      </c>
      <c r="F274" s="8" t="s">
        <v>75</v>
      </c>
      <c r="G274" s="19" t="s">
        <v>73</v>
      </c>
      <c r="H274" s="29" t="s">
        <v>76</v>
      </c>
      <c r="I274" s="20"/>
      <c r="J274" s="25" t="s">
        <v>588</v>
      </c>
      <c r="K274" s="11">
        <v>0.05</v>
      </c>
      <c r="L274" s="21">
        <v>1040</v>
      </c>
      <c r="M274" s="22">
        <f t="shared" si="12"/>
        <v>915.2</v>
      </c>
      <c r="N274" s="23">
        <f t="shared" si="13"/>
        <v>124.79999999999995</v>
      </c>
      <c r="O274" s="26">
        <f t="shared" si="14"/>
        <v>0.11999999999999995</v>
      </c>
      <c r="P274" s="20"/>
      <c r="Q274" s="20" t="s">
        <v>860</v>
      </c>
      <c r="R274" s="20" t="s">
        <v>889</v>
      </c>
      <c r="S274" s="20"/>
      <c r="T274" s="30">
        <v>1</v>
      </c>
      <c r="U274" s="20" t="s">
        <v>652</v>
      </c>
      <c r="V274" s="20"/>
      <c r="W274" s="20" t="s">
        <v>930</v>
      </c>
      <c r="X274" s="43"/>
      <c r="Y274" s="20" t="s">
        <v>1174</v>
      </c>
      <c r="Z274" s="20" t="s">
        <v>1174</v>
      </c>
      <c r="AA274" s="20"/>
      <c r="AB274" s="20"/>
      <c r="AC274" s="20"/>
      <c r="AD274" s="20"/>
      <c r="AE274" s="20"/>
      <c r="AF274" s="20"/>
      <c r="AG274" s="20"/>
      <c r="AH274" s="20"/>
      <c r="AI274" s="20" t="s">
        <v>1324</v>
      </c>
      <c r="AJ274" s="20"/>
      <c r="AK274" s="20"/>
      <c r="AL274" s="20"/>
      <c r="AM274" s="20"/>
      <c r="AN274" s="37"/>
      <c r="AO274" s="20"/>
      <c r="AP274" s="20"/>
      <c r="AQ274" s="45"/>
      <c r="AR274" s="20" t="s">
        <v>1309</v>
      </c>
      <c r="AS274" s="20" t="s">
        <v>1174</v>
      </c>
      <c r="AT274" s="40" t="s">
        <v>1309</v>
      </c>
      <c r="AU274" s="48"/>
      <c r="AV274" s="20"/>
      <c r="AW274" s="45"/>
      <c r="AX274" s="20"/>
    </row>
    <row r="275" spans="2:50" ht="27.75" customHeight="1">
      <c r="B275" s="8">
        <v>272</v>
      </c>
      <c r="C275" s="20" t="s">
        <v>348</v>
      </c>
      <c r="D275" s="20" t="s">
        <v>348</v>
      </c>
      <c r="E275" s="8" t="s">
        <v>74</v>
      </c>
      <c r="F275" s="8" t="s">
        <v>75</v>
      </c>
      <c r="G275" s="19" t="s">
        <v>73</v>
      </c>
      <c r="H275" s="29" t="s">
        <v>76</v>
      </c>
      <c r="I275" s="20"/>
      <c r="J275" s="24">
        <v>30042019</v>
      </c>
      <c r="K275" s="11">
        <v>0.05</v>
      </c>
      <c r="L275" s="21">
        <v>66.64</v>
      </c>
      <c r="M275" s="22">
        <f t="shared" si="12"/>
        <v>58.6432</v>
      </c>
      <c r="N275" s="23">
        <f t="shared" si="13"/>
        <v>7.9968000000000004</v>
      </c>
      <c r="O275" s="26">
        <f t="shared" si="14"/>
        <v>0.12000000000000001</v>
      </c>
      <c r="P275" s="20"/>
      <c r="Q275" s="20" t="s">
        <v>864</v>
      </c>
      <c r="R275" s="20" t="s">
        <v>891</v>
      </c>
      <c r="S275" s="20"/>
      <c r="T275" s="30">
        <v>1</v>
      </c>
      <c r="U275" s="20" t="s">
        <v>602</v>
      </c>
      <c r="V275" s="20"/>
      <c r="W275" s="20" t="s">
        <v>936</v>
      </c>
      <c r="X275" s="43"/>
      <c r="Y275" s="20" t="s">
        <v>1173</v>
      </c>
      <c r="Z275" s="20" t="s">
        <v>1173</v>
      </c>
      <c r="AA275" s="20"/>
      <c r="AB275" s="20"/>
      <c r="AC275" s="20"/>
      <c r="AD275" s="20"/>
      <c r="AE275" s="20"/>
      <c r="AF275" s="20"/>
      <c r="AG275" s="20"/>
      <c r="AH275" s="20"/>
      <c r="AI275" s="20" t="s">
        <v>1327</v>
      </c>
      <c r="AJ275" s="20"/>
      <c r="AK275" s="20"/>
      <c r="AL275" s="20"/>
      <c r="AM275" s="20"/>
      <c r="AN275" s="35" t="s">
        <v>777</v>
      </c>
      <c r="AO275" s="20"/>
      <c r="AP275" s="20"/>
      <c r="AQ275" s="45"/>
      <c r="AR275" s="20" t="s">
        <v>1312</v>
      </c>
      <c r="AS275" s="20" t="s">
        <v>1173</v>
      </c>
      <c r="AT275" s="40" t="s">
        <v>1312</v>
      </c>
      <c r="AU275" s="48"/>
      <c r="AV275" s="20"/>
      <c r="AW275" s="45"/>
      <c r="AX275" s="20"/>
    </row>
    <row r="276" spans="2:50" ht="26.25" customHeight="1">
      <c r="B276" s="8">
        <v>273</v>
      </c>
      <c r="C276" s="20" t="s">
        <v>349</v>
      </c>
      <c r="D276" s="20" t="s">
        <v>349</v>
      </c>
      <c r="E276" s="8" t="s">
        <v>74</v>
      </c>
      <c r="F276" s="8" t="s">
        <v>75</v>
      </c>
      <c r="G276" s="19" t="s">
        <v>73</v>
      </c>
      <c r="H276" s="29" t="s">
        <v>76</v>
      </c>
      <c r="I276" s="20"/>
      <c r="J276" s="24">
        <v>30042019</v>
      </c>
      <c r="K276" s="11">
        <v>0.05</v>
      </c>
      <c r="L276" s="21">
        <v>30.26</v>
      </c>
      <c r="M276" s="22">
        <f t="shared" si="12"/>
        <v>26.628800000000002</v>
      </c>
      <c r="N276" s="23">
        <f t="shared" si="13"/>
        <v>3.6311999999999998</v>
      </c>
      <c r="O276" s="26">
        <f t="shared" si="14"/>
        <v>0.11999999999999998</v>
      </c>
      <c r="P276" s="20"/>
      <c r="Q276" s="20" t="s">
        <v>864</v>
      </c>
      <c r="R276" s="20" t="s">
        <v>891</v>
      </c>
      <c r="S276" s="20"/>
      <c r="T276" s="30">
        <v>1</v>
      </c>
      <c r="U276" s="20" t="s">
        <v>653</v>
      </c>
      <c r="V276" s="20"/>
      <c r="W276" s="20" t="s">
        <v>936</v>
      </c>
      <c r="X276" s="43"/>
      <c r="Y276" s="20" t="s">
        <v>1172</v>
      </c>
      <c r="Z276" s="20" t="s">
        <v>1172</v>
      </c>
      <c r="AA276" s="20"/>
      <c r="AB276" s="20"/>
      <c r="AC276" s="20"/>
      <c r="AD276" s="20"/>
      <c r="AE276" s="20"/>
      <c r="AF276" s="20"/>
      <c r="AG276" s="20"/>
      <c r="AH276" s="20"/>
      <c r="AI276" s="20" t="s">
        <v>1327</v>
      </c>
      <c r="AJ276" s="20"/>
      <c r="AK276" s="20"/>
      <c r="AL276" s="20"/>
      <c r="AM276" s="20"/>
      <c r="AN276" s="35" t="s">
        <v>778</v>
      </c>
      <c r="AO276" s="20"/>
      <c r="AP276" s="20"/>
      <c r="AQ276" s="45"/>
      <c r="AR276" s="20" t="s">
        <v>1312</v>
      </c>
      <c r="AS276" s="20" t="s">
        <v>1172</v>
      </c>
      <c r="AT276" s="40" t="s">
        <v>1312</v>
      </c>
      <c r="AU276" s="48"/>
      <c r="AV276" s="20"/>
      <c r="AW276" s="45"/>
      <c r="AX276" s="20"/>
    </row>
    <row r="277" spans="2:50" ht="28.5" customHeight="1">
      <c r="B277" s="8">
        <v>274</v>
      </c>
      <c r="C277" s="20" t="s">
        <v>350</v>
      </c>
      <c r="D277" s="20" t="s">
        <v>350</v>
      </c>
      <c r="E277" s="8" t="s">
        <v>74</v>
      </c>
      <c r="F277" s="8" t="s">
        <v>75</v>
      </c>
      <c r="G277" s="19" t="s">
        <v>73</v>
      </c>
      <c r="H277" s="29" t="s">
        <v>76</v>
      </c>
      <c r="I277" s="20"/>
      <c r="J277" s="24">
        <v>30042019</v>
      </c>
      <c r="K277" s="11">
        <v>0.05</v>
      </c>
      <c r="L277" s="21">
        <v>53.71</v>
      </c>
      <c r="M277" s="22">
        <f t="shared" si="12"/>
        <v>47.264800000000001</v>
      </c>
      <c r="N277" s="23">
        <f t="shared" si="13"/>
        <v>6.4451999999999998</v>
      </c>
      <c r="O277" s="26">
        <f t="shared" si="14"/>
        <v>0.12</v>
      </c>
      <c r="P277" s="20"/>
      <c r="Q277" s="20" t="s">
        <v>864</v>
      </c>
      <c r="R277" s="20" t="s">
        <v>891</v>
      </c>
      <c r="S277" s="20"/>
      <c r="T277" s="30">
        <v>1</v>
      </c>
      <c r="U277" s="20" t="s">
        <v>654</v>
      </c>
      <c r="V277" s="20"/>
      <c r="W277" s="20" t="s">
        <v>936</v>
      </c>
      <c r="X277" s="43"/>
      <c r="Y277" s="20" t="s">
        <v>1171</v>
      </c>
      <c r="Z277" s="20" t="s">
        <v>1171</v>
      </c>
      <c r="AA277" s="20"/>
      <c r="AB277" s="20"/>
      <c r="AC277" s="20"/>
      <c r="AD277" s="20"/>
      <c r="AE277" s="20"/>
      <c r="AF277" s="20"/>
      <c r="AG277" s="20"/>
      <c r="AH277" s="20"/>
      <c r="AI277" s="20" t="s">
        <v>1327</v>
      </c>
      <c r="AJ277" s="20"/>
      <c r="AK277" s="20"/>
      <c r="AL277" s="20"/>
      <c r="AM277" s="20"/>
      <c r="AN277" s="35" t="s">
        <v>779</v>
      </c>
      <c r="AO277" s="20"/>
      <c r="AP277" s="20"/>
      <c r="AQ277" s="45"/>
      <c r="AR277" s="20" t="s">
        <v>1312</v>
      </c>
      <c r="AS277" s="20" t="s">
        <v>1171</v>
      </c>
      <c r="AT277" s="40" t="s">
        <v>1312</v>
      </c>
      <c r="AU277" s="48"/>
      <c r="AV277" s="20"/>
      <c r="AW277" s="45"/>
      <c r="AX277" s="20"/>
    </row>
    <row r="278" spans="2:50" ht="29.25" customHeight="1">
      <c r="B278" s="8">
        <v>275</v>
      </c>
      <c r="C278" s="20" t="s">
        <v>351</v>
      </c>
      <c r="D278" s="20" t="s">
        <v>351</v>
      </c>
      <c r="E278" s="8" t="s">
        <v>74</v>
      </c>
      <c r="F278" s="8" t="s">
        <v>75</v>
      </c>
      <c r="G278" s="19" t="s">
        <v>73</v>
      </c>
      <c r="H278" s="29" t="s">
        <v>76</v>
      </c>
      <c r="I278" s="20"/>
      <c r="J278" s="24">
        <v>30042019</v>
      </c>
      <c r="K278" s="11">
        <v>0.05</v>
      </c>
      <c r="L278" s="21">
        <v>156</v>
      </c>
      <c r="M278" s="22">
        <f t="shared" si="12"/>
        <v>137.28</v>
      </c>
      <c r="N278" s="23">
        <f t="shared" si="13"/>
        <v>18.72</v>
      </c>
      <c r="O278" s="26">
        <f t="shared" si="14"/>
        <v>0.12</v>
      </c>
      <c r="P278" s="20"/>
      <c r="Q278" s="20" t="s">
        <v>864</v>
      </c>
      <c r="R278" s="20" t="s">
        <v>891</v>
      </c>
      <c r="S278" s="20"/>
      <c r="T278" s="30">
        <v>1</v>
      </c>
      <c r="U278" s="20" t="s">
        <v>655</v>
      </c>
      <c r="V278" s="20"/>
      <c r="W278" s="20" t="s">
        <v>936</v>
      </c>
      <c r="X278" s="43"/>
      <c r="Y278" s="20" t="s">
        <v>1170</v>
      </c>
      <c r="Z278" s="20" t="s">
        <v>1170</v>
      </c>
      <c r="AA278" s="20"/>
      <c r="AB278" s="20"/>
      <c r="AC278" s="20"/>
      <c r="AD278" s="20"/>
      <c r="AE278" s="20"/>
      <c r="AF278" s="20"/>
      <c r="AG278" s="20"/>
      <c r="AH278" s="20"/>
      <c r="AI278" s="20" t="s">
        <v>1327</v>
      </c>
      <c r="AJ278" s="20"/>
      <c r="AK278" s="20"/>
      <c r="AL278" s="20"/>
      <c r="AM278" s="20"/>
      <c r="AN278" s="35" t="s">
        <v>780</v>
      </c>
      <c r="AO278" s="20"/>
      <c r="AP278" s="20"/>
      <c r="AQ278" s="45"/>
      <c r="AR278" s="20" t="s">
        <v>1312</v>
      </c>
      <c r="AS278" s="20" t="s">
        <v>1170</v>
      </c>
      <c r="AT278" s="40" t="s">
        <v>1312</v>
      </c>
      <c r="AU278" s="48"/>
      <c r="AV278" s="20"/>
      <c r="AW278" s="45"/>
      <c r="AX278" s="20"/>
    </row>
    <row r="279" spans="2:50" ht="30.75" customHeight="1">
      <c r="B279" s="8">
        <v>276</v>
      </c>
      <c r="C279" s="20" t="s">
        <v>352</v>
      </c>
      <c r="D279" s="20" t="s">
        <v>352</v>
      </c>
      <c r="E279" s="8" t="s">
        <v>74</v>
      </c>
      <c r="F279" s="8" t="s">
        <v>75</v>
      </c>
      <c r="G279" s="19" t="s">
        <v>73</v>
      </c>
      <c r="H279" s="29" t="s">
        <v>76</v>
      </c>
      <c r="I279" s="20"/>
      <c r="J279" s="24">
        <v>30042019</v>
      </c>
      <c r="K279" s="11">
        <v>0.05</v>
      </c>
      <c r="L279" s="21">
        <v>57.19</v>
      </c>
      <c r="M279" s="22">
        <f t="shared" si="12"/>
        <v>50.327199999999998</v>
      </c>
      <c r="N279" s="23">
        <f t="shared" si="13"/>
        <v>6.8628</v>
      </c>
      <c r="O279" s="26">
        <f t="shared" si="14"/>
        <v>0.12000000000000001</v>
      </c>
      <c r="P279" s="20"/>
      <c r="Q279" s="20" t="s">
        <v>864</v>
      </c>
      <c r="R279" s="20" t="s">
        <v>891</v>
      </c>
      <c r="S279" s="20"/>
      <c r="T279" s="30">
        <v>1</v>
      </c>
      <c r="U279" s="20" t="s">
        <v>656</v>
      </c>
      <c r="V279" s="20"/>
      <c r="W279" s="20" t="s">
        <v>936</v>
      </c>
      <c r="X279" s="43"/>
      <c r="Y279" s="20" t="s">
        <v>1169</v>
      </c>
      <c r="Z279" s="20" t="s">
        <v>1169</v>
      </c>
      <c r="AA279" s="20"/>
      <c r="AB279" s="20"/>
      <c r="AC279" s="20"/>
      <c r="AD279" s="20"/>
      <c r="AE279" s="20"/>
      <c r="AF279" s="20"/>
      <c r="AG279" s="20"/>
      <c r="AH279" s="20"/>
      <c r="AI279" s="20" t="s">
        <v>1327</v>
      </c>
      <c r="AJ279" s="20"/>
      <c r="AK279" s="20"/>
      <c r="AL279" s="20"/>
      <c r="AM279" s="20"/>
      <c r="AN279" s="35" t="s">
        <v>781</v>
      </c>
      <c r="AO279" s="20"/>
      <c r="AP279" s="20"/>
      <c r="AQ279" s="45"/>
      <c r="AR279" s="20" t="s">
        <v>1312</v>
      </c>
      <c r="AS279" s="20" t="s">
        <v>1169</v>
      </c>
      <c r="AT279" s="40" t="s">
        <v>1312</v>
      </c>
      <c r="AU279" s="48"/>
      <c r="AV279" s="20"/>
      <c r="AW279" s="45"/>
      <c r="AX279" s="20"/>
    </row>
    <row r="280" spans="2:50" ht="28.5" customHeight="1">
      <c r="B280" s="8">
        <v>277</v>
      </c>
      <c r="C280" s="20" t="s">
        <v>353</v>
      </c>
      <c r="D280" s="20" t="s">
        <v>353</v>
      </c>
      <c r="E280" s="8" t="s">
        <v>74</v>
      </c>
      <c r="F280" s="8" t="s">
        <v>75</v>
      </c>
      <c r="G280" s="19" t="s">
        <v>73</v>
      </c>
      <c r="H280" s="29" t="s">
        <v>76</v>
      </c>
      <c r="I280" s="20"/>
      <c r="J280" s="24">
        <v>30042019</v>
      </c>
      <c r="K280" s="11">
        <v>0.05</v>
      </c>
      <c r="L280" s="21">
        <v>198.75</v>
      </c>
      <c r="M280" s="22">
        <f t="shared" si="12"/>
        <v>174.9</v>
      </c>
      <c r="N280" s="23">
        <f t="shared" si="13"/>
        <v>23.849999999999994</v>
      </c>
      <c r="O280" s="26">
        <f t="shared" si="14"/>
        <v>0.11999999999999997</v>
      </c>
      <c r="P280" s="20"/>
      <c r="Q280" s="20" t="s">
        <v>864</v>
      </c>
      <c r="R280" s="20" t="s">
        <v>891</v>
      </c>
      <c r="S280" s="20"/>
      <c r="T280" s="30">
        <v>1</v>
      </c>
      <c r="U280" s="20" t="s">
        <v>657</v>
      </c>
      <c r="V280" s="20"/>
      <c r="W280" s="20" t="s">
        <v>936</v>
      </c>
      <c r="X280" s="43"/>
      <c r="Y280" s="20" t="s">
        <v>1168</v>
      </c>
      <c r="Z280" s="20" t="s">
        <v>1168</v>
      </c>
      <c r="AA280" s="20"/>
      <c r="AB280" s="20"/>
      <c r="AC280" s="20"/>
      <c r="AD280" s="20"/>
      <c r="AE280" s="20"/>
      <c r="AF280" s="20"/>
      <c r="AG280" s="20"/>
      <c r="AH280" s="20"/>
      <c r="AI280" s="20" t="s">
        <v>1327</v>
      </c>
      <c r="AJ280" s="20"/>
      <c r="AK280" s="20"/>
      <c r="AL280" s="20"/>
      <c r="AM280" s="20"/>
      <c r="AN280" s="35" t="s">
        <v>782</v>
      </c>
      <c r="AO280" s="20"/>
      <c r="AP280" s="20"/>
      <c r="AQ280" s="45"/>
      <c r="AR280" s="20" t="s">
        <v>1312</v>
      </c>
      <c r="AS280" s="20" t="s">
        <v>1168</v>
      </c>
      <c r="AT280" s="40" t="s">
        <v>1312</v>
      </c>
      <c r="AU280" s="48"/>
      <c r="AV280" s="20"/>
      <c r="AW280" s="45"/>
      <c r="AX280" s="20"/>
    </row>
    <row r="281" spans="2:50" ht="34.5" customHeight="1">
      <c r="B281" s="8">
        <v>278</v>
      </c>
      <c r="C281" s="20" t="s">
        <v>354</v>
      </c>
      <c r="D281" s="20" t="s">
        <v>354</v>
      </c>
      <c r="E281" s="8" t="s">
        <v>74</v>
      </c>
      <c r="F281" s="8" t="s">
        <v>75</v>
      </c>
      <c r="G281" s="19" t="s">
        <v>73</v>
      </c>
      <c r="H281" s="29" t="s">
        <v>76</v>
      </c>
      <c r="I281" s="20"/>
      <c r="J281" s="24">
        <v>30049011</v>
      </c>
      <c r="K281" s="11">
        <v>0.05</v>
      </c>
      <c r="L281" s="21">
        <v>164.06</v>
      </c>
      <c r="M281" s="22">
        <f t="shared" si="12"/>
        <v>144.37280000000001</v>
      </c>
      <c r="N281" s="23">
        <f t="shared" si="13"/>
        <v>19.68719999999999</v>
      </c>
      <c r="O281" s="26">
        <f t="shared" si="14"/>
        <v>0.11999999999999994</v>
      </c>
      <c r="P281" s="20"/>
      <c r="Q281" s="20" t="s">
        <v>862</v>
      </c>
      <c r="R281" s="20" t="s">
        <v>889</v>
      </c>
      <c r="S281" s="20"/>
      <c r="T281" s="30">
        <v>1</v>
      </c>
      <c r="U281" s="20" t="s">
        <v>601</v>
      </c>
      <c r="V281" s="20"/>
      <c r="W281" s="20" t="s">
        <v>931</v>
      </c>
      <c r="X281" s="43"/>
      <c r="Y281" s="20" t="s">
        <v>1167</v>
      </c>
      <c r="Z281" s="20" t="s">
        <v>1167</v>
      </c>
      <c r="AA281" s="20"/>
      <c r="AB281" s="20"/>
      <c r="AC281" s="20"/>
      <c r="AD281" s="20"/>
      <c r="AE281" s="20"/>
      <c r="AF281" s="20"/>
      <c r="AG281" s="20"/>
      <c r="AH281" s="20"/>
      <c r="AI281" s="20" t="s">
        <v>1327</v>
      </c>
      <c r="AJ281" s="20"/>
      <c r="AK281" s="20"/>
      <c r="AL281" s="20"/>
      <c r="AM281" s="20"/>
      <c r="AN281" s="35" t="s">
        <v>783</v>
      </c>
      <c r="AO281" s="20"/>
      <c r="AP281" s="20"/>
      <c r="AQ281" s="45"/>
      <c r="AR281" s="20" t="s">
        <v>1309</v>
      </c>
      <c r="AS281" s="20" t="s">
        <v>1167</v>
      </c>
      <c r="AT281" s="40" t="s">
        <v>1309</v>
      </c>
      <c r="AU281" s="48"/>
      <c r="AV281" s="20"/>
      <c r="AW281" s="45"/>
      <c r="AX281" s="20"/>
    </row>
    <row r="282" spans="2:50" ht="15.75" customHeight="1">
      <c r="B282" s="8">
        <v>279</v>
      </c>
      <c r="C282" s="20" t="s">
        <v>355</v>
      </c>
      <c r="D282" s="20" t="s">
        <v>355</v>
      </c>
      <c r="E282" s="8" t="s">
        <v>74</v>
      </c>
      <c r="F282" s="8" t="s">
        <v>75</v>
      </c>
      <c r="G282" s="19" t="s">
        <v>73</v>
      </c>
      <c r="H282" s="29" t="s">
        <v>76</v>
      </c>
      <c r="I282" s="20"/>
      <c r="J282" s="24">
        <v>30049011</v>
      </c>
      <c r="K282" s="11">
        <v>0.05</v>
      </c>
      <c r="L282" s="21">
        <v>210</v>
      </c>
      <c r="M282" s="22">
        <f t="shared" si="12"/>
        <v>184.8</v>
      </c>
      <c r="N282" s="23">
        <f t="shared" si="13"/>
        <v>25.199999999999989</v>
      </c>
      <c r="O282" s="26">
        <f t="shared" si="14"/>
        <v>0.11999999999999994</v>
      </c>
      <c r="P282" s="20"/>
      <c r="Q282" s="20" t="s">
        <v>859</v>
      </c>
      <c r="R282" s="20" t="s">
        <v>889</v>
      </c>
      <c r="S282" s="20"/>
      <c r="T282" s="30">
        <v>1</v>
      </c>
      <c r="U282" s="20" t="s">
        <v>627</v>
      </c>
      <c r="V282" s="20"/>
      <c r="W282" s="20" t="s">
        <v>932</v>
      </c>
      <c r="X282" s="43"/>
      <c r="Y282" s="20" t="s">
        <v>1166</v>
      </c>
      <c r="Z282" s="20" t="s">
        <v>1166</v>
      </c>
      <c r="AA282" s="20"/>
      <c r="AB282" s="20"/>
      <c r="AC282" s="20"/>
      <c r="AD282" s="20"/>
      <c r="AE282" s="20"/>
      <c r="AF282" s="20"/>
      <c r="AG282" s="20"/>
      <c r="AH282" s="20"/>
      <c r="AI282" s="20" t="s">
        <v>1327</v>
      </c>
      <c r="AJ282" s="20"/>
      <c r="AK282" s="20"/>
      <c r="AL282" s="20"/>
      <c r="AM282" s="20"/>
      <c r="AN282" s="37"/>
      <c r="AO282" s="20"/>
      <c r="AP282" s="20"/>
      <c r="AQ282" s="45"/>
      <c r="AR282" s="20" t="s">
        <v>1309</v>
      </c>
      <c r="AS282" s="20" t="s">
        <v>1166</v>
      </c>
      <c r="AT282" s="40" t="s">
        <v>1309</v>
      </c>
      <c r="AU282" s="48"/>
      <c r="AV282" s="20"/>
      <c r="AW282" s="45"/>
      <c r="AX282" s="20"/>
    </row>
    <row r="283" spans="2:50" ht="31.5" customHeight="1">
      <c r="B283" s="8">
        <v>280</v>
      </c>
      <c r="C283" s="20" t="s">
        <v>356</v>
      </c>
      <c r="D283" s="20" t="s">
        <v>356</v>
      </c>
      <c r="E283" s="8" t="s">
        <v>74</v>
      </c>
      <c r="F283" s="8" t="s">
        <v>75</v>
      </c>
      <c r="G283" s="19" t="s">
        <v>73</v>
      </c>
      <c r="H283" s="29" t="s">
        <v>76</v>
      </c>
      <c r="I283" s="20"/>
      <c r="J283" s="24">
        <v>30049099</v>
      </c>
      <c r="K283" s="11">
        <v>0.05</v>
      </c>
      <c r="L283" s="21">
        <v>182.81</v>
      </c>
      <c r="M283" s="22">
        <f t="shared" si="12"/>
        <v>160.87280000000001</v>
      </c>
      <c r="N283" s="23">
        <f t="shared" si="13"/>
        <v>21.93719999999999</v>
      </c>
      <c r="O283" s="26">
        <f t="shared" si="14"/>
        <v>0.11999999999999994</v>
      </c>
      <c r="P283" s="20"/>
      <c r="Q283" s="20" t="s">
        <v>859</v>
      </c>
      <c r="R283" s="20" t="s">
        <v>889</v>
      </c>
      <c r="S283" s="20"/>
      <c r="T283" s="30">
        <v>1</v>
      </c>
      <c r="U283" s="20" t="s">
        <v>627</v>
      </c>
      <c r="V283" s="20"/>
      <c r="W283" s="20" t="s">
        <v>932</v>
      </c>
      <c r="X283" s="43"/>
      <c r="Y283" s="20" t="s">
        <v>1165</v>
      </c>
      <c r="Z283" s="20" t="s">
        <v>1165</v>
      </c>
      <c r="AA283" s="20"/>
      <c r="AB283" s="20"/>
      <c r="AC283" s="20"/>
      <c r="AD283" s="20"/>
      <c r="AE283" s="20"/>
      <c r="AF283" s="20"/>
      <c r="AG283" s="20"/>
      <c r="AH283" s="20"/>
      <c r="AI283" s="20" t="s">
        <v>1327</v>
      </c>
      <c r="AJ283" s="20"/>
      <c r="AK283" s="20"/>
      <c r="AL283" s="20"/>
      <c r="AM283" s="20"/>
      <c r="AN283" s="35" t="s">
        <v>784</v>
      </c>
      <c r="AO283" s="20"/>
      <c r="AP283" s="20"/>
      <c r="AQ283" s="45"/>
      <c r="AR283" s="20" t="s">
        <v>1309</v>
      </c>
      <c r="AS283" s="20" t="s">
        <v>1165</v>
      </c>
      <c r="AT283" s="40" t="s">
        <v>1309</v>
      </c>
      <c r="AU283" s="48"/>
      <c r="AV283" s="20"/>
      <c r="AW283" s="45"/>
      <c r="AX283" s="20"/>
    </row>
    <row r="284" spans="2:50" ht="28.5" customHeight="1">
      <c r="B284" s="8">
        <v>281</v>
      </c>
      <c r="C284" s="20" t="s">
        <v>357</v>
      </c>
      <c r="D284" s="20" t="s">
        <v>357</v>
      </c>
      <c r="E284" s="8" t="s">
        <v>74</v>
      </c>
      <c r="F284" s="8" t="s">
        <v>75</v>
      </c>
      <c r="G284" s="19" t="s">
        <v>73</v>
      </c>
      <c r="H284" s="29" t="s">
        <v>76</v>
      </c>
      <c r="I284" s="20"/>
      <c r="J284" s="24">
        <v>30049099</v>
      </c>
      <c r="K284" s="11">
        <v>0.05</v>
      </c>
      <c r="L284" s="21">
        <v>1593.75</v>
      </c>
      <c r="M284" s="22">
        <f t="shared" si="12"/>
        <v>1402.5</v>
      </c>
      <c r="N284" s="23">
        <f t="shared" si="13"/>
        <v>191.25</v>
      </c>
      <c r="O284" s="26">
        <f t="shared" si="14"/>
        <v>0.12</v>
      </c>
      <c r="P284" s="20"/>
      <c r="Q284" s="20" t="s">
        <v>859</v>
      </c>
      <c r="R284" s="20" t="s">
        <v>889</v>
      </c>
      <c r="S284" s="20"/>
      <c r="T284" s="30">
        <v>1</v>
      </c>
      <c r="U284" s="20" t="s">
        <v>589</v>
      </c>
      <c r="V284" s="20"/>
      <c r="W284" s="20" t="s">
        <v>929</v>
      </c>
      <c r="X284" s="43"/>
      <c r="Y284" s="20" t="s">
        <v>1164</v>
      </c>
      <c r="Z284" s="20" t="s">
        <v>1164</v>
      </c>
      <c r="AA284" s="20"/>
      <c r="AB284" s="20"/>
      <c r="AC284" s="20"/>
      <c r="AD284" t="s">
        <v>1331</v>
      </c>
      <c r="AE284" s="20"/>
      <c r="AF284" s="20"/>
      <c r="AG284" s="20"/>
      <c r="AH284" s="20"/>
      <c r="AI284" s="20" t="s">
        <v>1327</v>
      </c>
      <c r="AJ284" s="20"/>
      <c r="AK284" s="20"/>
      <c r="AL284" s="20"/>
      <c r="AM284" s="20"/>
      <c r="AN284" s="35" t="s">
        <v>785</v>
      </c>
      <c r="AO284" s="20"/>
      <c r="AP284" s="20"/>
      <c r="AQ284" s="45"/>
      <c r="AR284" s="20" t="s">
        <v>1309</v>
      </c>
      <c r="AS284" s="20" t="s">
        <v>1164</v>
      </c>
      <c r="AT284" s="40" t="s">
        <v>1309</v>
      </c>
      <c r="AU284" s="48"/>
      <c r="AV284" s="20"/>
      <c r="AW284" s="45"/>
      <c r="AX284" s="20"/>
    </row>
    <row r="285" spans="2:50" ht="27" customHeight="1">
      <c r="B285" s="8">
        <v>282</v>
      </c>
      <c r="C285" s="20" t="s">
        <v>358</v>
      </c>
      <c r="D285" s="20" t="s">
        <v>358</v>
      </c>
      <c r="E285" s="8" t="s">
        <v>74</v>
      </c>
      <c r="F285" s="8" t="s">
        <v>75</v>
      </c>
      <c r="G285" s="19" t="s">
        <v>73</v>
      </c>
      <c r="H285" s="29" t="s">
        <v>76</v>
      </c>
      <c r="I285" s="20"/>
      <c r="J285" s="24">
        <v>30049099</v>
      </c>
      <c r="K285" s="11">
        <v>0.05</v>
      </c>
      <c r="L285" s="21">
        <v>1211.44</v>
      </c>
      <c r="M285" s="22">
        <f t="shared" si="12"/>
        <v>1066.0672</v>
      </c>
      <c r="N285" s="23">
        <f t="shared" si="13"/>
        <v>145.3728000000001</v>
      </c>
      <c r="O285" s="26">
        <f t="shared" si="14"/>
        <v>0.12000000000000008</v>
      </c>
      <c r="P285" s="20"/>
      <c r="Q285" s="20" t="s">
        <v>859</v>
      </c>
      <c r="R285" s="20" t="s">
        <v>889</v>
      </c>
      <c r="S285" s="20"/>
      <c r="T285" s="30">
        <v>1</v>
      </c>
      <c r="U285" s="20" t="s">
        <v>633</v>
      </c>
      <c r="V285" s="20"/>
      <c r="W285" s="20" t="s">
        <v>929</v>
      </c>
      <c r="X285" s="43"/>
      <c r="Y285" s="20" t="s">
        <v>1163</v>
      </c>
      <c r="Z285" s="20" t="s">
        <v>1163</v>
      </c>
      <c r="AA285" s="20"/>
      <c r="AB285" s="20"/>
      <c r="AC285" s="20"/>
      <c r="AD285" s="20"/>
      <c r="AE285" s="20"/>
      <c r="AF285" s="20"/>
      <c r="AG285" s="20"/>
      <c r="AH285" s="20"/>
      <c r="AI285" s="20" t="s">
        <v>1327</v>
      </c>
      <c r="AJ285" s="20"/>
      <c r="AK285" s="20"/>
      <c r="AL285" s="20"/>
      <c r="AM285" s="20"/>
      <c r="AN285" s="35" t="s">
        <v>786</v>
      </c>
      <c r="AO285" s="20"/>
      <c r="AP285" s="20"/>
      <c r="AQ285" s="45"/>
      <c r="AR285" s="20" t="s">
        <v>1309</v>
      </c>
      <c r="AS285" s="20" t="s">
        <v>1163</v>
      </c>
      <c r="AT285" s="40" t="s">
        <v>1309</v>
      </c>
      <c r="AU285" s="48"/>
      <c r="AV285" s="20"/>
      <c r="AW285" s="45"/>
      <c r="AX285" s="20"/>
    </row>
    <row r="286" spans="2:50" ht="29.25" customHeight="1">
      <c r="B286" s="8">
        <v>283</v>
      </c>
      <c r="C286" s="20" t="s">
        <v>359</v>
      </c>
      <c r="D286" s="20" t="s">
        <v>359</v>
      </c>
      <c r="E286" s="8" t="s">
        <v>74</v>
      </c>
      <c r="F286" s="8" t="s">
        <v>75</v>
      </c>
      <c r="G286" s="19" t="s">
        <v>73</v>
      </c>
      <c r="H286" s="29" t="s">
        <v>76</v>
      </c>
      <c r="I286" s="20"/>
      <c r="J286" s="24">
        <v>30045010</v>
      </c>
      <c r="K286" s="11">
        <v>0.05</v>
      </c>
      <c r="L286" s="21">
        <v>731.25</v>
      </c>
      <c r="M286" s="22">
        <f t="shared" si="12"/>
        <v>643.5</v>
      </c>
      <c r="N286" s="23">
        <f t="shared" si="13"/>
        <v>87.75</v>
      </c>
      <c r="O286" s="26">
        <f t="shared" si="14"/>
        <v>0.12</v>
      </c>
      <c r="P286" s="20"/>
      <c r="Q286" s="20" t="s">
        <v>859</v>
      </c>
      <c r="R286" s="20" t="s">
        <v>889</v>
      </c>
      <c r="S286" s="20"/>
      <c r="T286" s="30">
        <v>1</v>
      </c>
      <c r="U286" s="20" t="s">
        <v>589</v>
      </c>
      <c r="V286" s="20"/>
      <c r="W286" s="20" t="s">
        <v>929</v>
      </c>
      <c r="X286" s="43"/>
      <c r="Y286" s="40" t="s">
        <v>1162</v>
      </c>
      <c r="Z286" s="40" t="s">
        <v>1162</v>
      </c>
      <c r="AA286" s="20"/>
      <c r="AB286" s="20"/>
      <c r="AC286" s="20"/>
      <c r="AD286" t="s">
        <v>1331</v>
      </c>
      <c r="AE286" s="20"/>
      <c r="AF286" s="20"/>
      <c r="AG286" s="20"/>
      <c r="AH286" s="20"/>
      <c r="AI286" s="20" t="s">
        <v>1329</v>
      </c>
      <c r="AJ286" s="20"/>
      <c r="AK286" s="20"/>
      <c r="AL286" s="20"/>
      <c r="AM286" s="20"/>
      <c r="AN286" s="35" t="s">
        <v>788</v>
      </c>
      <c r="AO286" s="20"/>
      <c r="AP286" s="20"/>
      <c r="AQ286" s="45"/>
      <c r="AR286" s="20" t="s">
        <v>1306</v>
      </c>
      <c r="AS286" s="40" t="s">
        <v>1162</v>
      </c>
      <c r="AT286" s="40" t="s">
        <v>1306</v>
      </c>
      <c r="AU286" s="48"/>
      <c r="AV286" s="20"/>
      <c r="AW286" s="45"/>
      <c r="AX286" s="20"/>
    </row>
    <row r="287" spans="2:50" ht="32.25" customHeight="1">
      <c r="B287" s="8">
        <v>284</v>
      </c>
      <c r="C287" s="20" t="s">
        <v>360</v>
      </c>
      <c r="D287" s="20" t="s">
        <v>360</v>
      </c>
      <c r="E287" s="8" t="s">
        <v>74</v>
      </c>
      <c r="F287" s="8" t="s">
        <v>75</v>
      </c>
      <c r="G287" s="19" t="s">
        <v>73</v>
      </c>
      <c r="H287" s="29" t="s">
        <v>76</v>
      </c>
      <c r="I287" s="20"/>
      <c r="J287" s="24">
        <v>30045010</v>
      </c>
      <c r="K287" s="11">
        <v>0.05</v>
      </c>
      <c r="L287" s="21">
        <v>1453.13</v>
      </c>
      <c r="M287" s="22">
        <f t="shared" si="12"/>
        <v>1278.7544</v>
      </c>
      <c r="N287" s="23">
        <f t="shared" si="13"/>
        <v>174.37560000000008</v>
      </c>
      <c r="O287" s="26">
        <f t="shared" si="14"/>
        <v>0.12000000000000004</v>
      </c>
      <c r="P287" s="20"/>
      <c r="Q287" s="20" t="s">
        <v>859</v>
      </c>
      <c r="R287" s="20" t="s">
        <v>889</v>
      </c>
      <c r="S287" s="20"/>
      <c r="T287" s="30">
        <v>1</v>
      </c>
      <c r="U287" s="20" t="s">
        <v>589</v>
      </c>
      <c r="V287" s="20"/>
      <c r="W287" s="20" t="s">
        <v>929</v>
      </c>
      <c r="X287" s="43"/>
      <c r="Y287" s="40" t="s">
        <v>1161</v>
      </c>
      <c r="Z287" s="40" t="s">
        <v>1161</v>
      </c>
      <c r="AA287" s="20"/>
      <c r="AB287" s="20"/>
      <c r="AC287" s="20"/>
      <c r="AD287" t="s">
        <v>1331</v>
      </c>
      <c r="AE287" s="20"/>
      <c r="AF287" s="20"/>
      <c r="AG287" s="20"/>
      <c r="AH287" s="20"/>
      <c r="AI287" s="20" t="s">
        <v>1329</v>
      </c>
      <c r="AJ287" s="20"/>
      <c r="AK287" s="20"/>
      <c r="AL287" s="20"/>
      <c r="AM287" s="20"/>
      <c r="AN287" s="35" t="s">
        <v>787</v>
      </c>
      <c r="AO287" s="20"/>
      <c r="AP287" s="20"/>
      <c r="AQ287" s="45"/>
      <c r="AR287" s="20" t="s">
        <v>1306</v>
      </c>
      <c r="AS287" s="40" t="s">
        <v>1161</v>
      </c>
      <c r="AT287" s="40" t="s">
        <v>1306</v>
      </c>
      <c r="AU287" s="48"/>
      <c r="AV287" s="20"/>
      <c r="AW287" s="45"/>
      <c r="AX287" s="20"/>
    </row>
    <row r="288" spans="2:50" ht="30" customHeight="1">
      <c r="B288" s="8">
        <v>285</v>
      </c>
      <c r="C288" s="20" t="s">
        <v>361</v>
      </c>
      <c r="D288" s="20" t="s">
        <v>361</v>
      </c>
      <c r="E288" s="8" t="s">
        <v>74</v>
      </c>
      <c r="F288" s="8" t="s">
        <v>75</v>
      </c>
      <c r="G288" s="19" t="s">
        <v>73</v>
      </c>
      <c r="H288" s="29" t="s">
        <v>76</v>
      </c>
      <c r="I288" s="20"/>
      <c r="J288" s="24">
        <v>30066020</v>
      </c>
      <c r="K288" s="11">
        <v>0</v>
      </c>
      <c r="L288" s="21">
        <v>730</v>
      </c>
      <c r="M288" s="22">
        <f t="shared" si="12"/>
        <v>642.4</v>
      </c>
      <c r="N288" s="23">
        <f t="shared" si="13"/>
        <v>87.600000000000023</v>
      </c>
      <c r="O288" s="26">
        <f t="shared" si="14"/>
        <v>0.12000000000000004</v>
      </c>
      <c r="P288" s="20"/>
      <c r="Q288" s="20" t="s">
        <v>859</v>
      </c>
      <c r="R288" s="20" t="s">
        <v>889</v>
      </c>
      <c r="S288" s="20"/>
      <c r="T288" s="30">
        <v>1</v>
      </c>
      <c r="U288" s="20" t="s">
        <v>658</v>
      </c>
      <c r="V288" s="20"/>
      <c r="W288" s="20" t="s">
        <v>929</v>
      </c>
      <c r="X288" s="43"/>
      <c r="Y288" s="20" t="s">
        <v>1160</v>
      </c>
      <c r="Z288" s="20" t="s">
        <v>1160</v>
      </c>
      <c r="AA288" s="20"/>
      <c r="AB288" s="20"/>
      <c r="AC288" s="20"/>
      <c r="AD288" s="20"/>
      <c r="AE288" s="20"/>
      <c r="AF288" s="20"/>
      <c r="AG288" s="20"/>
      <c r="AH288" s="20"/>
      <c r="AI288" s="20" t="s">
        <v>1327</v>
      </c>
      <c r="AJ288" s="20"/>
      <c r="AK288" s="20"/>
      <c r="AL288" s="20"/>
      <c r="AM288" s="20"/>
      <c r="AN288" s="35" t="s">
        <v>789</v>
      </c>
      <c r="AO288" s="20"/>
      <c r="AP288" s="20"/>
      <c r="AQ288" s="45"/>
      <c r="AR288" s="20" t="s">
        <v>1309</v>
      </c>
      <c r="AS288" s="20" t="s">
        <v>1160</v>
      </c>
      <c r="AT288" s="40" t="s">
        <v>1309</v>
      </c>
      <c r="AU288" s="48"/>
      <c r="AV288" s="20"/>
      <c r="AW288" s="45"/>
      <c r="AX288" s="20"/>
    </row>
    <row r="289" spans="2:50" ht="29.25" customHeight="1">
      <c r="B289" s="8">
        <v>286</v>
      </c>
      <c r="C289" s="20" t="s">
        <v>362</v>
      </c>
      <c r="D289" s="20" t="s">
        <v>362</v>
      </c>
      <c r="E289" s="8" t="s">
        <v>74</v>
      </c>
      <c r="F289" s="8" t="s">
        <v>75</v>
      </c>
      <c r="G289" s="19" t="s">
        <v>73</v>
      </c>
      <c r="H289" s="29" t="s">
        <v>76</v>
      </c>
      <c r="I289" s="20"/>
      <c r="J289" s="24">
        <v>34011110</v>
      </c>
      <c r="K289" s="11">
        <v>0.05</v>
      </c>
      <c r="L289" s="21">
        <v>111.25</v>
      </c>
      <c r="M289" s="22">
        <f t="shared" si="12"/>
        <v>97.9</v>
      </c>
      <c r="N289" s="23">
        <f t="shared" si="13"/>
        <v>13.349999999999994</v>
      </c>
      <c r="O289" s="26">
        <f t="shared" si="14"/>
        <v>0.11999999999999995</v>
      </c>
      <c r="P289" s="20"/>
      <c r="Q289" s="20" t="s">
        <v>868</v>
      </c>
      <c r="R289" s="20" t="s">
        <v>890</v>
      </c>
      <c r="S289" s="20"/>
      <c r="T289" s="30">
        <v>1</v>
      </c>
      <c r="U289" s="20" t="s">
        <v>607</v>
      </c>
      <c r="V289" s="20"/>
      <c r="W289" s="20" t="s">
        <v>935</v>
      </c>
      <c r="X289" s="43"/>
      <c r="Y289" s="20" t="s">
        <v>1159</v>
      </c>
      <c r="Z289" s="20" t="s">
        <v>1159</v>
      </c>
      <c r="AA289" s="20"/>
      <c r="AB289" s="20"/>
      <c r="AC289" s="20"/>
      <c r="AD289" s="20"/>
      <c r="AE289" s="20"/>
      <c r="AF289" s="20"/>
      <c r="AG289" s="20"/>
      <c r="AH289" s="20"/>
      <c r="AI289" s="20" t="s">
        <v>1322</v>
      </c>
      <c r="AJ289" s="20"/>
      <c r="AK289" s="20"/>
      <c r="AL289" s="20"/>
      <c r="AM289" s="20"/>
      <c r="AN289" s="35" t="s">
        <v>790</v>
      </c>
      <c r="AO289" s="20"/>
      <c r="AP289" s="20"/>
      <c r="AQ289" s="45"/>
      <c r="AR289" s="20" t="s">
        <v>1309</v>
      </c>
      <c r="AS289" s="20" t="s">
        <v>1159</v>
      </c>
      <c r="AT289" s="40" t="s">
        <v>1309</v>
      </c>
      <c r="AU289" s="48"/>
      <c r="AV289" s="20"/>
      <c r="AW289" s="45"/>
      <c r="AX289" s="20"/>
    </row>
    <row r="290" spans="2:50" ht="27" customHeight="1">
      <c r="B290" s="8">
        <v>287</v>
      </c>
      <c r="C290" s="20" t="s">
        <v>363</v>
      </c>
      <c r="D290" s="20" t="s">
        <v>363</v>
      </c>
      <c r="E290" s="8" t="s">
        <v>74</v>
      </c>
      <c r="F290" s="8" t="s">
        <v>75</v>
      </c>
      <c r="G290" s="19" t="s">
        <v>73</v>
      </c>
      <c r="H290" s="29" t="s">
        <v>76</v>
      </c>
      <c r="I290" s="20"/>
      <c r="J290" s="24">
        <v>34011110</v>
      </c>
      <c r="K290" s="11">
        <v>0.05</v>
      </c>
      <c r="L290" s="21">
        <v>115.7</v>
      </c>
      <c r="M290" s="22">
        <f t="shared" si="12"/>
        <v>101.816</v>
      </c>
      <c r="N290" s="23">
        <f t="shared" si="13"/>
        <v>13.884</v>
      </c>
      <c r="O290" s="26">
        <f t="shared" si="14"/>
        <v>0.12</v>
      </c>
      <c r="P290" s="20"/>
      <c r="Q290" s="20" t="s">
        <v>868</v>
      </c>
      <c r="R290" s="20" t="s">
        <v>890</v>
      </c>
      <c r="S290" s="20"/>
      <c r="T290" s="30">
        <v>1</v>
      </c>
      <c r="U290" s="20" t="s">
        <v>607</v>
      </c>
      <c r="V290" s="20"/>
      <c r="W290" s="20" t="s">
        <v>935</v>
      </c>
      <c r="X290" s="43"/>
      <c r="Y290" s="20" t="s">
        <v>1158</v>
      </c>
      <c r="Z290" s="20" t="s">
        <v>1158</v>
      </c>
      <c r="AA290" s="20"/>
      <c r="AB290" s="20"/>
      <c r="AC290" s="20"/>
      <c r="AD290" s="20"/>
      <c r="AE290" s="20"/>
      <c r="AF290" s="20"/>
      <c r="AG290" s="20"/>
      <c r="AH290" s="20"/>
      <c r="AI290" s="20" t="s">
        <v>1322</v>
      </c>
      <c r="AJ290" s="20"/>
      <c r="AK290" s="20"/>
      <c r="AL290" s="20"/>
      <c r="AM290" s="20"/>
      <c r="AN290" s="35" t="s">
        <v>791</v>
      </c>
      <c r="AO290" s="20"/>
      <c r="AP290" s="20"/>
      <c r="AQ290" s="45"/>
      <c r="AR290" s="20" t="s">
        <v>1309</v>
      </c>
      <c r="AS290" s="20" t="s">
        <v>1158</v>
      </c>
      <c r="AT290" s="40" t="s">
        <v>1309</v>
      </c>
      <c r="AU290" s="48"/>
      <c r="AV290" s="20"/>
      <c r="AW290" s="45"/>
      <c r="AX290" s="20"/>
    </row>
    <row r="291" spans="2:50" ht="27" customHeight="1">
      <c r="B291" s="8">
        <v>288</v>
      </c>
      <c r="C291" s="20" t="s">
        <v>364</v>
      </c>
      <c r="D291" s="20" t="s">
        <v>364</v>
      </c>
      <c r="E291" s="8" t="s">
        <v>74</v>
      </c>
      <c r="F291" s="8" t="s">
        <v>75</v>
      </c>
      <c r="G291" s="19" t="s">
        <v>73</v>
      </c>
      <c r="H291" s="29" t="s">
        <v>76</v>
      </c>
      <c r="I291" s="20"/>
      <c r="J291" s="24">
        <v>30049099</v>
      </c>
      <c r="K291" s="11">
        <v>0.05</v>
      </c>
      <c r="L291" s="21">
        <v>350</v>
      </c>
      <c r="M291" s="22">
        <f t="shared" si="12"/>
        <v>308</v>
      </c>
      <c r="N291" s="23">
        <f t="shared" si="13"/>
        <v>42</v>
      </c>
      <c r="O291" s="26">
        <f t="shared" si="14"/>
        <v>0.12</v>
      </c>
      <c r="P291" s="20"/>
      <c r="Q291" s="20" t="s">
        <v>885</v>
      </c>
      <c r="R291" s="20" t="s">
        <v>889</v>
      </c>
      <c r="S291" s="20"/>
      <c r="T291" s="30">
        <v>1</v>
      </c>
      <c r="U291" s="20" t="s">
        <v>659</v>
      </c>
      <c r="V291" s="20"/>
      <c r="W291" s="20" t="s">
        <v>932</v>
      </c>
      <c r="X291" s="43"/>
      <c r="Y291" s="20" t="s">
        <v>1157</v>
      </c>
      <c r="Z291" s="20" t="s">
        <v>1157</v>
      </c>
      <c r="AA291" s="20"/>
      <c r="AB291" s="20"/>
      <c r="AC291" s="20"/>
      <c r="AD291" s="20"/>
      <c r="AE291" s="20"/>
      <c r="AF291" s="20"/>
      <c r="AG291" s="20"/>
      <c r="AH291" s="20"/>
      <c r="AI291" s="20" t="s">
        <v>1327</v>
      </c>
      <c r="AJ291" s="20"/>
      <c r="AK291" s="20"/>
      <c r="AL291" s="20"/>
      <c r="AM291" s="20"/>
      <c r="AN291" s="35" t="s">
        <v>792</v>
      </c>
      <c r="AO291" s="20"/>
      <c r="AP291" s="20"/>
      <c r="AQ291" s="45"/>
      <c r="AR291" s="20" t="s">
        <v>1309</v>
      </c>
      <c r="AS291" s="20" t="s">
        <v>1157</v>
      </c>
      <c r="AT291" s="40" t="s">
        <v>1309</v>
      </c>
      <c r="AU291" s="48"/>
      <c r="AV291" s="20"/>
      <c r="AW291" s="45"/>
      <c r="AX291" s="20"/>
    </row>
    <row r="292" spans="2:50" ht="31.5" customHeight="1">
      <c r="B292" s="8">
        <v>289</v>
      </c>
      <c r="C292" s="20" t="s">
        <v>365</v>
      </c>
      <c r="D292" s="20" t="s">
        <v>365</v>
      </c>
      <c r="E292" s="8" t="s">
        <v>74</v>
      </c>
      <c r="F292" s="8" t="s">
        <v>75</v>
      </c>
      <c r="G292" s="19" t="s">
        <v>73</v>
      </c>
      <c r="H292" s="29" t="s">
        <v>76</v>
      </c>
      <c r="I292" s="20"/>
      <c r="J292" s="24">
        <v>30049099</v>
      </c>
      <c r="K292" s="11">
        <v>0.05</v>
      </c>
      <c r="L292" s="21">
        <v>100.31</v>
      </c>
      <c r="M292" s="22">
        <f t="shared" si="12"/>
        <v>88.272800000000004</v>
      </c>
      <c r="N292" s="23">
        <f t="shared" si="13"/>
        <v>12.037199999999999</v>
      </c>
      <c r="O292" s="26">
        <f t="shared" si="14"/>
        <v>0.11999999999999998</v>
      </c>
      <c r="P292" s="20"/>
      <c r="Q292" s="20" t="s">
        <v>862</v>
      </c>
      <c r="R292" s="20" t="s">
        <v>889</v>
      </c>
      <c r="S292" s="20"/>
      <c r="T292" s="30">
        <v>1</v>
      </c>
      <c r="U292" s="20" t="s">
        <v>592</v>
      </c>
      <c r="V292" s="20"/>
      <c r="W292" s="20" t="s">
        <v>931</v>
      </c>
      <c r="X292" s="43"/>
      <c r="Y292" s="20" t="s">
        <v>1156</v>
      </c>
      <c r="Z292" s="20" t="s">
        <v>1156</v>
      </c>
      <c r="AA292" s="20"/>
      <c r="AB292" s="20"/>
      <c r="AC292" s="20"/>
      <c r="AD292" s="20"/>
      <c r="AE292" s="20"/>
      <c r="AF292" s="20"/>
      <c r="AG292" s="20"/>
      <c r="AH292" s="20"/>
      <c r="AI292" s="20" t="s">
        <v>1327</v>
      </c>
      <c r="AJ292" s="20"/>
      <c r="AK292" s="20"/>
      <c r="AL292" s="20"/>
      <c r="AM292" s="20"/>
      <c r="AN292" s="35" t="s">
        <v>793</v>
      </c>
      <c r="AO292" s="20"/>
      <c r="AP292" s="20"/>
      <c r="AQ292" s="45"/>
      <c r="AR292" s="20" t="s">
        <v>1309</v>
      </c>
      <c r="AS292" s="20" t="s">
        <v>1156</v>
      </c>
      <c r="AT292" s="40" t="s">
        <v>1309</v>
      </c>
      <c r="AU292" s="48"/>
      <c r="AV292" s="20"/>
      <c r="AW292" s="45"/>
      <c r="AX292" s="20"/>
    </row>
    <row r="293" spans="2:50" ht="35.25" customHeight="1">
      <c r="B293" s="8">
        <v>290</v>
      </c>
      <c r="C293" s="20" t="s">
        <v>366</v>
      </c>
      <c r="D293" s="20" t="s">
        <v>366</v>
      </c>
      <c r="E293" s="8" t="s">
        <v>74</v>
      </c>
      <c r="F293" s="8" t="s">
        <v>75</v>
      </c>
      <c r="G293" s="19" t="s">
        <v>73</v>
      </c>
      <c r="H293" s="29" t="s">
        <v>76</v>
      </c>
      <c r="I293" s="20"/>
      <c r="J293" s="24">
        <v>30041090</v>
      </c>
      <c r="K293" s="11">
        <v>0.05</v>
      </c>
      <c r="L293" s="21">
        <v>373.13</v>
      </c>
      <c r="M293" s="22">
        <f t="shared" si="12"/>
        <v>328.3544</v>
      </c>
      <c r="N293" s="23">
        <f t="shared" si="13"/>
        <v>44.775599999999997</v>
      </c>
      <c r="O293" s="26">
        <f t="shared" si="14"/>
        <v>0.12</v>
      </c>
      <c r="P293" s="20"/>
      <c r="Q293" s="20" t="s">
        <v>864</v>
      </c>
      <c r="R293" s="20" t="s">
        <v>891</v>
      </c>
      <c r="S293" s="20"/>
      <c r="T293" s="30">
        <v>1</v>
      </c>
      <c r="U293" s="20" t="s">
        <v>660</v>
      </c>
      <c r="V293" s="20"/>
      <c r="W293" s="20" t="s">
        <v>936</v>
      </c>
      <c r="X293" s="43"/>
      <c r="Y293" s="20" t="s">
        <v>1155</v>
      </c>
      <c r="Z293" s="20" t="s">
        <v>1155</v>
      </c>
      <c r="AA293" s="20"/>
      <c r="AB293" s="20"/>
      <c r="AC293" s="20"/>
      <c r="AD293" s="20"/>
      <c r="AE293" s="20"/>
      <c r="AF293" s="20"/>
      <c r="AG293" s="20"/>
      <c r="AH293" s="20"/>
      <c r="AI293" s="20" t="s">
        <v>1327</v>
      </c>
      <c r="AJ293" s="20"/>
      <c r="AK293" s="20"/>
      <c r="AL293" s="20"/>
      <c r="AM293" s="20"/>
      <c r="AN293" s="35" t="s">
        <v>794</v>
      </c>
      <c r="AO293" s="20"/>
      <c r="AP293" s="20"/>
      <c r="AQ293" s="45"/>
      <c r="AR293" s="20" t="s">
        <v>1312</v>
      </c>
      <c r="AS293" s="20" t="s">
        <v>1155</v>
      </c>
      <c r="AT293" s="40" t="s">
        <v>1312</v>
      </c>
      <c r="AU293" s="48"/>
      <c r="AV293" s="20"/>
      <c r="AW293" s="45"/>
      <c r="AX293" s="20"/>
    </row>
    <row r="294" spans="2:50" ht="28.5" customHeight="1">
      <c r="B294" s="8">
        <v>291</v>
      </c>
      <c r="C294" s="20" t="s">
        <v>367</v>
      </c>
      <c r="D294" s="20" t="s">
        <v>367</v>
      </c>
      <c r="E294" s="8" t="s">
        <v>74</v>
      </c>
      <c r="F294" s="8" t="s">
        <v>75</v>
      </c>
      <c r="G294" s="19" t="s">
        <v>73</v>
      </c>
      <c r="H294" s="29" t="s">
        <v>76</v>
      </c>
      <c r="I294" s="20"/>
      <c r="J294" s="24">
        <v>30049099</v>
      </c>
      <c r="K294" s="11">
        <v>0.05</v>
      </c>
      <c r="L294" s="21">
        <v>184</v>
      </c>
      <c r="M294" s="22">
        <f t="shared" si="12"/>
        <v>161.91999999999999</v>
      </c>
      <c r="N294" s="23">
        <f t="shared" si="13"/>
        <v>22.080000000000013</v>
      </c>
      <c r="O294" s="26">
        <f t="shared" si="14"/>
        <v>0.12000000000000006</v>
      </c>
      <c r="P294" s="20"/>
      <c r="Q294" s="20" t="s">
        <v>871</v>
      </c>
      <c r="R294" s="20" t="s">
        <v>890</v>
      </c>
      <c r="S294" s="20"/>
      <c r="T294" s="30">
        <v>1</v>
      </c>
      <c r="U294" s="20" t="s">
        <v>465</v>
      </c>
      <c r="V294" s="20"/>
      <c r="W294" s="20" t="s">
        <v>928</v>
      </c>
      <c r="X294" s="43"/>
      <c r="Y294" s="20" t="s">
        <v>1154</v>
      </c>
      <c r="Z294" s="20" t="s">
        <v>1154</v>
      </c>
      <c r="AA294" s="20"/>
      <c r="AB294" s="20"/>
      <c r="AC294" s="20"/>
      <c r="AD294" s="20"/>
      <c r="AE294" s="20"/>
      <c r="AF294" s="20"/>
      <c r="AG294" s="20"/>
      <c r="AH294" s="20"/>
      <c r="AI294" s="20" t="s">
        <v>1322</v>
      </c>
      <c r="AJ294" s="20"/>
      <c r="AK294" s="20"/>
      <c r="AL294" s="20"/>
      <c r="AM294" s="20"/>
      <c r="AN294" s="35" t="s">
        <v>795</v>
      </c>
      <c r="AO294" s="20"/>
      <c r="AP294" s="20"/>
      <c r="AQ294" s="45"/>
      <c r="AR294" s="20" t="s">
        <v>1309</v>
      </c>
      <c r="AS294" s="20" t="s">
        <v>1154</v>
      </c>
      <c r="AT294" s="40" t="s">
        <v>1309</v>
      </c>
      <c r="AU294" s="48"/>
      <c r="AV294" s="20"/>
      <c r="AW294" s="45"/>
      <c r="AX294" s="20"/>
    </row>
    <row r="295" spans="2:50" ht="29.25" customHeight="1">
      <c r="B295" s="8">
        <v>292</v>
      </c>
      <c r="C295" s="20" t="s">
        <v>368</v>
      </c>
      <c r="D295" s="20" t="s">
        <v>368</v>
      </c>
      <c r="E295" s="8" t="s">
        <v>74</v>
      </c>
      <c r="F295" s="8" t="s">
        <v>75</v>
      </c>
      <c r="G295" s="19" t="s">
        <v>73</v>
      </c>
      <c r="H295" s="29" t="s">
        <v>76</v>
      </c>
      <c r="I295" s="20"/>
      <c r="J295" s="24">
        <v>30049011</v>
      </c>
      <c r="K295" s="11">
        <v>0.05</v>
      </c>
      <c r="L295" s="21">
        <v>182.81</v>
      </c>
      <c r="M295" s="22">
        <f t="shared" si="12"/>
        <v>160.87280000000001</v>
      </c>
      <c r="N295" s="23">
        <f t="shared" si="13"/>
        <v>21.93719999999999</v>
      </c>
      <c r="O295" s="26">
        <f t="shared" si="14"/>
        <v>0.11999999999999994</v>
      </c>
      <c r="P295" s="20"/>
      <c r="Q295" s="20" t="s">
        <v>862</v>
      </c>
      <c r="R295" s="20" t="s">
        <v>889</v>
      </c>
      <c r="S295" s="20"/>
      <c r="T295" s="30">
        <v>1</v>
      </c>
      <c r="U295" s="20" t="s">
        <v>601</v>
      </c>
      <c r="V295" s="20"/>
      <c r="W295" s="20" t="s">
        <v>931</v>
      </c>
      <c r="X295" s="43"/>
      <c r="Y295" s="40" t="s">
        <v>1153</v>
      </c>
      <c r="Z295" s="40" t="s">
        <v>1153</v>
      </c>
      <c r="AA295" s="20"/>
      <c r="AB295" s="20"/>
      <c r="AC295" s="20"/>
      <c r="AD295" s="20"/>
      <c r="AE295" s="20"/>
      <c r="AF295" s="20"/>
      <c r="AG295" s="20"/>
      <c r="AH295" s="20"/>
      <c r="AI295" s="20" t="s">
        <v>1327</v>
      </c>
      <c r="AJ295" s="20"/>
      <c r="AK295" s="20"/>
      <c r="AL295" s="20"/>
      <c r="AM295" s="20"/>
      <c r="AN295" s="35" t="s">
        <v>796</v>
      </c>
      <c r="AO295" s="20"/>
      <c r="AP295" s="20"/>
      <c r="AQ295" s="45"/>
      <c r="AR295" s="20" t="s">
        <v>1309</v>
      </c>
      <c r="AS295" s="40" t="s">
        <v>1153</v>
      </c>
      <c r="AT295" s="40" t="s">
        <v>1309</v>
      </c>
      <c r="AU295" s="48"/>
      <c r="AV295" s="20"/>
      <c r="AW295" s="45"/>
      <c r="AX295" s="20"/>
    </row>
    <row r="296" spans="2:50" ht="27" customHeight="1">
      <c r="B296" s="8">
        <v>293</v>
      </c>
      <c r="C296" s="20" t="s">
        <v>369</v>
      </c>
      <c r="D296" s="20" t="s">
        <v>369</v>
      </c>
      <c r="E296" s="8" t="s">
        <v>74</v>
      </c>
      <c r="F296" s="8" t="s">
        <v>75</v>
      </c>
      <c r="G296" s="19" t="s">
        <v>73</v>
      </c>
      <c r="H296" s="29" t="s">
        <v>76</v>
      </c>
      <c r="I296" s="20"/>
      <c r="J296" s="24">
        <v>30039011</v>
      </c>
      <c r="K296" s="11">
        <v>0.05</v>
      </c>
      <c r="L296" s="21">
        <v>2109.38</v>
      </c>
      <c r="M296" s="22">
        <f t="shared" si="12"/>
        <v>1856.2544</v>
      </c>
      <c r="N296" s="23">
        <f t="shared" si="13"/>
        <v>253.12560000000008</v>
      </c>
      <c r="O296" s="26">
        <f t="shared" si="14"/>
        <v>0.12000000000000002</v>
      </c>
      <c r="P296" s="20"/>
      <c r="Q296" s="20" t="s">
        <v>859</v>
      </c>
      <c r="R296" s="20" t="s">
        <v>889</v>
      </c>
      <c r="S296" s="20"/>
      <c r="T296" s="30">
        <v>1</v>
      </c>
      <c r="U296" s="20" t="s">
        <v>597</v>
      </c>
      <c r="V296" s="20"/>
      <c r="W296" s="20" t="s">
        <v>929</v>
      </c>
      <c r="X296" s="43"/>
      <c r="Y296" s="40" t="s">
        <v>1152</v>
      </c>
      <c r="Z296" s="40" t="s">
        <v>1152</v>
      </c>
      <c r="AA296" s="20"/>
      <c r="AB296" s="20"/>
      <c r="AC296" s="20"/>
      <c r="AD296" s="20"/>
      <c r="AE296" s="20"/>
      <c r="AF296" s="20"/>
      <c r="AG296" s="20"/>
      <c r="AH296" s="20"/>
      <c r="AI296" s="20" t="s">
        <v>1327</v>
      </c>
      <c r="AJ296" s="20"/>
      <c r="AK296" s="20"/>
      <c r="AL296" s="20"/>
      <c r="AM296" s="20"/>
      <c r="AN296" s="35" t="s">
        <v>797</v>
      </c>
      <c r="AO296" s="20"/>
      <c r="AP296" s="20"/>
      <c r="AQ296" s="45"/>
      <c r="AR296" s="20" t="s">
        <v>1309</v>
      </c>
      <c r="AS296" s="40" t="s">
        <v>1152</v>
      </c>
      <c r="AT296" s="40" t="s">
        <v>1309</v>
      </c>
      <c r="AU296" s="48"/>
      <c r="AV296" s="20"/>
      <c r="AW296" s="45"/>
      <c r="AX296" s="20"/>
    </row>
    <row r="297" spans="2:50" ht="33" customHeight="1">
      <c r="B297" s="8">
        <v>294</v>
      </c>
      <c r="C297" s="20" t="s">
        <v>370</v>
      </c>
      <c r="D297" s="20" t="s">
        <v>370</v>
      </c>
      <c r="E297" s="8" t="s">
        <v>74</v>
      </c>
      <c r="F297" s="8" t="s">
        <v>75</v>
      </c>
      <c r="G297" s="19" t="s">
        <v>73</v>
      </c>
      <c r="H297" s="29" t="s">
        <v>76</v>
      </c>
      <c r="I297" s="20"/>
      <c r="J297" s="24">
        <v>30043912</v>
      </c>
      <c r="K297" s="11">
        <v>0.05</v>
      </c>
      <c r="L297" s="21">
        <v>1246.8800000000001</v>
      </c>
      <c r="M297" s="22">
        <f t="shared" si="12"/>
        <v>1097.2544</v>
      </c>
      <c r="N297" s="23">
        <f t="shared" si="13"/>
        <v>149.62560000000008</v>
      </c>
      <c r="O297" s="26">
        <f t="shared" si="14"/>
        <v>0.12000000000000005</v>
      </c>
      <c r="P297" s="20"/>
      <c r="Q297" s="20" t="s">
        <v>859</v>
      </c>
      <c r="R297" s="20" t="s">
        <v>889</v>
      </c>
      <c r="S297" s="20"/>
      <c r="T297" s="30">
        <v>1</v>
      </c>
      <c r="U297" s="20" t="s">
        <v>589</v>
      </c>
      <c r="V297" s="20"/>
      <c r="W297" s="20" t="s">
        <v>929</v>
      </c>
      <c r="X297" s="43"/>
      <c r="Y297" s="20" t="s">
        <v>1151</v>
      </c>
      <c r="Z297" s="20" t="s">
        <v>1151</v>
      </c>
      <c r="AA297" s="20"/>
      <c r="AB297" s="20"/>
      <c r="AC297" s="20"/>
      <c r="AD297" t="s">
        <v>1331</v>
      </c>
      <c r="AE297" s="20"/>
      <c r="AF297" s="20"/>
      <c r="AG297" s="20"/>
      <c r="AH297" s="20"/>
      <c r="AI297" s="20" t="s">
        <v>1327</v>
      </c>
      <c r="AJ297" s="20"/>
      <c r="AK297" s="20"/>
      <c r="AL297" s="20"/>
      <c r="AM297" s="20"/>
      <c r="AN297" s="35" t="s">
        <v>798</v>
      </c>
      <c r="AO297" s="20"/>
      <c r="AP297" s="20"/>
      <c r="AQ297" s="45"/>
      <c r="AR297" s="20" t="s">
        <v>1309</v>
      </c>
      <c r="AS297" s="20" t="s">
        <v>1151</v>
      </c>
      <c r="AT297" s="40" t="s">
        <v>1309</v>
      </c>
      <c r="AU297" s="48"/>
      <c r="AV297" s="20"/>
      <c r="AW297" s="45"/>
      <c r="AX297" s="20"/>
    </row>
    <row r="298" spans="2:50" ht="28.5" customHeight="1">
      <c r="B298" s="8">
        <v>295</v>
      </c>
      <c r="C298" s="20" t="s">
        <v>371</v>
      </c>
      <c r="D298" s="20" t="s">
        <v>371</v>
      </c>
      <c r="E298" s="8" t="s">
        <v>74</v>
      </c>
      <c r="F298" s="8" t="s">
        <v>75</v>
      </c>
      <c r="G298" s="19" t="s">
        <v>73</v>
      </c>
      <c r="H298" s="29" t="s">
        <v>76</v>
      </c>
      <c r="I298" s="20"/>
      <c r="J298" s="24">
        <v>30049099</v>
      </c>
      <c r="K298" s="11">
        <v>0.05</v>
      </c>
      <c r="L298" s="21">
        <v>543.75</v>
      </c>
      <c r="M298" s="22">
        <f t="shared" si="12"/>
        <v>478.5</v>
      </c>
      <c r="N298" s="23">
        <f t="shared" si="13"/>
        <v>65.25</v>
      </c>
      <c r="O298" s="26">
        <f t="shared" si="14"/>
        <v>0.12</v>
      </c>
      <c r="P298" s="20"/>
      <c r="Q298" s="20" t="s">
        <v>859</v>
      </c>
      <c r="R298" s="20" t="s">
        <v>889</v>
      </c>
      <c r="S298" s="20"/>
      <c r="T298" s="30">
        <v>1</v>
      </c>
      <c r="U298" s="20" t="s">
        <v>589</v>
      </c>
      <c r="V298" s="20"/>
      <c r="W298" s="20" t="s">
        <v>929</v>
      </c>
      <c r="X298" s="43"/>
      <c r="Y298" s="20" t="s">
        <v>1150</v>
      </c>
      <c r="Z298" s="20" t="s">
        <v>1150</v>
      </c>
      <c r="AA298" s="20"/>
      <c r="AB298" s="20"/>
      <c r="AC298" s="20"/>
      <c r="AD298" t="s">
        <v>1331</v>
      </c>
      <c r="AE298" s="20"/>
      <c r="AF298" s="20"/>
      <c r="AG298" s="20"/>
      <c r="AH298" s="20"/>
      <c r="AI298" s="20" t="s">
        <v>1327</v>
      </c>
      <c r="AJ298" s="20"/>
      <c r="AK298" s="20"/>
      <c r="AL298" s="20"/>
      <c r="AM298" s="20"/>
      <c r="AN298" s="35" t="s">
        <v>799</v>
      </c>
      <c r="AO298" s="20"/>
      <c r="AP298" s="20"/>
      <c r="AQ298" s="45"/>
      <c r="AR298" s="20" t="s">
        <v>1309</v>
      </c>
      <c r="AS298" s="20" t="s">
        <v>1150</v>
      </c>
      <c r="AT298" s="40" t="s">
        <v>1309</v>
      </c>
      <c r="AU298" s="48"/>
      <c r="AV298" s="20"/>
      <c r="AW298" s="45"/>
      <c r="AX298" s="20"/>
    </row>
    <row r="299" spans="2:50" ht="32.25" customHeight="1">
      <c r="B299" s="8">
        <v>296</v>
      </c>
      <c r="C299" s="20" t="s">
        <v>372</v>
      </c>
      <c r="D299" s="20" t="s">
        <v>372</v>
      </c>
      <c r="E299" s="8" t="s">
        <v>74</v>
      </c>
      <c r="F299" s="8" t="s">
        <v>75</v>
      </c>
      <c r="G299" s="19" t="s">
        <v>73</v>
      </c>
      <c r="H299" s="29" t="s">
        <v>76</v>
      </c>
      <c r="I299" s="20"/>
      <c r="J299" s="24">
        <v>30043912</v>
      </c>
      <c r="K299" s="11">
        <v>0.05</v>
      </c>
      <c r="L299" s="21">
        <v>712.5</v>
      </c>
      <c r="M299" s="22">
        <f t="shared" si="12"/>
        <v>627</v>
      </c>
      <c r="N299" s="23">
        <f t="shared" si="13"/>
        <v>85.5</v>
      </c>
      <c r="O299" s="26">
        <f t="shared" si="14"/>
        <v>0.12</v>
      </c>
      <c r="P299" s="20"/>
      <c r="Q299" s="20" t="s">
        <v>859</v>
      </c>
      <c r="R299" s="20" t="s">
        <v>889</v>
      </c>
      <c r="S299" s="20"/>
      <c r="T299" s="30">
        <v>1</v>
      </c>
      <c r="U299" s="20" t="s">
        <v>589</v>
      </c>
      <c r="V299" s="20"/>
      <c r="W299" s="20" t="s">
        <v>929</v>
      </c>
      <c r="X299" s="43"/>
      <c r="Y299" s="20" t="s">
        <v>1149</v>
      </c>
      <c r="Z299" s="20" t="s">
        <v>1149</v>
      </c>
      <c r="AA299" s="20"/>
      <c r="AB299" s="20"/>
      <c r="AC299" s="20"/>
      <c r="AD299" t="s">
        <v>1331</v>
      </c>
      <c r="AE299" s="20"/>
      <c r="AF299" s="20"/>
      <c r="AG299" s="20"/>
      <c r="AH299" s="20"/>
      <c r="AI299" s="20" t="s">
        <v>1327</v>
      </c>
      <c r="AJ299" s="20"/>
      <c r="AK299" s="20"/>
      <c r="AL299" s="20"/>
      <c r="AM299" s="20"/>
      <c r="AN299" s="35" t="s">
        <v>800</v>
      </c>
      <c r="AO299" s="20"/>
      <c r="AP299" s="20"/>
      <c r="AQ299" s="45"/>
      <c r="AR299" s="20" t="s">
        <v>1309</v>
      </c>
      <c r="AS299" s="20" t="s">
        <v>1149</v>
      </c>
      <c r="AT299" s="40" t="s">
        <v>1309</v>
      </c>
      <c r="AU299" s="48"/>
      <c r="AV299" s="20"/>
      <c r="AW299" s="45"/>
      <c r="AX299" s="20"/>
    </row>
    <row r="300" spans="2:50" ht="27.75" customHeight="1">
      <c r="B300" s="8">
        <v>297</v>
      </c>
      <c r="C300" s="20" t="s">
        <v>373</v>
      </c>
      <c r="D300" s="20" t="s">
        <v>373</v>
      </c>
      <c r="E300" s="8" t="s">
        <v>74</v>
      </c>
      <c r="F300" s="8" t="s">
        <v>75</v>
      </c>
      <c r="G300" s="19" t="s">
        <v>73</v>
      </c>
      <c r="H300" s="29" t="s">
        <v>76</v>
      </c>
      <c r="I300" s="20"/>
      <c r="J300" s="24">
        <v>30049069</v>
      </c>
      <c r="K300" s="11">
        <v>0.05</v>
      </c>
      <c r="L300" s="21">
        <v>104.07</v>
      </c>
      <c r="M300" s="22">
        <f t="shared" si="12"/>
        <v>91.581599999999995</v>
      </c>
      <c r="N300" s="23">
        <f t="shared" si="13"/>
        <v>12.488399999999999</v>
      </c>
      <c r="O300" s="26">
        <f t="shared" si="14"/>
        <v>0.12</v>
      </c>
      <c r="P300" s="20"/>
      <c r="Q300" s="20" t="s">
        <v>864</v>
      </c>
      <c r="R300" s="20" t="s">
        <v>891</v>
      </c>
      <c r="S300" s="20"/>
      <c r="T300" s="30">
        <v>1</v>
      </c>
      <c r="U300" s="20" t="s">
        <v>661</v>
      </c>
      <c r="V300" s="20"/>
      <c r="W300" s="20" t="s">
        <v>936</v>
      </c>
      <c r="X300" s="43"/>
      <c r="Y300" s="20" t="s">
        <v>1148</v>
      </c>
      <c r="Z300" s="20" t="s">
        <v>1148</v>
      </c>
      <c r="AA300" s="20"/>
      <c r="AB300" s="20"/>
      <c r="AC300" s="20"/>
      <c r="AD300" s="20"/>
      <c r="AE300" s="20"/>
      <c r="AF300" s="20"/>
      <c r="AG300" s="20"/>
      <c r="AH300" s="20"/>
      <c r="AI300" s="20" t="s">
        <v>1327</v>
      </c>
      <c r="AJ300" s="20"/>
      <c r="AK300" s="20"/>
      <c r="AL300" s="20"/>
      <c r="AM300" s="20"/>
      <c r="AN300" s="35" t="s">
        <v>801</v>
      </c>
      <c r="AO300" s="20"/>
      <c r="AP300" s="20"/>
      <c r="AQ300" s="45"/>
      <c r="AR300" s="20" t="s">
        <v>1309</v>
      </c>
      <c r="AS300" s="20" t="s">
        <v>1148</v>
      </c>
      <c r="AT300" s="40" t="s">
        <v>1309</v>
      </c>
      <c r="AU300" s="48"/>
      <c r="AV300" s="20"/>
      <c r="AW300" s="45"/>
      <c r="AX300" s="20"/>
    </row>
    <row r="301" spans="2:50" ht="31.5" customHeight="1">
      <c r="B301" s="8">
        <v>298</v>
      </c>
      <c r="C301" s="20" t="s">
        <v>374</v>
      </c>
      <c r="D301" s="20" t="s">
        <v>374</v>
      </c>
      <c r="E301" s="8" t="s">
        <v>74</v>
      </c>
      <c r="F301" s="8" t="s">
        <v>75</v>
      </c>
      <c r="G301" s="19" t="s">
        <v>73</v>
      </c>
      <c r="H301" s="29" t="s">
        <v>76</v>
      </c>
      <c r="I301" s="20"/>
      <c r="J301" s="24">
        <v>30049099</v>
      </c>
      <c r="K301" s="11">
        <v>0.05</v>
      </c>
      <c r="L301" s="21">
        <v>98.44</v>
      </c>
      <c r="M301" s="22">
        <f t="shared" si="12"/>
        <v>86.627200000000002</v>
      </c>
      <c r="N301" s="23">
        <f t="shared" si="13"/>
        <v>11.812799999999996</v>
      </c>
      <c r="O301" s="26">
        <f t="shared" si="14"/>
        <v>0.11999999999999995</v>
      </c>
      <c r="P301" s="20"/>
      <c r="Q301" s="20" t="s">
        <v>864</v>
      </c>
      <c r="R301" s="20" t="s">
        <v>891</v>
      </c>
      <c r="S301" s="20"/>
      <c r="T301" s="30">
        <v>1</v>
      </c>
      <c r="U301" s="20" t="s">
        <v>662</v>
      </c>
      <c r="V301" s="20"/>
      <c r="W301" s="20" t="s">
        <v>936</v>
      </c>
      <c r="X301" s="43"/>
      <c r="Y301" s="20" t="s">
        <v>1147</v>
      </c>
      <c r="Z301" s="20" t="s">
        <v>1147</v>
      </c>
      <c r="AA301" s="20"/>
      <c r="AB301" s="20"/>
      <c r="AC301" s="20"/>
      <c r="AD301" s="20"/>
      <c r="AE301" s="20"/>
      <c r="AF301" s="20"/>
      <c r="AG301" s="20"/>
      <c r="AH301" s="20"/>
      <c r="AI301" s="20" t="s">
        <v>1327</v>
      </c>
      <c r="AJ301" s="20"/>
      <c r="AK301" s="20"/>
      <c r="AL301" s="20"/>
      <c r="AM301" s="20"/>
      <c r="AN301" s="35" t="s">
        <v>802</v>
      </c>
      <c r="AO301" s="20"/>
      <c r="AP301" s="20"/>
      <c r="AQ301" s="45"/>
      <c r="AR301" s="20" t="s">
        <v>1309</v>
      </c>
      <c r="AS301" s="20" t="s">
        <v>1147</v>
      </c>
      <c r="AT301" s="40" t="s">
        <v>1309</v>
      </c>
      <c r="AU301" s="48"/>
      <c r="AV301" s="20"/>
      <c r="AW301" s="45"/>
      <c r="AX301" s="20"/>
    </row>
    <row r="302" spans="2:50" ht="15.75" customHeight="1">
      <c r="B302" s="8">
        <v>299</v>
      </c>
      <c r="C302" s="20" t="s">
        <v>375</v>
      </c>
      <c r="D302" s="20" t="s">
        <v>375</v>
      </c>
      <c r="E302" s="8" t="s">
        <v>74</v>
      </c>
      <c r="F302" s="8" t="s">
        <v>75</v>
      </c>
      <c r="G302" s="19" t="s">
        <v>73</v>
      </c>
      <c r="H302" s="29" t="s">
        <v>76</v>
      </c>
      <c r="I302" s="20"/>
      <c r="J302" s="24">
        <v>30049099</v>
      </c>
      <c r="K302" s="11">
        <v>0.05</v>
      </c>
      <c r="L302" s="21">
        <v>57.85</v>
      </c>
      <c r="M302" s="22">
        <f t="shared" si="12"/>
        <v>50.908000000000001</v>
      </c>
      <c r="N302" s="23">
        <f t="shared" si="13"/>
        <v>6.9420000000000002</v>
      </c>
      <c r="O302" s="26">
        <f t="shared" si="14"/>
        <v>0.12</v>
      </c>
      <c r="P302" s="20"/>
      <c r="Q302" s="20" t="s">
        <v>864</v>
      </c>
      <c r="R302" s="20" t="s">
        <v>891</v>
      </c>
      <c r="S302" s="20"/>
      <c r="T302" s="30">
        <v>1</v>
      </c>
      <c r="U302" s="20" t="s">
        <v>661</v>
      </c>
      <c r="V302" s="20"/>
      <c r="W302" s="20" t="s">
        <v>936</v>
      </c>
      <c r="X302" s="43"/>
      <c r="Y302" s="20" t="s">
        <v>1146</v>
      </c>
      <c r="Z302" s="20" t="s">
        <v>1146</v>
      </c>
      <c r="AA302" s="20"/>
      <c r="AB302" s="20"/>
      <c r="AC302" s="20"/>
      <c r="AD302" s="20"/>
      <c r="AE302" s="20"/>
      <c r="AF302" s="20"/>
      <c r="AG302" s="20"/>
      <c r="AH302" s="20"/>
      <c r="AI302" s="20" t="s">
        <v>1327</v>
      </c>
      <c r="AJ302" s="20"/>
      <c r="AK302" s="20"/>
      <c r="AL302" s="20"/>
      <c r="AM302" s="20"/>
      <c r="AN302" s="37"/>
      <c r="AO302" s="20"/>
      <c r="AP302" s="20"/>
      <c r="AQ302" s="45"/>
      <c r="AR302" s="20" t="s">
        <v>1309</v>
      </c>
      <c r="AS302" s="20" t="s">
        <v>1146</v>
      </c>
      <c r="AT302" s="40" t="s">
        <v>1309</v>
      </c>
      <c r="AU302" s="48"/>
      <c r="AV302" s="20"/>
      <c r="AW302" s="45"/>
      <c r="AX302" s="20"/>
    </row>
    <row r="303" spans="2:50" ht="15.75" customHeight="1">
      <c r="B303" s="8">
        <v>300</v>
      </c>
      <c r="C303" s="20" t="s">
        <v>376</v>
      </c>
      <c r="D303" s="20" t="s">
        <v>376</v>
      </c>
      <c r="E303" s="8" t="s">
        <v>74</v>
      </c>
      <c r="F303" s="8" t="s">
        <v>75</v>
      </c>
      <c r="G303" s="19" t="s">
        <v>73</v>
      </c>
      <c r="H303" s="29" t="s">
        <v>76</v>
      </c>
      <c r="I303" s="20"/>
      <c r="J303" s="24">
        <v>30049099</v>
      </c>
      <c r="K303" s="11">
        <v>0.05</v>
      </c>
      <c r="L303" s="21">
        <v>115.7</v>
      </c>
      <c r="M303" s="22">
        <f t="shared" si="12"/>
        <v>101.816</v>
      </c>
      <c r="N303" s="23">
        <f t="shared" si="13"/>
        <v>13.884</v>
      </c>
      <c r="O303" s="26">
        <f t="shared" si="14"/>
        <v>0.12</v>
      </c>
      <c r="P303" s="20"/>
      <c r="Q303" s="20" t="s">
        <v>864</v>
      </c>
      <c r="R303" s="20" t="s">
        <v>891</v>
      </c>
      <c r="S303" s="20"/>
      <c r="T303" s="30">
        <v>1</v>
      </c>
      <c r="U303" s="20" t="s">
        <v>661</v>
      </c>
      <c r="V303" s="20"/>
      <c r="W303" s="20" t="s">
        <v>936</v>
      </c>
      <c r="X303" s="43"/>
      <c r="Y303" s="20" t="s">
        <v>1145</v>
      </c>
      <c r="Z303" s="20" t="s">
        <v>1145</v>
      </c>
      <c r="AA303" s="20"/>
      <c r="AB303" s="20"/>
      <c r="AC303" s="20"/>
      <c r="AD303" s="20"/>
      <c r="AE303" s="20"/>
      <c r="AF303" s="20"/>
      <c r="AG303" s="20"/>
      <c r="AH303" s="20"/>
      <c r="AI303" s="20" t="s">
        <v>1327</v>
      </c>
      <c r="AJ303" s="20"/>
      <c r="AK303" s="20"/>
      <c r="AL303" s="20"/>
      <c r="AM303" s="20"/>
      <c r="AN303" s="37"/>
      <c r="AO303" s="20"/>
      <c r="AP303" s="20"/>
      <c r="AQ303" s="45"/>
      <c r="AR303" s="20" t="s">
        <v>1309</v>
      </c>
      <c r="AS303" s="20" t="s">
        <v>1145</v>
      </c>
      <c r="AT303" s="40" t="s">
        <v>1309</v>
      </c>
      <c r="AU303" s="48"/>
      <c r="AV303" s="20"/>
      <c r="AW303" s="45"/>
      <c r="AX303" s="20"/>
    </row>
    <row r="304" spans="2:50" ht="15.75" customHeight="1">
      <c r="B304" s="8">
        <v>301</v>
      </c>
      <c r="C304" s="20" t="s">
        <v>377</v>
      </c>
      <c r="D304" s="20" t="s">
        <v>377</v>
      </c>
      <c r="E304" s="8" t="s">
        <v>74</v>
      </c>
      <c r="F304" s="8" t="s">
        <v>75</v>
      </c>
      <c r="G304" s="19" t="s">
        <v>73</v>
      </c>
      <c r="H304" s="29" t="s">
        <v>76</v>
      </c>
      <c r="I304" s="20"/>
      <c r="J304" s="24">
        <v>30049099</v>
      </c>
      <c r="K304" s="11">
        <v>0.05</v>
      </c>
      <c r="L304" s="21">
        <v>115</v>
      </c>
      <c r="M304" s="22">
        <f t="shared" si="12"/>
        <v>101.2</v>
      </c>
      <c r="N304" s="23">
        <f t="shared" si="13"/>
        <v>13.799999999999997</v>
      </c>
      <c r="O304" s="26">
        <f t="shared" si="14"/>
        <v>0.11999999999999998</v>
      </c>
      <c r="P304" s="20"/>
      <c r="Q304" s="20" t="s">
        <v>864</v>
      </c>
      <c r="R304" s="20" t="s">
        <v>891</v>
      </c>
      <c r="S304" s="20"/>
      <c r="T304" s="30">
        <v>1</v>
      </c>
      <c r="U304" s="20" t="s">
        <v>661</v>
      </c>
      <c r="V304" s="20"/>
      <c r="W304" s="20" t="s">
        <v>936</v>
      </c>
      <c r="X304" s="43"/>
      <c r="Y304" s="20" t="s">
        <v>1144</v>
      </c>
      <c r="Z304" s="20" t="s">
        <v>1144</v>
      </c>
      <c r="AA304" s="20"/>
      <c r="AB304" s="20"/>
      <c r="AC304" s="20"/>
      <c r="AD304" s="20"/>
      <c r="AE304" s="20"/>
      <c r="AF304" s="20"/>
      <c r="AG304" s="20"/>
      <c r="AH304" s="20"/>
      <c r="AI304" s="20" t="s">
        <v>1327</v>
      </c>
      <c r="AJ304" s="20"/>
      <c r="AK304" s="20"/>
      <c r="AL304" s="20"/>
      <c r="AM304" s="20"/>
      <c r="AN304" s="37"/>
      <c r="AO304" s="20"/>
      <c r="AP304" s="20"/>
      <c r="AQ304" s="45"/>
      <c r="AR304" s="20" t="s">
        <v>1309</v>
      </c>
      <c r="AS304" s="20" t="s">
        <v>1144</v>
      </c>
      <c r="AT304" s="40" t="s">
        <v>1309</v>
      </c>
      <c r="AU304" s="48"/>
      <c r="AV304" s="20"/>
      <c r="AW304" s="45"/>
      <c r="AX304" s="20"/>
    </row>
    <row r="305" spans="2:50" ht="27.75" customHeight="1">
      <c r="B305" s="8">
        <v>302</v>
      </c>
      <c r="C305" s="20" t="s">
        <v>378</v>
      </c>
      <c r="D305" s="20" t="s">
        <v>378</v>
      </c>
      <c r="E305" s="8" t="s">
        <v>74</v>
      </c>
      <c r="F305" s="8" t="s">
        <v>75</v>
      </c>
      <c r="G305" s="19" t="s">
        <v>73</v>
      </c>
      <c r="H305" s="29" t="s">
        <v>76</v>
      </c>
      <c r="I305" s="20"/>
      <c r="J305" s="24">
        <v>30049059</v>
      </c>
      <c r="K305" s="11">
        <v>0.05</v>
      </c>
      <c r="L305" s="21">
        <v>477</v>
      </c>
      <c r="M305" s="22">
        <f t="shared" si="12"/>
        <v>419.76</v>
      </c>
      <c r="N305" s="23">
        <f t="shared" si="13"/>
        <v>57.240000000000009</v>
      </c>
      <c r="O305" s="26">
        <f t="shared" si="14"/>
        <v>0.12000000000000002</v>
      </c>
      <c r="P305" s="20"/>
      <c r="Q305" s="20" t="s">
        <v>864</v>
      </c>
      <c r="R305" s="20" t="s">
        <v>891</v>
      </c>
      <c r="S305" s="20"/>
      <c r="T305" s="30">
        <v>1</v>
      </c>
      <c r="U305" s="20" t="s">
        <v>663</v>
      </c>
      <c r="V305" s="20"/>
      <c r="W305" s="20" t="s">
        <v>936</v>
      </c>
      <c r="X305" s="43"/>
      <c r="Y305" s="20" t="s">
        <v>1143</v>
      </c>
      <c r="Z305" s="20" t="s">
        <v>1143</v>
      </c>
      <c r="AA305" s="20"/>
      <c r="AB305" s="20"/>
      <c r="AC305" s="20"/>
      <c r="AD305" s="20"/>
      <c r="AE305" s="20"/>
      <c r="AF305" s="20"/>
      <c r="AG305" s="20"/>
      <c r="AH305" s="20"/>
      <c r="AI305" s="20" t="s">
        <v>1327</v>
      </c>
      <c r="AJ305" s="20"/>
      <c r="AK305" s="20"/>
      <c r="AL305" s="20"/>
      <c r="AM305" s="20"/>
      <c r="AN305" s="35" t="s">
        <v>803</v>
      </c>
      <c r="AO305" s="20"/>
      <c r="AP305" s="20"/>
      <c r="AQ305" s="45"/>
      <c r="AR305" s="20" t="s">
        <v>1309</v>
      </c>
      <c r="AS305" s="20" t="s">
        <v>1143</v>
      </c>
      <c r="AT305" s="40" t="s">
        <v>1309</v>
      </c>
      <c r="AU305" s="48"/>
      <c r="AV305" s="20"/>
      <c r="AW305" s="45"/>
      <c r="AX305" s="20"/>
    </row>
    <row r="306" spans="2:50" ht="25.5" customHeight="1">
      <c r="B306" s="8">
        <v>303</v>
      </c>
      <c r="C306" s="20" t="s">
        <v>379</v>
      </c>
      <c r="D306" s="20" t="s">
        <v>379</v>
      </c>
      <c r="E306" s="8" t="s">
        <v>74</v>
      </c>
      <c r="F306" s="8" t="s">
        <v>75</v>
      </c>
      <c r="G306" s="19" t="s">
        <v>73</v>
      </c>
      <c r="H306" s="29" t="s">
        <v>76</v>
      </c>
      <c r="I306" s="20"/>
      <c r="J306" s="24">
        <v>30049059</v>
      </c>
      <c r="K306" s="11">
        <v>0.05</v>
      </c>
      <c r="L306" s="21">
        <v>254.82</v>
      </c>
      <c r="M306" s="22">
        <f t="shared" si="12"/>
        <v>224.24160000000001</v>
      </c>
      <c r="N306" s="23">
        <f t="shared" si="13"/>
        <v>30.578399999999988</v>
      </c>
      <c r="O306" s="26">
        <f t="shared" si="14"/>
        <v>0.11999999999999995</v>
      </c>
      <c r="P306" s="20"/>
      <c r="Q306" s="20" t="s">
        <v>864</v>
      </c>
      <c r="R306" s="20" t="s">
        <v>891</v>
      </c>
      <c r="S306" s="20"/>
      <c r="T306" s="30">
        <v>1</v>
      </c>
      <c r="U306" s="20" t="s">
        <v>664</v>
      </c>
      <c r="V306" s="20"/>
      <c r="W306" s="20" t="s">
        <v>936</v>
      </c>
      <c r="X306" s="43"/>
      <c r="Y306" s="20" t="s">
        <v>1142</v>
      </c>
      <c r="Z306" s="20" t="s">
        <v>1142</v>
      </c>
      <c r="AA306" s="20"/>
      <c r="AB306" s="20"/>
      <c r="AC306" s="20"/>
      <c r="AD306" s="20"/>
      <c r="AE306" s="20"/>
      <c r="AF306" s="20"/>
      <c r="AG306" s="20"/>
      <c r="AH306" s="20"/>
      <c r="AI306" s="20" t="s">
        <v>1327</v>
      </c>
      <c r="AJ306" s="20"/>
      <c r="AK306" s="20"/>
      <c r="AL306" s="20"/>
      <c r="AM306" s="20"/>
      <c r="AN306" s="35" t="s">
        <v>804</v>
      </c>
      <c r="AO306" s="20"/>
      <c r="AP306" s="20"/>
      <c r="AQ306" s="45"/>
      <c r="AR306" s="20" t="s">
        <v>1309</v>
      </c>
      <c r="AS306" s="20" t="s">
        <v>1142</v>
      </c>
      <c r="AT306" s="40" t="s">
        <v>1309</v>
      </c>
      <c r="AU306" s="48"/>
      <c r="AV306" s="20"/>
      <c r="AW306" s="45"/>
      <c r="AX306" s="20"/>
    </row>
    <row r="307" spans="2:50" ht="30.75" customHeight="1">
      <c r="B307" s="8">
        <v>304</v>
      </c>
      <c r="C307" s="20" t="s">
        <v>380</v>
      </c>
      <c r="D307" s="20" t="s">
        <v>380</v>
      </c>
      <c r="E307" s="8" t="s">
        <v>74</v>
      </c>
      <c r="F307" s="8" t="s">
        <v>75</v>
      </c>
      <c r="G307" s="19" t="s">
        <v>73</v>
      </c>
      <c r="H307" s="29" t="s">
        <v>76</v>
      </c>
      <c r="I307" s="20"/>
      <c r="J307" s="24">
        <v>30049099</v>
      </c>
      <c r="K307" s="11">
        <v>0.05</v>
      </c>
      <c r="L307" s="21">
        <v>45</v>
      </c>
      <c r="M307" s="22">
        <f t="shared" si="12"/>
        <v>39.6</v>
      </c>
      <c r="N307" s="23">
        <f t="shared" si="13"/>
        <v>5.3999999999999986</v>
      </c>
      <c r="O307" s="26">
        <f t="shared" si="14"/>
        <v>0.11999999999999997</v>
      </c>
      <c r="P307" s="20"/>
      <c r="Q307" s="20" t="s">
        <v>875</v>
      </c>
      <c r="R307" s="20" t="s">
        <v>889</v>
      </c>
      <c r="S307" s="20"/>
      <c r="T307" s="30">
        <v>1</v>
      </c>
      <c r="U307" s="20" t="s">
        <v>625</v>
      </c>
      <c r="V307" s="20"/>
      <c r="W307" s="20" t="s">
        <v>937</v>
      </c>
      <c r="X307" s="43"/>
      <c r="Y307" s="20" t="s">
        <v>1141</v>
      </c>
      <c r="Z307" s="20" t="s">
        <v>1141</v>
      </c>
      <c r="AA307" s="20"/>
      <c r="AB307" s="20"/>
      <c r="AC307" s="20"/>
      <c r="AD307" s="20"/>
      <c r="AE307" s="20"/>
      <c r="AF307" s="20"/>
      <c r="AG307" s="20"/>
      <c r="AH307" s="20"/>
      <c r="AI307" s="20" t="s">
        <v>1326</v>
      </c>
      <c r="AJ307" s="20"/>
      <c r="AK307" s="20"/>
      <c r="AL307" s="20"/>
      <c r="AM307" s="20"/>
      <c r="AN307" s="35" t="s">
        <v>805</v>
      </c>
      <c r="AO307" s="20"/>
      <c r="AP307" s="20"/>
      <c r="AQ307" s="45"/>
      <c r="AR307" s="20" t="s">
        <v>1308</v>
      </c>
      <c r="AS307" s="20" t="s">
        <v>1141</v>
      </c>
      <c r="AT307" s="40" t="s">
        <v>1308</v>
      </c>
      <c r="AU307" s="48"/>
      <c r="AV307" s="20"/>
      <c r="AW307" s="45"/>
      <c r="AX307" s="20"/>
    </row>
    <row r="308" spans="2:50" ht="33" customHeight="1">
      <c r="B308" s="8">
        <v>305</v>
      </c>
      <c r="C308" s="20" t="s">
        <v>381</v>
      </c>
      <c r="D308" s="20" t="s">
        <v>381</v>
      </c>
      <c r="E308" s="8" t="s">
        <v>74</v>
      </c>
      <c r="F308" s="8" t="s">
        <v>75</v>
      </c>
      <c r="G308" s="19" t="s">
        <v>73</v>
      </c>
      <c r="H308" s="29" t="s">
        <v>76</v>
      </c>
      <c r="I308" s="20"/>
      <c r="J308" s="24">
        <v>30049069</v>
      </c>
      <c r="K308" s="11">
        <v>0.05</v>
      </c>
      <c r="L308" s="21">
        <v>703.13</v>
      </c>
      <c r="M308" s="22">
        <f t="shared" si="12"/>
        <v>618.75440000000003</v>
      </c>
      <c r="N308" s="23">
        <f t="shared" si="13"/>
        <v>84.375599999999963</v>
      </c>
      <c r="O308" s="26">
        <f t="shared" si="14"/>
        <v>0.11999999999999995</v>
      </c>
      <c r="P308" s="20"/>
      <c r="Q308" s="20" t="s">
        <v>859</v>
      </c>
      <c r="R308" s="20" t="s">
        <v>889</v>
      </c>
      <c r="S308" s="20"/>
      <c r="T308" s="30">
        <v>1</v>
      </c>
      <c r="U308" s="20" t="s">
        <v>589</v>
      </c>
      <c r="V308" s="20"/>
      <c r="W308" s="20" t="s">
        <v>929</v>
      </c>
      <c r="X308" s="43"/>
      <c r="Y308" s="40" t="s">
        <v>1140</v>
      </c>
      <c r="Z308" s="40" t="s">
        <v>1140</v>
      </c>
      <c r="AA308" s="20"/>
      <c r="AB308" s="20"/>
      <c r="AC308" s="20"/>
      <c r="AD308" t="s">
        <v>1331</v>
      </c>
      <c r="AE308" s="20"/>
      <c r="AF308" s="20"/>
      <c r="AG308" s="20"/>
      <c r="AH308" s="20"/>
      <c r="AI308" s="20" t="s">
        <v>1326</v>
      </c>
      <c r="AJ308" s="20"/>
      <c r="AK308" s="20"/>
      <c r="AL308" s="20"/>
      <c r="AM308" s="20"/>
      <c r="AN308" s="35" t="s">
        <v>806</v>
      </c>
      <c r="AO308" s="20"/>
      <c r="AP308" s="20"/>
      <c r="AQ308" s="45"/>
      <c r="AR308" s="20" t="s">
        <v>1308</v>
      </c>
      <c r="AS308" s="40" t="s">
        <v>1140</v>
      </c>
      <c r="AT308" s="40" t="s">
        <v>1308</v>
      </c>
      <c r="AU308" s="48"/>
      <c r="AV308" s="20"/>
      <c r="AW308" s="45"/>
      <c r="AX308" s="20"/>
    </row>
    <row r="309" spans="2:50" ht="30.75" customHeight="1">
      <c r="B309" s="8">
        <v>306</v>
      </c>
      <c r="C309" s="20" t="s">
        <v>382</v>
      </c>
      <c r="D309" s="20" t="s">
        <v>382</v>
      </c>
      <c r="E309" s="8" t="s">
        <v>74</v>
      </c>
      <c r="F309" s="8" t="s">
        <v>75</v>
      </c>
      <c r="G309" s="19" t="s">
        <v>73</v>
      </c>
      <c r="H309" s="29" t="s">
        <v>76</v>
      </c>
      <c r="I309" s="20"/>
      <c r="J309" s="24">
        <v>30049099</v>
      </c>
      <c r="K309" s="11">
        <v>0.05</v>
      </c>
      <c r="L309" s="21">
        <v>42.21</v>
      </c>
      <c r="M309" s="22">
        <f t="shared" si="12"/>
        <v>37.144800000000004</v>
      </c>
      <c r="N309" s="23">
        <f t="shared" si="13"/>
        <v>5.0651999999999973</v>
      </c>
      <c r="O309" s="26">
        <f t="shared" si="14"/>
        <v>0.11999999999999993</v>
      </c>
      <c r="P309" s="20"/>
      <c r="Q309" s="20" t="s">
        <v>863</v>
      </c>
      <c r="R309" s="20" t="s">
        <v>889</v>
      </c>
      <c r="S309" s="20"/>
      <c r="T309" s="30">
        <v>1</v>
      </c>
      <c r="U309" s="20" t="s">
        <v>624</v>
      </c>
      <c r="V309" s="20"/>
      <c r="W309" s="20" t="s">
        <v>931</v>
      </c>
      <c r="X309" s="43"/>
      <c r="Y309" s="20" t="s">
        <v>1139</v>
      </c>
      <c r="Z309" s="20" t="s">
        <v>1139</v>
      </c>
      <c r="AA309" s="20"/>
      <c r="AB309" s="20"/>
      <c r="AC309" s="20"/>
      <c r="AD309" s="20"/>
      <c r="AE309" s="20"/>
      <c r="AF309" s="20"/>
      <c r="AG309" s="20"/>
      <c r="AH309" s="20"/>
      <c r="AI309" s="20" t="s">
        <v>1326</v>
      </c>
      <c r="AJ309" s="20"/>
      <c r="AK309" s="20"/>
      <c r="AL309" s="20"/>
      <c r="AM309" s="20"/>
      <c r="AN309" s="35" t="s">
        <v>807</v>
      </c>
      <c r="AO309" s="20"/>
      <c r="AP309" s="20"/>
      <c r="AQ309" s="45"/>
      <c r="AR309" s="20" t="s">
        <v>1308</v>
      </c>
      <c r="AS309" s="20" t="s">
        <v>1139</v>
      </c>
      <c r="AT309" s="40" t="s">
        <v>1308</v>
      </c>
      <c r="AU309" s="48"/>
      <c r="AV309" s="20"/>
      <c r="AW309" s="45"/>
      <c r="AX309" s="20"/>
    </row>
    <row r="310" spans="2:50" ht="15.75" customHeight="1">
      <c r="B310" s="8">
        <v>307</v>
      </c>
      <c r="C310" s="20" t="s">
        <v>383</v>
      </c>
      <c r="D310" s="20" t="s">
        <v>383</v>
      </c>
      <c r="E310" s="8" t="s">
        <v>74</v>
      </c>
      <c r="F310" s="8" t="s">
        <v>75</v>
      </c>
      <c r="G310" s="19" t="s">
        <v>73</v>
      </c>
      <c r="H310" s="29" t="s">
        <v>76</v>
      </c>
      <c r="I310" s="20"/>
      <c r="J310" s="24">
        <v>30049099</v>
      </c>
      <c r="K310" s="11">
        <v>0.05</v>
      </c>
      <c r="L310" s="21">
        <v>144.9</v>
      </c>
      <c r="M310" s="22">
        <f t="shared" si="12"/>
        <v>127.512</v>
      </c>
      <c r="N310" s="23">
        <f t="shared" si="13"/>
        <v>17.388000000000005</v>
      </c>
      <c r="O310" s="26">
        <f t="shared" si="14"/>
        <v>0.12000000000000004</v>
      </c>
      <c r="P310" s="20"/>
      <c r="Q310" s="20" t="s">
        <v>859</v>
      </c>
      <c r="R310" s="20" t="s">
        <v>889</v>
      </c>
      <c r="S310" s="20"/>
      <c r="T310" s="30">
        <v>1</v>
      </c>
      <c r="U310" s="20" t="s">
        <v>604</v>
      </c>
      <c r="V310" s="20"/>
      <c r="W310" s="20" t="s">
        <v>929</v>
      </c>
      <c r="X310" s="43"/>
      <c r="Y310" s="20" t="s">
        <v>1138</v>
      </c>
      <c r="Z310" s="20" t="s">
        <v>1138</v>
      </c>
      <c r="AA310" s="20"/>
      <c r="AB310" s="20"/>
      <c r="AC310" s="20"/>
      <c r="AD310" s="20"/>
      <c r="AE310" s="20"/>
      <c r="AF310" s="20"/>
      <c r="AG310" s="20"/>
      <c r="AH310" s="20"/>
      <c r="AI310" s="20" t="s">
        <v>1326</v>
      </c>
      <c r="AJ310" s="20"/>
      <c r="AK310" s="20"/>
      <c r="AL310" s="20"/>
      <c r="AM310" s="20"/>
      <c r="AN310" s="37"/>
      <c r="AO310" s="20"/>
      <c r="AP310" s="20"/>
      <c r="AQ310" s="45"/>
      <c r="AR310" s="20" t="s">
        <v>1308</v>
      </c>
      <c r="AS310" s="20" t="s">
        <v>1138</v>
      </c>
      <c r="AT310" s="40" t="s">
        <v>1308</v>
      </c>
      <c r="AU310" s="48"/>
      <c r="AV310" s="20"/>
      <c r="AW310" s="45"/>
      <c r="AX310" s="20"/>
    </row>
    <row r="311" spans="2:50" ht="33" customHeight="1">
      <c r="B311" s="8">
        <v>308</v>
      </c>
      <c r="C311" s="20" t="s">
        <v>384</v>
      </c>
      <c r="D311" s="20" t="s">
        <v>384</v>
      </c>
      <c r="E311" s="8" t="s">
        <v>74</v>
      </c>
      <c r="F311" s="8" t="s">
        <v>75</v>
      </c>
      <c r="G311" s="19" t="s">
        <v>73</v>
      </c>
      <c r="H311" s="29" t="s">
        <v>76</v>
      </c>
      <c r="I311" s="20"/>
      <c r="J311" s="24">
        <v>30049069</v>
      </c>
      <c r="K311" s="11">
        <v>0.05</v>
      </c>
      <c r="L311" s="21">
        <v>321.2</v>
      </c>
      <c r="M311" s="22">
        <f t="shared" si="12"/>
        <v>282.65600000000001</v>
      </c>
      <c r="N311" s="23">
        <f t="shared" si="13"/>
        <v>38.543999999999983</v>
      </c>
      <c r="O311" s="26">
        <f t="shared" si="14"/>
        <v>0.11999999999999995</v>
      </c>
      <c r="P311" s="20"/>
      <c r="Q311" s="20" t="s">
        <v>859</v>
      </c>
      <c r="R311" s="20" t="s">
        <v>889</v>
      </c>
      <c r="S311" s="20"/>
      <c r="T311" s="30">
        <v>1</v>
      </c>
      <c r="U311" s="20" t="s">
        <v>604</v>
      </c>
      <c r="V311" s="20"/>
      <c r="W311" s="20" t="s">
        <v>929</v>
      </c>
      <c r="X311" s="43"/>
      <c r="Y311" s="20" t="s">
        <v>1137</v>
      </c>
      <c r="Z311" s="20" t="s">
        <v>1137</v>
      </c>
      <c r="AA311" s="20"/>
      <c r="AB311" s="20"/>
      <c r="AC311" s="20"/>
      <c r="AD311" s="20"/>
      <c r="AE311" s="20"/>
      <c r="AF311" s="20"/>
      <c r="AG311" s="20"/>
      <c r="AH311" s="20"/>
      <c r="AI311" s="20" t="s">
        <v>1326</v>
      </c>
      <c r="AJ311" s="20"/>
      <c r="AK311" s="20"/>
      <c r="AL311" s="20"/>
      <c r="AM311" s="20"/>
      <c r="AN311" s="35" t="s">
        <v>808</v>
      </c>
      <c r="AO311" s="20"/>
      <c r="AP311" s="20"/>
      <c r="AQ311" s="45"/>
      <c r="AR311" s="20" t="s">
        <v>1308</v>
      </c>
      <c r="AS311" s="20" t="s">
        <v>1137</v>
      </c>
      <c r="AT311" s="40" t="s">
        <v>1308</v>
      </c>
      <c r="AU311" s="48"/>
      <c r="AV311" s="20"/>
      <c r="AW311" s="45"/>
      <c r="AX311" s="20"/>
    </row>
    <row r="312" spans="2:50" ht="15.75" customHeight="1">
      <c r="B312" s="8">
        <v>309</v>
      </c>
      <c r="C312" s="20" t="s">
        <v>385</v>
      </c>
      <c r="D312" s="20" t="s">
        <v>385</v>
      </c>
      <c r="E312" s="8" t="s">
        <v>74</v>
      </c>
      <c r="F312" s="8" t="s">
        <v>75</v>
      </c>
      <c r="G312" s="19" t="s">
        <v>73</v>
      </c>
      <c r="H312" s="29" t="s">
        <v>76</v>
      </c>
      <c r="I312" s="20"/>
      <c r="J312" s="24">
        <v>30049099</v>
      </c>
      <c r="K312" s="11">
        <v>0.05</v>
      </c>
      <c r="L312" s="21">
        <v>328.13</v>
      </c>
      <c r="M312" s="22">
        <f t="shared" si="12"/>
        <v>288.75439999999998</v>
      </c>
      <c r="N312" s="23">
        <f t="shared" si="13"/>
        <v>39.37560000000002</v>
      </c>
      <c r="O312" s="26">
        <f t="shared" si="14"/>
        <v>0.12000000000000006</v>
      </c>
      <c r="P312" s="20"/>
      <c r="Q312" s="20" t="s">
        <v>870</v>
      </c>
      <c r="R312" s="20" t="s">
        <v>891</v>
      </c>
      <c r="S312" s="20"/>
      <c r="T312" s="30">
        <v>1</v>
      </c>
      <c r="U312" s="20" t="s">
        <v>592</v>
      </c>
      <c r="V312" s="20"/>
      <c r="W312" s="20" t="s">
        <v>936</v>
      </c>
      <c r="X312" s="43"/>
      <c r="Y312" s="20" t="s">
        <v>1136</v>
      </c>
      <c r="Z312" s="20" t="s">
        <v>1136</v>
      </c>
      <c r="AA312" s="20"/>
      <c r="AB312" s="20"/>
      <c r="AC312" s="20"/>
      <c r="AD312" s="20"/>
      <c r="AE312" s="20"/>
      <c r="AF312" s="20"/>
      <c r="AG312" s="20"/>
      <c r="AH312" s="20"/>
      <c r="AI312" s="20" t="s">
        <v>1326</v>
      </c>
      <c r="AJ312" s="20"/>
      <c r="AK312" s="20"/>
      <c r="AL312" s="20"/>
      <c r="AM312" s="20"/>
      <c r="AN312" s="37"/>
      <c r="AO312" s="20"/>
      <c r="AP312" s="20"/>
      <c r="AQ312" s="45"/>
      <c r="AR312" s="20" t="s">
        <v>1308</v>
      </c>
      <c r="AS312" s="20" t="s">
        <v>1136</v>
      </c>
      <c r="AT312" s="40" t="s">
        <v>1308</v>
      </c>
      <c r="AU312" s="48"/>
      <c r="AV312" s="20"/>
      <c r="AW312" s="45"/>
      <c r="AX312" s="20"/>
    </row>
    <row r="313" spans="2:50" ht="28.5" customHeight="1">
      <c r="B313" s="8">
        <v>310</v>
      </c>
      <c r="C313" s="20" t="s">
        <v>386</v>
      </c>
      <c r="D313" s="20" t="s">
        <v>386</v>
      </c>
      <c r="E313" s="8" t="s">
        <v>74</v>
      </c>
      <c r="F313" s="8" t="s">
        <v>75</v>
      </c>
      <c r="G313" s="19" t="s">
        <v>73</v>
      </c>
      <c r="H313" s="29" t="s">
        <v>76</v>
      </c>
      <c r="I313" s="20"/>
      <c r="J313" s="24">
        <v>30042019</v>
      </c>
      <c r="K313" s="11">
        <v>0.05</v>
      </c>
      <c r="L313" s="21">
        <v>280.31</v>
      </c>
      <c r="M313" s="22">
        <f t="shared" si="12"/>
        <v>246.6728</v>
      </c>
      <c r="N313" s="23">
        <f t="shared" si="13"/>
        <v>33.637200000000007</v>
      </c>
      <c r="O313" s="26">
        <f t="shared" si="14"/>
        <v>0.12000000000000002</v>
      </c>
      <c r="P313" s="20"/>
      <c r="Q313" s="20" t="s">
        <v>864</v>
      </c>
      <c r="R313" s="20" t="s">
        <v>891</v>
      </c>
      <c r="S313" s="20"/>
      <c r="T313" s="30">
        <v>1</v>
      </c>
      <c r="U313" s="20" t="s">
        <v>655</v>
      </c>
      <c r="V313" s="20"/>
      <c r="W313" s="20" t="s">
        <v>936</v>
      </c>
      <c r="X313" s="43"/>
      <c r="Y313" s="20" t="s">
        <v>1135</v>
      </c>
      <c r="Z313" s="20" t="s">
        <v>1135</v>
      </c>
      <c r="AA313" s="20"/>
      <c r="AB313" s="20"/>
      <c r="AC313" s="20"/>
      <c r="AD313" s="20"/>
      <c r="AE313" s="20"/>
      <c r="AF313" s="20"/>
      <c r="AG313" s="20"/>
      <c r="AH313" s="20"/>
      <c r="AI313" s="20" t="s">
        <v>1327</v>
      </c>
      <c r="AJ313" s="20"/>
      <c r="AK313" s="20"/>
      <c r="AL313" s="20"/>
      <c r="AM313" s="20"/>
      <c r="AN313" s="35" t="s">
        <v>809</v>
      </c>
      <c r="AO313" s="20"/>
      <c r="AP313" s="20"/>
      <c r="AQ313" s="45"/>
      <c r="AR313" s="20" t="s">
        <v>1312</v>
      </c>
      <c r="AS313" s="20" t="s">
        <v>1135</v>
      </c>
      <c r="AT313" s="40" t="s">
        <v>1312</v>
      </c>
      <c r="AU313" s="48"/>
      <c r="AV313" s="20"/>
      <c r="AW313" s="45"/>
      <c r="AX313" s="20"/>
    </row>
    <row r="314" spans="2:50" ht="28.5" customHeight="1">
      <c r="B314" s="8">
        <v>311</v>
      </c>
      <c r="C314" s="20" t="s">
        <v>387</v>
      </c>
      <c r="D314" s="20" t="s">
        <v>387</v>
      </c>
      <c r="E314" s="8" t="s">
        <v>74</v>
      </c>
      <c r="F314" s="8" t="s">
        <v>75</v>
      </c>
      <c r="G314" s="19" t="s">
        <v>73</v>
      </c>
      <c r="H314" s="29" t="s">
        <v>76</v>
      </c>
      <c r="I314" s="20"/>
      <c r="J314" s="24">
        <v>30049099</v>
      </c>
      <c r="K314" s="11">
        <v>0.05</v>
      </c>
      <c r="L314" s="21">
        <v>2296</v>
      </c>
      <c r="M314" s="22">
        <f t="shared" si="12"/>
        <v>2020.48</v>
      </c>
      <c r="N314" s="23">
        <f t="shared" si="13"/>
        <v>275.52</v>
      </c>
      <c r="O314" s="26">
        <f t="shared" si="14"/>
        <v>0.12</v>
      </c>
      <c r="P314" s="20"/>
      <c r="Q314" s="20" t="s">
        <v>859</v>
      </c>
      <c r="R314" s="20" t="s">
        <v>889</v>
      </c>
      <c r="S314" s="20"/>
      <c r="T314" s="30">
        <v>1</v>
      </c>
      <c r="U314" s="20" t="s">
        <v>589</v>
      </c>
      <c r="V314" s="20"/>
      <c r="W314" s="20" t="s">
        <v>929</v>
      </c>
      <c r="X314" s="43"/>
      <c r="Y314" s="20" t="s">
        <v>1134</v>
      </c>
      <c r="Z314" s="20" t="s">
        <v>1134</v>
      </c>
      <c r="AA314" s="20"/>
      <c r="AB314" s="20"/>
      <c r="AC314" s="20"/>
      <c r="AD314" t="s">
        <v>1331</v>
      </c>
      <c r="AE314" s="20"/>
      <c r="AF314" s="20"/>
      <c r="AG314" s="20"/>
      <c r="AH314" s="20"/>
      <c r="AI314" s="20" t="s">
        <v>1326</v>
      </c>
      <c r="AJ314" s="20"/>
      <c r="AK314" s="20"/>
      <c r="AL314" s="20"/>
      <c r="AM314" s="20"/>
      <c r="AN314" s="35" t="s">
        <v>810</v>
      </c>
      <c r="AO314" s="20"/>
      <c r="AP314" s="20"/>
      <c r="AQ314" s="45"/>
      <c r="AR314" s="20" t="s">
        <v>1309</v>
      </c>
      <c r="AS314" s="20" t="s">
        <v>1134</v>
      </c>
      <c r="AT314" s="40" t="s">
        <v>1309</v>
      </c>
      <c r="AU314" s="48"/>
      <c r="AV314" s="20"/>
      <c r="AW314" s="45"/>
      <c r="AX314" s="20"/>
    </row>
    <row r="315" spans="2:50" ht="33.75" customHeight="1">
      <c r="B315" s="8">
        <v>312</v>
      </c>
      <c r="C315" s="20" t="s">
        <v>388</v>
      </c>
      <c r="D315" s="20" t="s">
        <v>388</v>
      </c>
      <c r="E315" s="8" t="s">
        <v>74</v>
      </c>
      <c r="F315" s="8" t="s">
        <v>75</v>
      </c>
      <c r="G315" s="19" t="s">
        <v>73</v>
      </c>
      <c r="H315" s="29" t="s">
        <v>76</v>
      </c>
      <c r="I315" s="20"/>
      <c r="J315" s="24">
        <v>30049084</v>
      </c>
      <c r="K315" s="11">
        <v>0.05</v>
      </c>
      <c r="L315" s="21">
        <v>2437</v>
      </c>
      <c r="M315" s="22">
        <f t="shared" si="12"/>
        <v>2144.56</v>
      </c>
      <c r="N315" s="23">
        <f t="shared" si="13"/>
        <v>292.44000000000005</v>
      </c>
      <c r="O315" s="26">
        <f t="shared" si="14"/>
        <v>0.12000000000000002</v>
      </c>
      <c r="P315" s="20"/>
      <c r="Q315" s="20" t="s">
        <v>859</v>
      </c>
      <c r="R315" s="20" t="s">
        <v>889</v>
      </c>
      <c r="S315" s="20"/>
      <c r="T315" s="30">
        <v>1</v>
      </c>
      <c r="U315" s="20" t="s">
        <v>589</v>
      </c>
      <c r="V315" s="20"/>
      <c r="W315" s="20" t="s">
        <v>929</v>
      </c>
      <c r="X315" s="43"/>
      <c r="Y315" s="40" t="s">
        <v>1133</v>
      </c>
      <c r="Z315" s="40" t="s">
        <v>1133</v>
      </c>
      <c r="AA315" s="20"/>
      <c r="AB315" s="20"/>
      <c r="AC315" s="20"/>
      <c r="AD315" t="s">
        <v>1331</v>
      </c>
      <c r="AE315" s="20"/>
      <c r="AF315" s="20"/>
      <c r="AG315" s="20"/>
      <c r="AH315" s="20"/>
      <c r="AI315" s="20" t="s">
        <v>1326</v>
      </c>
      <c r="AJ315" s="20"/>
      <c r="AK315" s="20"/>
      <c r="AL315" s="20"/>
      <c r="AM315" s="20"/>
      <c r="AN315" s="35" t="s">
        <v>811</v>
      </c>
      <c r="AO315" s="20"/>
      <c r="AP315" s="20"/>
      <c r="AQ315" s="45"/>
      <c r="AR315" s="20" t="s">
        <v>1308</v>
      </c>
      <c r="AS315" s="40" t="s">
        <v>1133</v>
      </c>
      <c r="AT315" s="40" t="s">
        <v>1308</v>
      </c>
      <c r="AU315" s="48"/>
      <c r="AV315" s="20"/>
      <c r="AW315" s="45"/>
      <c r="AX315" s="20"/>
    </row>
    <row r="316" spans="2:50" ht="27.75" customHeight="1">
      <c r="B316" s="8">
        <v>313</v>
      </c>
      <c r="C316" s="20" t="s">
        <v>389</v>
      </c>
      <c r="D316" s="20" t="s">
        <v>389</v>
      </c>
      <c r="E316" s="8" t="s">
        <v>74</v>
      </c>
      <c r="F316" s="8" t="s">
        <v>75</v>
      </c>
      <c r="G316" s="19" t="s">
        <v>73</v>
      </c>
      <c r="H316" s="29" t="s">
        <v>76</v>
      </c>
      <c r="I316" s="20"/>
      <c r="J316" s="24">
        <v>30049084</v>
      </c>
      <c r="K316" s="11">
        <v>0.05</v>
      </c>
      <c r="L316" s="21">
        <v>4500</v>
      </c>
      <c r="M316" s="22">
        <f t="shared" si="12"/>
        <v>3960</v>
      </c>
      <c r="N316" s="23">
        <f t="shared" si="13"/>
        <v>540</v>
      </c>
      <c r="O316" s="26">
        <f t="shared" si="14"/>
        <v>0.12</v>
      </c>
      <c r="P316" s="20"/>
      <c r="Q316" s="20" t="s">
        <v>859</v>
      </c>
      <c r="R316" s="20" t="s">
        <v>889</v>
      </c>
      <c r="S316" s="20"/>
      <c r="T316" s="30">
        <v>1</v>
      </c>
      <c r="U316" s="20" t="s">
        <v>597</v>
      </c>
      <c r="V316" s="20"/>
      <c r="W316" s="20" t="s">
        <v>929</v>
      </c>
      <c r="X316" s="43"/>
      <c r="Y316" s="20" t="s">
        <v>1132</v>
      </c>
      <c r="Z316" s="20" t="s">
        <v>1132</v>
      </c>
      <c r="AA316" s="20"/>
      <c r="AB316" s="20"/>
      <c r="AC316" s="20"/>
      <c r="AD316" s="20"/>
      <c r="AE316" s="20"/>
      <c r="AF316" s="20"/>
      <c r="AG316" s="20"/>
      <c r="AH316" s="20"/>
      <c r="AI316" s="20" t="s">
        <v>1326</v>
      </c>
      <c r="AJ316" s="20"/>
      <c r="AK316" s="20"/>
      <c r="AL316" s="20"/>
      <c r="AM316" s="20"/>
      <c r="AN316" s="35" t="s">
        <v>812</v>
      </c>
      <c r="AO316" s="20"/>
      <c r="AP316" s="20"/>
      <c r="AQ316" s="45"/>
      <c r="AR316" s="20" t="s">
        <v>1309</v>
      </c>
      <c r="AS316" s="20" t="s">
        <v>1132</v>
      </c>
      <c r="AT316" s="40" t="s">
        <v>1309</v>
      </c>
      <c r="AU316" s="48"/>
      <c r="AV316" s="20"/>
      <c r="AW316" s="45"/>
      <c r="AX316" s="20"/>
    </row>
    <row r="317" spans="2:50" ht="29.25" customHeight="1">
      <c r="B317" s="8">
        <v>314</v>
      </c>
      <c r="C317" s="20" t="s">
        <v>390</v>
      </c>
      <c r="D317" s="20" t="s">
        <v>390</v>
      </c>
      <c r="E317" s="8" t="s">
        <v>74</v>
      </c>
      <c r="F317" s="8" t="s">
        <v>75</v>
      </c>
      <c r="G317" s="19" t="s">
        <v>73</v>
      </c>
      <c r="H317" s="29" t="s">
        <v>76</v>
      </c>
      <c r="I317" s="20"/>
      <c r="J317" s="24">
        <v>30041030</v>
      </c>
      <c r="K317" s="11">
        <v>0.05</v>
      </c>
      <c r="L317" s="21">
        <v>64.89</v>
      </c>
      <c r="M317" s="22">
        <f t="shared" si="12"/>
        <v>57.103200000000001</v>
      </c>
      <c r="N317" s="23">
        <f t="shared" si="13"/>
        <v>7.7867999999999995</v>
      </c>
      <c r="O317" s="26">
        <f t="shared" si="14"/>
        <v>0.12</v>
      </c>
      <c r="P317" s="20"/>
      <c r="Q317" s="20" t="s">
        <v>873</v>
      </c>
      <c r="R317" s="20" t="s">
        <v>889</v>
      </c>
      <c r="S317" s="20"/>
      <c r="T317" s="30">
        <v>1</v>
      </c>
      <c r="U317" s="20" t="s">
        <v>591</v>
      </c>
      <c r="V317" s="20"/>
      <c r="W317" s="20" t="s">
        <v>937</v>
      </c>
      <c r="X317" s="43"/>
      <c r="Y317" s="40" t="s">
        <v>1131</v>
      </c>
      <c r="Z317" s="40" t="s">
        <v>1131</v>
      </c>
      <c r="AA317" s="20"/>
      <c r="AB317" s="20"/>
      <c r="AC317" s="20"/>
      <c r="AD317" s="20"/>
      <c r="AE317" s="20"/>
      <c r="AF317" s="20"/>
      <c r="AG317" s="20"/>
      <c r="AH317" s="20"/>
      <c r="AI317" s="20" t="s">
        <v>1325</v>
      </c>
      <c r="AJ317" s="20"/>
      <c r="AK317" s="20"/>
      <c r="AL317" s="20"/>
      <c r="AM317" s="20"/>
      <c r="AN317" s="35" t="s">
        <v>813</v>
      </c>
      <c r="AO317" s="20"/>
      <c r="AP317" s="20"/>
      <c r="AQ317" s="45"/>
      <c r="AR317" s="20" t="s">
        <v>1312</v>
      </c>
      <c r="AS317" s="40" t="s">
        <v>1131</v>
      </c>
      <c r="AT317" s="40" t="s">
        <v>1312</v>
      </c>
      <c r="AU317" s="48"/>
      <c r="AV317" s="20"/>
      <c r="AW317" s="45"/>
      <c r="AX317" s="20"/>
    </row>
    <row r="318" spans="2:50" ht="30.75" customHeight="1">
      <c r="B318" s="8">
        <v>315</v>
      </c>
      <c r="C318" s="20" t="s">
        <v>391</v>
      </c>
      <c r="D318" s="20" t="s">
        <v>391</v>
      </c>
      <c r="E318" s="8" t="s">
        <v>74</v>
      </c>
      <c r="F318" s="8" t="s">
        <v>75</v>
      </c>
      <c r="G318" s="19" t="s">
        <v>73</v>
      </c>
      <c r="H318" s="29" t="s">
        <v>76</v>
      </c>
      <c r="I318" s="20"/>
      <c r="J318" s="24">
        <v>30041030</v>
      </c>
      <c r="K318" s="11">
        <v>0.05</v>
      </c>
      <c r="L318" s="21">
        <v>5812.5</v>
      </c>
      <c r="M318" s="22">
        <f t="shared" si="12"/>
        <v>5115</v>
      </c>
      <c r="N318" s="23">
        <f t="shared" si="13"/>
        <v>697.5</v>
      </c>
      <c r="O318" s="26">
        <f t="shared" si="14"/>
        <v>0.12</v>
      </c>
      <c r="P318" s="20"/>
      <c r="Q318" s="20" t="s">
        <v>859</v>
      </c>
      <c r="R318" s="20" t="s">
        <v>889</v>
      </c>
      <c r="S318" s="20"/>
      <c r="T318" s="30">
        <v>1</v>
      </c>
      <c r="U318" s="20" t="s">
        <v>597</v>
      </c>
      <c r="V318" s="20"/>
      <c r="W318" s="20" t="s">
        <v>929</v>
      </c>
      <c r="X318" s="43"/>
      <c r="Y318" s="20" t="s">
        <v>1130</v>
      </c>
      <c r="Z318" s="20" t="s">
        <v>1130</v>
      </c>
      <c r="AA318" s="20"/>
      <c r="AB318" s="20"/>
      <c r="AC318" s="20"/>
      <c r="AD318" s="20"/>
      <c r="AE318" s="20"/>
      <c r="AF318" s="20"/>
      <c r="AG318" s="20"/>
      <c r="AH318" s="20"/>
      <c r="AI318" s="20" t="s">
        <v>1325</v>
      </c>
      <c r="AJ318" s="20"/>
      <c r="AK318" s="20"/>
      <c r="AL318" s="20"/>
      <c r="AM318" s="20"/>
      <c r="AN318" s="35" t="s">
        <v>814</v>
      </c>
      <c r="AO318" s="20"/>
      <c r="AP318" s="20"/>
      <c r="AQ318" s="45"/>
      <c r="AR318" s="20" t="s">
        <v>1312</v>
      </c>
      <c r="AS318" s="20" t="s">
        <v>1130</v>
      </c>
      <c r="AT318" s="40" t="s">
        <v>1312</v>
      </c>
      <c r="AU318" s="48"/>
      <c r="AV318" s="20"/>
      <c r="AW318" s="45"/>
      <c r="AX318" s="20"/>
    </row>
    <row r="319" spans="2:50" ht="30" customHeight="1">
      <c r="B319" s="8">
        <v>316</v>
      </c>
      <c r="C319" s="20" t="s">
        <v>392</v>
      </c>
      <c r="D319" s="20" t="s">
        <v>392</v>
      </c>
      <c r="E319" s="8" t="s">
        <v>74</v>
      </c>
      <c r="F319" s="8" t="s">
        <v>75</v>
      </c>
      <c r="G319" s="19" t="s">
        <v>73</v>
      </c>
      <c r="H319" s="29" t="s">
        <v>76</v>
      </c>
      <c r="I319" s="20"/>
      <c r="J319" s="24">
        <v>30041030</v>
      </c>
      <c r="K319" s="11">
        <v>0.05</v>
      </c>
      <c r="L319" s="21">
        <v>2296.88</v>
      </c>
      <c r="M319" s="22">
        <f t="shared" si="12"/>
        <v>2021.2544</v>
      </c>
      <c r="N319" s="23">
        <f t="shared" si="13"/>
        <v>275.62560000000008</v>
      </c>
      <c r="O319" s="26">
        <f t="shared" si="14"/>
        <v>0.12000000000000002</v>
      </c>
      <c r="P319" s="20"/>
      <c r="Q319" s="20" t="s">
        <v>859</v>
      </c>
      <c r="R319" s="20" t="s">
        <v>889</v>
      </c>
      <c r="S319" s="20"/>
      <c r="T319" s="30">
        <v>1</v>
      </c>
      <c r="U319" s="20" t="s">
        <v>589</v>
      </c>
      <c r="V319" s="20"/>
      <c r="W319" s="20" t="s">
        <v>929</v>
      </c>
      <c r="X319" s="43"/>
      <c r="Y319" s="20" t="s">
        <v>1129</v>
      </c>
      <c r="Z319" s="20" t="s">
        <v>1129</v>
      </c>
      <c r="AA319" s="20"/>
      <c r="AB319" s="20"/>
      <c r="AC319" s="20"/>
      <c r="AD319" t="s">
        <v>1331</v>
      </c>
      <c r="AE319" s="20"/>
      <c r="AF319" s="20"/>
      <c r="AG319" s="20"/>
      <c r="AH319" s="20"/>
      <c r="AI319" s="20" t="s">
        <v>1325</v>
      </c>
      <c r="AJ319" s="20"/>
      <c r="AK319" s="20"/>
      <c r="AL319" s="20"/>
      <c r="AM319" s="20"/>
      <c r="AN319" s="35" t="s">
        <v>815</v>
      </c>
      <c r="AO319" s="20"/>
      <c r="AP319" s="20"/>
      <c r="AQ319" s="45"/>
      <c r="AR319" s="20" t="s">
        <v>1312</v>
      </c>
      <c r="AS319" s="20" t="s">
        <v>1129</v>
      </c>
      <c r="AT319" s="40" t="s">
        <v>1312</v>
      </c>
      <c r="AU319" s="48"/>
      <c r="AV319" s="20"/>
      <c r="AW319" s="45"/>
      <c r="AX319" s="20"/>
    </row>
    <row r="320" spans="2:50" ht="15.75" customHeight="1">
      <c r="B320" s="8">
        <v>317</v>
      </c>
      <c r="C320" s="20" t="s">
        <v>393</v>
      </c>
      <c r="D320" s="20" t="s">
        <v>393</v>
      </c>
      <c r="E320" s="8" t="s">
        <v>74</v>
      </c>
      <c r="F320" s="8" t="s">
        <v>75</v>
      </c>
      <c r="G320" s="19" t="s">
        <v>73</v>
      </c>
      <c r="H320" s="29" t="s">
        <v>76</v>
      </c>
      <c r="I320" s="20"/>
      <c r="J320" s="24">
        <v>30041030</v>
      </c>
      <c r="K320" s="11">
        <v>0.05</v>
      </c>
      <c r="L320" s="21">
        <v>1955.1</v>
      </c>
      <c r="M320" s="22">
        <f t="shared" si="12"/>
        <v>1720.4879999999998</v>
      </c>
      <c r="N320" s="23">
        <f t="shared" si="13"/>
        <v>234.61200000000008</v>
      </c>
      <c r="O320" s="26">
        <f t="shared" si="14"/>
        <v>0.12000000000000005</v>
      </c>
      <c r="P320" s="20"/>
      <c r="Q320" s="20" t="s">
        <v>859</v>
      </c>
      <c r="R320" s="20" t="s">
        <v>889</v>
      </c>
      <c r="S320" s="20"/>
      <c r="T320" s="30">
        <v>1</v>
      </c>
      <c r="U320" s="20" t="s">
        <v>597</v>
      </c>
      <c r="V320" s="20"/>
      <c r="W320" s="20" t="s">
        <v>929</v>
      </c>
      <c r="X320" s="43"/>
      <c r="Y320" s="20" t="s">
        <v>1128</v>
      </c>
      <c r="Z320" s="20" t="s">
        <v>1128</v>
      </c>
      <c r="AA320" s="20"/>
      <c r="AB320" s="20"/>
      <c r="AC320" s="20"/>
      <c r="AD320" s="20"/>
      <c r="AE320" s="20"/>
      <c r="AF320" s="20"/>
      <c r="AG320" s="20"/>
      <c r="AH320" s="20"/>
      <c r="AI320" s="20" t="s">
        <v>1325</v>
      </c>
      <c r="AJ320" s="20"/>
      <c r="AK320" s="20"/>
      <c r="AL320" s="20"/>
      <c r="AM320" s="20"/>
      <c r="AN320" s="37"/>
      <c r="AO320" s="20"/>
      <c r="AP320" s="20"/>
      <c r="AQ320" s="45"/>
      <c r="AR320" s="20" t="s">
        <v>1312</v>
      </c>
      <c r="AS320" s="20" t="s">
        <v>1128</v>
      </c>
      <c r="AT320" s="40" t="s">
        <v>1312</v>
      </c>
      <c r="AU320" s="48"/>
      <c r="AV320" s="20"/>
      <c r="AW320" s="45"/>
      <c r="AX320" s="20"/>
    </row>
    <row r="321" spans="2:50" ht="15.75" customHeight="1">
      <c r="B321" s="8">
        <v>318</v>
      </c>
      <c r="C321" s="20" t="s">
        <v>394</v>
      </c>
      <c r="D321" s="20" t="s">
        <v>394</v>
      </c>
      <c r="E321" s="8" t="s">
        <v>74</v>
      </c>
      <c r="F321" s="8" t="s">
        <v>75</v>
      </c>
      <c r="G321" s="19" t="s">
        <v>73</v>
      </c>
      <c r="H321" s="29" t="s">
        <v>76</v>
      </c>
      <c r="I321" s="20"/>
      <c r="J321" s="24">
        <v>30041030</v>
      </c>
      <c r="K321" s="11">
        <v>0.05</v>
      </c>
      <c r="L321" s="21">
        <v>1173</v>
      </c>
      <c r="M321" s="22">
        <f t="shared" si="12"/>
        <v>1032.24</v>
      </c>
      <c r="N321" s="23">
        <f t="shared" si="13"/>
        <v>140.76</v>
      </c>
      <c r="O321" s="26">
        <f t="shared" si="14"/>
        <v>0.12</v>
      </c>
      <c r="P321" s="20"/>
      <c r="Q321" s="20" t="s">
        <v>859</v>
      </c>
      <c r="R321" s="20" t="s">
        <v>889</v>
      </c>
      <c r="S321" s="20"/>
      <c r="T321" s="30">
        <v>1</v>
      </c>
      <c r="U321" s="20" t="s">
        <v>621</v>
      </c>
      <c r="V321" s="20"/>
      <c r="W321" s="20" t="s">
        <v>929</v>
      </c>
      <c r="X321" s="43"/>
      <c r="Y321" s="20" t="s">
        <v>1128</v>
      </c>
      <c r="Z321" s="20" t="s">
        <v>1128</v>
      </c>
      <c r="AA321" s="20"/>
      <c r="AB321" s="20"/>
      <c r="AC321" s="20"/>
      <c r="AD321" s="20"/>
      <c r="AE321" s="20"/>
      <c r="AF321" s="20"/>
      <c r="AG321" s="20"/>
      <c r="AH321" s="20"/>
      <c r="AI321" s="20" t="s">
        <v>1325</v>
      </c>
      <c r="AJ321" s="20"/>
      <c r="AK321" s="20"/>
      <c r="AL321" s="20"/>
      <c r="AM321" s="20"/>
      <c r="AN321" s="37"/>
      <c r="AO321" s="20"/>
      <c r="AP321" s="20"/>
      <c r="AQ321" s="45"/>
      <c r="AR321" s="20" t="s">
        <v>1312</v>
      </c>
      <c r="AS321" s="20" t="s">
        <v>1128</v>
      </c>
      <c r="AT321" s="40" t="s">
        <v>1312</v>
      </c>
      <c r="AU321" s="48"/>
      <c r="AV321" s="20"/>
      <c r="AW321" s="45"/>
      <c r="AX321" s="20"/>
    </row>
    <row r="322" spans="2:50" ht="29.25" customHeight="1">
      <c r="B322" s="8">
        <v>319</v>
      </c>
      <c r="C322" s="20" t="s">
        <v>395</v>
      </c>
      <c r="D322" s="20" t="s">
        <v>395</v>
      </c>
      <c r="E322" s="8" t="s">
        <v>74</v>
      </c>
      <c r="F322" s="8" t="s">
        <v>75</v>
      </c>
      <c r="G322" s="19" t="s">
        <v>73</v>
      </c>
      <c r="H322" s="29" t="s">
        <v>76</v>
      </c>
      <c r="I322" s="20"/>
      <c r="J322" s="24">
        <v>30041030</v>
      </c>
      <c r="K322" s="11">
        <v>0.05</v>
      </c>
      <c r="L322" s="21">
        <v>1955.1</v>
      </c>
      <c r="M322" s="22">
        <f t="shared" si="12"/>
        <v>1720.4879999999998</v>
      </c>
      <c r="N322" s="23">
        <f t="shared" si="13"/>
        <v>234.61200000000008</v>
      </c>
      <c r="O322" s="26">
        <f t="shared" si="14"/>
        <v>0.12000000000000005</v>
      </c>
      <c r="P322" s="20"/>
      <c r="Q322" s="20" t="s">
        <v>859</v>
      </c>
      <c r="R322" s="20" t="s">
        <v>889</v>
      </c>
      <c r="S322" s="20"/>
      <c r="T322" s="30">
        <v>1</v>
      </c>
      <c r="U322" s="20" t="s">
        <v>589</v>
      </c>
      <c r="V322" s="20"/>
      <c r="W322" s="20" t="s">
        <v>929</v>
      </c>
      <c r="X322" s="43"/>
      <c r="Y322" s="20" t="s">
        <v>1128</v>
      </c>
      <c r="Z322" s="20" t="s">
        <v>1128</v>
      </c>
      <c r="AA322" s="20"/>
      <c r="AB322" s="20"/>
      <c r="AC322" s="20"/>
      <c r="AD322" t="s">
        <v>1331</v>
      </c>
      <c r="AE322" s="20"/>
      <c r="AF322" s="20"/>
      <c r="AG322" s="20"/>
      <c r="AH322" s="20"/>
      <c r="AI322" s="20" t="s">
        <v>1325</v>
      </c>
      <c r="AJ322" s="20"/>
      <c r="AK322" s="20"/>
      <c r="AL322" s="20"/>
      <c r="AM322" s="20"/>
      <c r="AN322" s="35" t="s">
        <v>816</v>
      </c>
      <c r="AO322" s="20"/>
      <c r="AP322" s="20"/>
      <c r="AQ322" s="45"/>
      <c r="AR322" s="20" t="s">
        <v>1312</v>
      </c>
      <c r="AS322" s="20" t="s">
        <v>1128</v>
      </c>
      <c r="AT322" s="40" t="s">
        <v>1312</v>
      </c>
      <c r="AU322" s="48"/>
      <c r="AV322" s="20"/>
      <c r="AW322" s="45"/>
      <c r="AX322" s="20"/>
    </row>
    <row r="323" spans="2:50" ht="33" customHeight="1">
      <c r="B323" s="8">
        <v>320</v>
      </c>
      <c r="C323" s="20" t="s">
        <v>396</v>
      </c>
      <c r="D323" s="20" t="s">
        <v>396</v>
      </c>
      <c r="E323" s="8" t="s">
        <v>74</v>
      </c>
      <c r="F323" s="8" t="s">
        <v>75</v>
      </c>
      <c r="G323" s="19" t="s">
        <v>73</v>
      </c>
      <c r="H323" s="29" t="s">
        <v>76</v>
      </c>
      <c r="I323" s="20"/>
      <c r="J323" s="24">
        <v>30041030</v>
      </c>
      <c r="K323" s="11">
        <v>0.05</v>
      </c>
      <c r="L323" s="21">
        <v>157.5</v>
      </c>
      <c r="M323" s="22">
        <f t="shared" si="12"/>
        <v>138.6</v>
      </c>
      <c r="N323" s="23">
        <f t="shared" si="13"/>
        <v>18.900000000000006</v>
      </c>
      <c r="O323" s="26">
        <f t="shared" si="14"/>
        <v>0.12000000000000004</v>
      </c>
      <c r="P323" s="20"/>
      <c r="Q323" s="20" t="s">
        <v>873</v>
      </c>
      <c r="R323" s="20" t="s">
        <v>889</v>
      </c>
      <c r="S323" s="20"/>
      <c r="T323" s="30">
        <v>1</v>
      </c>
      <c r="U323" s="20" t="s">
        <v>591</v>
      </c>
      <c r="V323" s="20"/>
      <c r="W323" s="20" t="s">
        <v>937</v>
      </c>
      <c r="X323" s="43"/>
      <c r="Y323" s="40" t="s">
        <v>1127</v>
      </c>
      <c r="Z323" s="40" t="s">
        <v>1127</v>
      </c>
      <c r="AA323" s="20"/>
      <c r="AB323" s="20"/>
      <c r="AC323" s="20"/>
      <c r="AD323" s="20"/>
      <c r="AE323" s="20"/>
      <c r="AF323" s="20"/>
      <c r="AG323" s="20"/>
      <c r="AH323" s="20"/>
      <c r="AI323" s="20" t="s">
        <v>1325</v>
      </c>
      <c r="AJ323" s="20"/>
      <c r="AK323" s="20"/>
      <c r="AL323" s="20"/>
      <c r="AM323" s="20"/>
      <c r="AN323" s="37"/>
      <c r="AO323" s="20"/>
      <c r="AP323" s="20"/>
      <c r="AQ323" s="45"/>
      <c r="AR323" s="20" t="s">
        <v>1312</v>
      </c>
      <c r="AS323" s="40" t="s">
        <v>1127</v>
      </c>
      <c r="AT323" s="40" t="s">
        <v>1312</v>
      </c>
      <c r="AU323" s="48"/>
      <c r="AV323" s="20"/>
      <c r="AW323" s="45"/>
      <c r="AX323" s="20"/>
    </row>
    <row r="324" spans="2:50" ht="27" customHeight="1">
      <c r="B324" s="8">
        <v>321</v>
      </c>
      <c r="C324" s="20" t="s">
        <v>397</v>
      </c>
      <c r="D324" s="20" t="s">
        <v>397</v>
      </c>
      <c r="E324" s="8" t="s">
        <v>74</v>
      </c>
      <c r="F324" s="8" t="s">
        <v>75</v>
      </c>
      <c r="G324" s="19" t="s">
        <v>73</v>
      </c>
      <c r="H324" s="29" t="s">
        <v>76</v>
      </c>
      <c r="I324" s="20"/>
      <c r="J324" s="24">
        <v>30041030</v>
      </c>
      <c r="K324" s="11">
        <v>0.05</v>
      </c>
      <c r="L324" s="21">
        <v>2530</v>
      </c>
      <c r="M324" s="22">
        <f t="shared" si="12"/>
        <v>2226.4</v>
      </c>
      <c r="N324" s="23">
        <f t="shared" si="13"/>
        <v>303.59999999999991</v>
      </c>
      <c r="O324" s="26">
        <f t="shared" si="14"/>
        <v>0.11999999999999997</v>
      </c>
      <c r="P324" s="20"/>
      <c r="Q324" s="20" t="s">
        <v>859</v>
      </c>
      <c r="R324" s="20" t="s">
        <v>889</v>
      </c>
      <c r="S324" s="20"/>
      <c r="T324" s="30">
        <v>1</v>
      </c>
      <c r="U324" s="20" t="s">
        <v>597</v>
      </c>
      <c r="V324" s="20"/>
      <c r="W324" s="20" t="s">
        <v>929</v>
      </c>
      <c r="X324" s="43"/>
      <c r="Y324" s="40" t="s">
        <v>1126</v>
      </c>
      <c r="Z324" s="40" t="s">
        <v>1126</v>
      </c>
      <c r="AA324" s="20"/>
      <c r="AB324" s="20"/>
      <c r="AC324" s="20"/>
      <c r="AD324" s="20"/>
      <c r="AE324" s="20"/>
      <c r="AF324" s="20"/>
      <c r="AG324" s="20"/>
      <c r="AH324" s="20"/>
      <c r="AI324" s="20" t="s">
        <v>1325</v>
      </c>
      <c r="AJ324" s="20"/>
      <c r="AK324" s="20"/>
      <c r="AL324" s="20"/>
      <c r="AM324" s="20"/>
      <c r="AN324" s="35" t="s">
        <v>817</v>
      </c>
      <c r="AO324" s="20"/>
      <c r="AP324" s="20"/>
      <c r="AQ324" s="45"/>
      <c r="AR324" s="20" t="s">
        <v>1312</v>
      </c>
      <c r="AS324" s="40" t="s">
        <v>1126</v>
      </c>
      <c r="AT324" s="40" t="s">
        <v>1312</v>
      </c>
      <c r="AU324" s="48"/>
      <c r="AV324" s="20"/>
      <c r="AW324" s="45"/>
      <c r="AX324" s="20"/>
    </row>
    <row r="325" spans="2:50" ht="15.75" customHeight="1">
      <c r="B325" s="8">
        <v>322</v>
      </c>
      <c r="C325" s="20" t="s">
        <v>398</v>
      </c>
      <c r="D325" s="20" t="s">
        <v>398</v>
      </c>
      <c r="E325" s="8" t="s">
        <v>74</v>
      </c>
      <c r="F325" s="8" t="s">
        <v>75</v>
      </c>
      <c r="G325" s="19" t="s">
        <v>73</v>
      </c>
      <c r="H325" s="29" t="s">
        <v>76</v>
      </c>
      <c r="I325" s="20"/>
      <c r="J325" s="24">
        <v>30049099</v>
      </c>
      <c r="K325" s="11">
        <v>0.05</v>
      </c>
      <c r="L325" s="21">
        <v>1600</v>
      </c>
      <c r="M325" s="22">
        <f t="shared" ref="M325:M388" si="15">L325*0.88</f>
        <v>1408</v>
      </c>
      <c r="N325" s="23">
        <f t="shared" ref="N325:N388" si="16">L325-M325</f>
        <v>192</v>
      </c>
      <c r="O325" s="26">
        <f t="shared" ref="O325:O388" si="17">N325/L325</f>
        <v>0.12</v>
      </c>
      <c r="P325" s="20"/>
      <c r="Q325" s="20" t="s">
        <v>859</v>
      </c>
      <c r="R325" s="20" t="s">
        <v>889</v>
      </c>
      <c r="S325" s="20"/>
      <c r="T325" s="30">
        <v>1</v>
      </c>
      <c r="U325" s="20" t="s">
        <v>589</v>
      </c>
      <c r="V325" s="20"/>
      <c r="W325" s="20" t="s">
        <v>929</v>
      </c>
      <c r="X325" s="43"/>
      <c r="Y325" s="20" t="s">
        <v>1125</v>
      </c>
      <c r="Z325" s="20" t="s">
        <v>1125</v>
      </c>
      <c r="AA325" s="20"/>
      <c r="AB325" s="20"/>
      <c r="AC325" s="20"/>
      <c r="AD325" t="s">
        <v>1331</v>
      </c>
      <c r="AE325" s="20"/>
      <c r="AF325" s="20"/>
      <c r="AG325" s="20"/>
      <c r="AH325" s="20"/>
      <c r="AI325" s="20" t="s">
        <v>1327</v>
      </c>
      <c r="AJ325" s="20"/>
      <c r="AK325" s="20"/>
      <c r="AL325" s="20"/>
      <c r="AM325" s="20"/>
      <c r="AN325" s="37"/>
      <c r="AO325" s="20"/>
      <c r="AP325" s="20"/>
      <c r="AQ325" s="45"/>
      <c r="AR325" s="20" t="s">
        <v>1309</v>
      </c>
      <c r="AS325" s="20" t="s">
        <v>1125</v>
      </c>
      <c r="AT325" s="40" t="s">
        <v>1309</v>
      </c>
      <c r="AU325" s="48"/>
      <c r="AV325" s="20"/>
      <c r="AW325" s="45"/>
      <c r="AX325" s="20"/>
    </row>
    <row r="326" spans="2:50" ht="25.5" customHeight="1">
      <c r="B326" s="8">
        <v>323</v>
      </c>
      <c r="C326" s="20" t="s">
        <v>399</v>
      </c>
      <c r="D326" s="20" t="s">
        <v>399</v>
      </c>
      <c r="E326" s="8" t="s">
        <v>74</v>
      </c>
      <c r="F326" s="8" t="s">
        <v>75</v>
      </c>
      <c r="G326" s="19" t="s">
        <v>73</v>
      </c>
      <c r="H326" s="29" t="s">
        <v>76</v>
      </c>
      <c r="I326" s="20"/>
      <c r="J326" s="24">
        <v>30049099</v>
      </c>
      <c r="K326" s="11">
        <v>0.05</v>
      </c>
      <c r="L326" s="21">
        <v>900</v>
      </c>
      <c r="M326" s="22">
        <f t="shared" si="15"/>
        <v>792</v>
      </c>
      <c r="N326" s="23">
        <f t="shared" si="16"/>
        <v>108</v>
      </c>
      <c r="O326" s="26">
        <f t="shared" si="17"/>
        <v>0.12</v>
      </c>
      <c r="P326" s="20"/>
      <c r="Q326" s="20" t="s">
        <v>859</v>
      </c>
      <c r="R326" s="20" t="s">
        <v>889</v>
      </c>
      <c r="S326" s="20"/>
      <c r="T326" s="30">
        <v>1</v>
      </c>
      <c r="U326" s="20" t="s">
        <v>589</v>
      </c>
      <c r="V326" s="20"/>
      <c r="W326" s="20" t="s">
        <v>929</v>
      </c>
      <c r="X326" s="43"/>
      <c r="Y326" s="20" t="s">
        <v>1124</v>
      </c>
      <c r="Z326" s="20" t="s">
        <v>1124</v>
      </c>
      <c r="AA326" s="20"/>
      <c r="AB326" s="20"/>
      <c r="AC326" s="20"/>
      <c r="AD326" t="s">
        <v>1331</v>
      </c>
      <c r="AE326" s="20"/>
      <c r="AF326" s="20"/>
      <c r="AG326" s="20"/>
      <c r="AH326" s="20"/>
      <c r="AI326" s="20" t="s">
        <v>1327</v>
      </c>
      <c r="AJ326" s="20"/>
      <c r="AK326" s="20"/>
      <c r="AL326" s="20"/>
      <c r="AM326" s="20"/>
      <c r="AN326" s="35" t="s">
        <v>818</v>
      </c>
      <c r="AO326" s="20"/>
      <c r="AP326" s="20"/>
      <c r="AQ326" s="45"/>
      <c r="AR326" s="20" t="s">
        <v>1309</v>
      </c>
      <c r="AS326" s="20" t="s">
        <v>1124</v>
      </c>
      <c r="AT326" s="40" t="s">
        <v>1309</v>
      </c>
      <c r="AU326" s="48"/>
      <c r="AV326" s="20"/>
      <c r="AW326" s="45"/>
      <c r="AX326" s="20"/>
    </row>
    <row r="327" spans="2:50" ht="27.75" customHeight="1">
      <c r="B327" s="8">
        <v>324</v>
      </c>
      <c r="C327" s="20" t="s">
        <v>400</v>
      </c>
      <c r="D327" s="20" t="s">
        <v>400</v>
      </c>
      <c r="E327" s="8" t="s">
        <v>74</v>
      </c>
      <c r="F327" s="8" t="s">
        <v>75</v>
      </c>
      <c r="G327" s="19" t="s">
        <v>73</v>
      </c>
      <c r="H327" s="29" t="s">
        <v>76</v>
      </c>
      <c r="I327" s="20"/>
      <c r="J327" s="24">
        <v>30043919</v>
      </c>
      <c r="K327" s="11">
        <v>0.05</v>
      </c>
      <c r="L327" s="21">
        <v>1134</v>
      </c>
      <c r="M327" s="22">
        <f t="shared" si="15"/>
        <v>997.92</v>
      </c>
      <c r="N327" s="23">
        <f t="shared" si="16"/>
        <v>136.08000000000004</v>
      </c>
      <c r="O327" s="26">
        <f t="shared" si="17"/>
        <v>0.12000000000000004</v>
      </c>
      <c r="P327" s="20"/>
      <c r="Q327" s="20" t="s">
        <v>859</v>
      </c>
      <c r="R327" s="20" t="s">
        <v>889</v>
      </c>
      <c r="S327" s="20"/>
      <c r="T327" s="30">
        <v>1</v>
      </c>
      <c r="U327" s="20" t="s">
        <v>589</v>
      </c>
      <c r="V327" s="20"/>
      <c r="W327" s="20" t="s">
        <v>929</v>
      </c>
      <c r="X327" s="43"/>
      <c r="Y327" s="20" t="s">
        <v>1123</v>
      </c>
      <c r="Z327" s="20" t="s">
        <v>1123</v>
      </c>
      <c r="AA327" s="20"/>
      <c r="AB327" s="20"/>
      <c r="AC327" s="20"/>
      <c r="AD327" t="s">
        <v>1331</v>
      </c>
      <c r="AE327" s="20"/>
      <c r="AF327" s="20"/>
      <c r="AG327" s="20"/>
      <c r="AH327" s="20"/>
      <c r="AI327" s="20" t="s">
        <v>1327</v>
      </c>
      <c r="AJ327" s="20"/>
      <c r="AK327" s="20"/>
      <c r="AL327" s="20"/>
      <c r="AM327" s="20"/>
      <c r="AN327" s="35" t="s">
        <v>819</v>
      </c>
      <c r="AO327" s="20"/>
      <c r="AP327" s="20"/>
      <c r="AQ327" s="45"/>
      <c r="AR327" s="20" t="s">
        <v>1309</v>
      </c>
      <c r="AS327" s="20" t="s">
        <v>1123</v>
      </c>
      <c r="AT327" s="40" t="s">
        <v>1309</v>
      </c>
      <c r="AU327" s="48"/>
      <c r="AV327" s="20"/>
      <c r="AW327" s="45"/>
      <c r="AX327" s="20"/>
    </row>
    <row r="328" spans="2:50" ht="35.25" customHeight="1">
      <c r="B328" s="8">
        <v>325</v>
      </c>
      <c r="C328" s="20" t="s">
        <v>401</v>
      </c>
      <c r="D328" s="20" t="s">
        <v>401</v>
      </c>
      <c r="E328" s="8" t="s">
        <v>74</v>
      </c>
      <c r="F328" s="8" t="s">
        <v>75</v>
      </c>
      <c r="G328" s="19" t="s">
        <v>73</v>
      </c>
      <c r="H328" s="29" t="s">
        <v>76</v>
      </c>
      <c r="I328" s="20"/>
      <c r="J328" s="24">
        <v>30043919</v>
      </c>
      <c r="K328" s="11">
        <v>0.05</v>
      </c>
      <c r="L328" s="21">
        <v>565.88</v>
      </c>
      <c r="M328" s="22">
        <f t="shared" si="15"/>
        <v>497.9744</v>
      </c>
      <c r="N328" s="23">
        <f t="shared" si="16"/>
        <v>67.905599999999993</v>
      </c>
      <c r="O328" s="26">
        <f t="shared" si="17"/>
        <v>0.11999999999999998</v>
      </c>
      <c r="P328" s="20"/>
      <c r="Q328" s="20" t="s">
        <v>859</v>
      </c>
      <c r="R328" s="20" t="s">
        <v>889</v>
      </c>
      <c r="S328" s="20"/>
      <c r="T328" s="30">
        <v>1</v>
      </c>
      <c r="U328" s="20" t="s">
        <v>589</v>
      </c>
      <c r="V328" s="20"/>
      <c r="W328" s="20" t="s">
        <v>929</v>
      </c>
      <c r="X328" s="43"/>
      <c r="Y328" s="20" t="s">
        <v>1122</v>
      </c>
      <c r="Z328" s="20" t="s">
        <v>1122</v>
      </c>
      <c r="AA328" s="20"/>
      <c r="AB328" s="20"/>
      <c r="AC328" s="20"/>
      <c r="AD328" t="s">
        <v>1331</v>
      </c>
      <c r="AE328" s="20"/>
      <c r="AF328" s="20"/>
      <c r="AG328" s="20"/>
      <c r="AH328" s="20"/>
      <c r="AI328" s="20" t="s">
        <v>1327</v>
      </c>
      <c r="AJ328" s="20"/>
      <c r="AK328" s="20"/>
      <c r="AL328" s="20"/>
      <c r="AM328" s="20"/>
      <c r="AN328" s="35" t="s">
        <v>820</v>
      </c>
      <c r="AO328" s="20"/>
      <c r="AP328" s="20"/>
      <c r="AQ328" s="45"/>
      <c r="AR328" s="20" t="s">
        <v>1309</v>
      </c>
      <c r="AS328" s="20" t="s">
        <v>1122</v>
      </c>
      <c r="AT328" s="40" t="s">
        <v>1309</v>
      </c>
      <c r="AU328" s="48"/>
      <c r="AV328" s="20"/>
      <c r="AW328" s="45"/>
      <c r="AX328" s="20"/>
    </row>
    <row r="329" spans="2:50" ht="31.5" customHeight="1">
      <c r="B329" s="8">
        <v>326</v>
      </c>
      <c r="C329" s="20" t="s">
        <v>402</v>
      </c>
      <c r="D329" s="20" t="s">
        <v>402</v>
      </c>
      <c r="E329" s="8" t="s">
        <v>74</v>
      </c>
      <c r="F329" s="8" t="s">
        <v>75</v>
      </c>
      <c r="G329" s="19" t="s">
        <v>73</v>
      </c>
      <c r="H329" s="29" t="s">
        <v>76</v>
      </c>
      <c r="I329" s="20"/>
      <c r="J329" s="24">
        <v>30049099</v>
      </c>
      <c r="K329" s="11">
        <v>0.05</v>
      </c>
      <c r="L329" s="21">
        <v>4910</v>
      </c>
      <c r="M329" s="22">
        <f t="shared" si="15"/>
        <v>4320.8</v>
      </c>
      <c r="N329" s="23">
        <f t="shared" si="16"/>
        <v>589.19999999999982</v>
      </c>
      <c r="O329" s="26">
        <f t="shared" si="17"/>
        <v>0.11999999999999997</v>
      </c>
      <c r="P329" s="20"/>
      <c r="Q329" s="20" t="s">
        <v>859</v>
      </c>
      <c r="R329" s="20" t="s">
        <v>889</v>
      </c>
      <c r="S329" s="20"/>
      <c r="T329" s="30">
        <v>1</v>
      </c>
      <c r="U329" s="20" t="s">
        <v>597</v>
      </c>
      <c r="V329" s="20"/>
      <c r="W329" s="20" t="s">
        <v>929</v>
      </c>
      <c r="X329" s="43"/>
      <c r="Y329" s="20" t="s">
        <v>1121</v>
      </c>
      <c r="Z329" s="20" t="s">
        <v>1121</v>
      </c>
      <c r="AA329" s="20"/>
      <c r="AB329" s="20"/>
      <c r="AC329" s="20"/>
      <c r="AD329" s="20"/>
      <c r="AE329" s="20"/>
      <c r="AF329" s="20"/>
      <c r="AG329" s="20"/>
      <c r="AH329" s="20"/>
      <c r="AI329" s="20" t="s">
        <v>1327</v>
      </c>
      <c r="AJ329" s="20"/>
      <c r="AK329" s="20"/>
      <c r="AL329" s="20"/>
      <c r="AM329" s="20"/>
      <c r="AN329" s="35" t="s">
        <v>821</v>
      </c>
      <c r="AO329" s="20"/>
      <c r="AP329" s="20"/>
      <c r="AQ329" s="45"/>
      <c r="AR329" s="20" t="s">
        <v>1309</v>
      </c>
      <c r="AS329" s="20" t="s">
        <v>1121</v>
      </c>
      <c r="AT329" s="40" t="s">
        <v>1309</v>
      </c>
      <c r="AU329" s="48"/>
      <c r="AV329" s="20"/>
      <c r="AW329" s="45"/>
      <c r="AX329" s="20"/>
    </row>
    <row r="330" spans="2:50" ht="72.75" customHeight="1">
      <c r="B330" s="8">
        <v>327</v>
      </c>
      <c r="C330" s="20" t="s">
        <v>403</v>
      </c>
      <c r="D330" s="20" t="s">
        <v>403</v>
      </c>
      <c r="E330" s="8" t="s">
        <v>74</v>
      </c>
      <c r="F330" s="8" t="s">
        <v>75</v>
      </c>
      <c r="G330" s="19" t="s">
        <v>73</v>
      </c>
      <c r="H330" s="29" t="s">
        <v>76</v>
      </c>
      <c r="I330" s="20"/>
      <c r="J330" s="24">
        <v>29362390</v>
      </c>
      <c r="K330" s="11">
        <v>0.05</v>
      </c>
      <c r="L330" s="21">
        <v>2000</v>
      </c>
      <c r="M330" s="22">
        <f t="shared" si="15"/>
        <v>1760</v>
      </c>
      <c r="N330" s="23">
        <f t="shared" si="16"/>
        <v>240</v>
      </c>
      <c r="O330" s="26">
        <f t="shared" si="17"/>
        <v>0.12</v>
      </c>
      <c r="P330" s="20"/>
      <c r="Q330" s="20" t="s">
        <v>869</v>
      </c>
      <c r="R330" s="20" t="s">
        <v>889</v>
      </c>
      <c r="S330" s="20"/>
      <c r="T330" s="30">
        <v>1</v>
      </c>
      <c r="U330" s="20" t="s">
        <v>597</v>
      </c>
      <c r="V330" s="20"/>
      <c r="W330" s="20" t="s">
        <v>929</v>
      </c>
      <c r="X330" s="43"/>
      <c r="Y330" s="40" t="s">
        <v>1120</v>
      </c>
      <c r="Z330" s="40" t="s">
        <v>1120</v>
      </c>
      <c r="AA330" s="20"/>
      <c r="AB330" s="20"/>
      <c r="AC330" s="20"/>
      <c r="AD330" s="20"/>
      <c r="AE330" s="20"/>
      <c r="AF330" s="20"/>
      <c r="AG330" s="20"/>
      <c r="AH330" s="20"/>
      <c r="AI330" s="20" t="s">
        <v>1322</v>
      </c>
      <c r="AJ330" s="20"/>
      <c r="AK330" s="20"/>
      <c r="AL330" s="20"/>
      <c r="AM330" s="20"/>
      <c r="AN330" s="37"/>
      <c r="AO330" s="20"/>
      <c r="AP330" s="20"/>
      <c r="AQ330" s="45"/>
      <c r="AR330" s="20" t="s">
        <v>1306</v>
      </c>
      <c r="AS330" s="40" t="s">
        <v>1120</v>
      </c>
      <c r="AT330" s="40" t="s">
        <v>1306</v>
      </c>
      <c r="AU330" s="48"/>
      <c r="AV330" s="20"/>
      <c r="AW330" s="45"/>
      <c r="AX330" s="20"/>
    </row>
    <row r="331" spans="2:50" ht="29.25" customHeight="1">
      <c r="B331" s="8">
        <v>328</v>
      </c>
      <c r="C331" s="20" t="s">
        <v>404</v>
      </c>
      <c r="D331" s="20" t="s">
        <v>404</v>
      </c>
      <c r="E331" s="8" t="s">
        <v>74</v>
      </c>
      <c r="F331" s="8" t="s">
        <v>75</v>
      </c>
      <c r="G331" s="19" t="s">
        <v>73</v>
      </c>
      <c r="H331" s="29" t="s">
        <v>76</v>
      </c>
      <c r="I331" s="20"/>
      <c r="J331" s="24">
        <v>30049039</v>
      </c>
      <c r="K331" s="11">
        <v>0.05</v>
      </c>
      <c r="L331" s="21">
        <v>100.31</v>
      </c>
      <c r="M331" s="22">
        <f t="shared" si="15"/>
        <v>88.272800000000004</v>
      </c>
      <c r="N331" s="23">
        <f t="shared" si="16"/>
        <v>12.037199999999999</v>
      </c>
      <c r="O331" s="26">
        <f t="shared" si="17"/>
        <v>0.11999999999999998</v>
      </c>
      <c r="P331" s="20"/>
      <c r="Q331" s="20" t="s">
        <v>864</v>
      </c>
      <c r="R331" s="20" t="s">
        <v>891</v>
      </c>
      <c r="S331" s="20"/>
      <c r="T331" s="30">
        <v>1</v>
      </c>
      <c r="U331" s="20" t="s">
        <v>665</v>
      </c>
      <c r="V331" s="20"/>
      <c r="W331" s="20" t="s">
        <v>936</v>
      </c>
      <c r="X331" s="43"/>
      <c r="Y331" s="20" t="s">
        <v>1119</v>
      </c>
      <c r="Z331" s="20" t="s">
        <v>1119</v>
      </c>
      <c r="AA331" s="20"/>
      <c r="AB331" s="20"/>
      <c r="AC331" s="20"/>
      <c r="AD331" s="20"/>
      <c r="AE331" s="20"/>
      <c r="AF331" s="20"/>
      <c r="AG331" s="20"/>
      <c r="AH331" s="20"/>
      <c r="AI331" s="20" t="s">
        <v>1323</v>
      </c>
      <c r="AJ331" s="20"/>
      <c r="AK331" s="20"/>
      <c r="AL331" s="20"/>
      <c r="AM331" s="20"/>
      <c r="AN331" s="35" t="s">
        <v>822</v>
      </c>
      <c r="AO331" s="20"/>
      <c r="AP331" s="20"/>
      <c r="AQ331" s="45"/>
      <c r="AR331" s="20" t="s">
        <v>1307</v>
      </c>
      <c r="AS331" s="20" t="s">
        <v>1119</v>
      </c>
      <c r="AT331" s="40" t="s">
        <v>1307</v>
      </c>
      <c r="AU331" s="48"/>
      <c r="AV331" s="20"/>
      <c r="AW331" s="45"/>
      <c r="AX331" s="20"/>
    </row>
    <row r="332" spans="2:50" ht="28.5" customHeight="1">
      <c r="B332" s="8">
        <v>329</v>
      </c>
      <c r="C332" s="20" t="s">
        <v>405</v>
      </c>
      <c r="D332" s="20" t="s">
        <v>405</v>
      </c>
      <c r="E332" s="8" t="s">
        <v>74</v>
      </c>
      <c r="F332" s="8" t="s">
        <v>75</v>
      </c>
      <c r="G332" s="19" t="s">
        <v>73</v>
      </c>
      <c r="H332" s="29" t="s">
        <v>76</v>
      </c>
      <c r="I332" s="20"/>
      <c r="J332" s="24">
        <v>30049039</v>
      </c>
      <c r="K332" s="11">
        <v>0.05</v>
      </c>
      <c r="L332" s="21">
        <v>562.5</v>
      </c>
      <c r="M332" s="22">
        <f t="shared" si="15"/>
        <v>495</v>
      </c>
      <c r="N332" s="23">
        <f t="shared" si="16"/>
        <v>67.5</v>
      </c>
      <c r="O332" s="26">
        <f t="shared" si="17"/>
        <v>0.12</v>
      </c>
      <c r="P332" s="20"/>
      <c r="Q332" s="20" t="s">
        <v>859</v>
      </c>
      <c r="R332" s="20" t="s">
        <v>889</v>
      </c>
      <c r="S332" s="20"/>
      <c r="T332" s="30">
        <v>1</v>
      </c>
      <c r="U332" s="20" t="s">
        <v>589</v>
      </c>
      <c r="V332" s="20"/>
      <c r="W332" s="20" t="s">
        <v>929</v>
      </c>
      <c r="X332" s="43"/>
      <c r="Y332" s="20" t="s">
        <v>1119</v>
      </c>
      <c r="Z332" s="20" t="s">
        <v>1119</v>
      </c>
      <c r="AA332" s="20"/>
      <c r="AB332" s="20"/>
      <c r="AC332" s="20"/>
      <c r="AD332" t="s">
        <v>1331</v>
      </c>
      <c r="AE332" s="20"/>
      <c r="AF332" s="20"/>
      <c r="AG332" s="20"/>
      <c r="AH332" s="20"/>
      <c r="AI332" s="20" t="s">
        <v>1323</v>
      </c>
      <c r="AJ332" s="20"/>
      <c r="AK332" s="20"/>
      <c r="AL332" s="20"/>
      <c r="AM332" s="20"/>
      <c r="AN332" s="35" t="s">
        <v>823</v>
      </c>
      <c r="AO332" s="20"/>
      <c r="AP332" s="20"/>
      <c r="AQ332" s="45"/>
      <c r="AR332" s="20" t="s">
        <v>1307</v>
      </c>
      <c r="AS332" s="20" t="s">
        <v>1119</v>
      </c>
      <c r="AT332" s="40" t="s">
        <v>1307</v>
      </c>
      <c r="AU332" s="48"/>
      <c r="AV332" s="20"/>
      <c r="AW332" s="45"/>
      <c r="AX332" s="20"/>
    </row>
    <row r="333" spans="2:50" ht="31.5" customHeight="1">
      <c r="B333" s="8">
        <v>330</v>
      </c>
      <c r="C333" s="20" t="s">
        <v>406</v>
      </c>
      <c r="D333" s="20" t="s">
        <v>406</v>
      </c>
      <c r="E333" s="8" t="s">
        <v>74</v>
      </c>
      <c r="F333" s="8" t="s">
        <v>75</v>
      </c>
      <c r="G333" s="19" t="s">
        <v>73</v>
      </c>
      <c r="H333" s="29" t="s">
        <v>76</v>
      </c>
      <c r="I333" s="20"/>
      <c r="J333" s="24">
        <v>30049039</v>
      </c>
      <c r="K333" s="11">
        <v>0.05</v>
      </c>
      <c r="L333" s="21">
        <v>731.25</v>
      </c>
      <c r="M333" s="22">
        <f t="shared" si="15"/>
        <v>643.5</v>
      </c>
      <c r="N333" s="23">
        <f t="shared" si="16"/>
        <v>87.75</v>
      </c>
      <c r="O333" s="26">
        <f t="shared" si="17"/>
        <v>0.12</v>
      </c>
      <c r="P333" s="20"/>
      <c r="Q333" s="20" t="s">
        <v>859</v>
      </c>
      <c r="R333" s="20" t="s">
        <v>889</v>
      </c>
      <c r="S333" s="20"/>
      <c r="T333" s="30">
        <v>1</v>
      </c>
      <c r="U333" s="20" t="s">
        <v>589</v>
      </c>
      <c r="V333" s="20"/>
      <c r="W333" s="20" t="s">
        <v>929</v>
      </c>
      <c r="X333" s="43"/>
      <c r="Y333" s="20" t="s">
        <v>1118</v>
      </c>
      <c r="Z333" s="20" t="s">
        <v>1118</v>
      </c>
      <c r="AA333" s="20"/>
      <c r="AB333" s="20"/>
      <c r="AC333" s="20"/>
      <c r="AD333" t="s">
        <v>1331</v>
      </c>
      <c r="AE333" s="20"/>
      <c r="AF333" s="20"/>
      <c r="AG333" s="20"/>
      <c r="AH333" s="20"/>
      <c r="AI333" s="20" t="s">
        <v>1323</v>
      </c>
      <c r="AJ333" s="20"/>
      <c r="AK333" s="20"/>
      <c r="AL333" s="20"/>
      <c r="AM333" s="20"/>
      <c r="AN333" s="35" t="s">
        <v>824</v>
      </c>
      <c r="AO333" s="20"/>
      <c r="AP333" s="20"/>
      <c r="AQ333" s="45"/>
      <c r="AR333" s="20" t="s">
        <v>1307</v>
      </c>
      <c r="AS333" s="20" t="s">
        <v>1118</v>
      </c>
      <c r="AT333" s="40" t="s">
        <v>1307</v>
      </c>
      <c r="AU333" s="48"/>
      <c r="AV333" s="20"/>
      <c r="AW333" s="45"/>
      <c r="AX333" s="20"/>
    </row>
    <row r="334" spans="2:50" ht="30.75" customHeight="1">
      <c r="B334" s="8">
        <v>331</v>
      </c>
      <c r="C334" s="20" t="s">
        <v>407</v>
      </c>
      <c r="D334" s="20" t="s">
        <v>407</v>
      </c>
      <c r="E334" s="8" t="s">
        <v>74</v>
      </c>
      <c r="F334" s="8" t="s">
        <v>75</v>
      </c>
      <c r="G334" s="19" t="s">
        <v>73</v>
      </c>
      <c r="H334" s="29" t="s">
        <v>76</v>
      </c>
      <c r="I334" s="20"/>
      <c r="J334" s="24">
        <v>30049039</v>
      </c>
      <c r="K334" s="11">
        <v>0.05</v>
      </c>
      <c r="L334" s="21">
        <v>1070</v>
      </c>
      <c r="M334" s="22">
        <f t="shared" si="15"/>
        <v>941.6</v>
      </c>
      <c r="N334" s="23">
        <f t="shared" si="16"/>
        <v>128.39999999999998</v>
      </c>
      <c r="O334" s="26">
        <f t="shared" si="17"/>
        <v>0.11999999999999998</v>
      </c>
      <c r="P334" s="20"/>
      <c r="Q334" s="20" t="s">
        <v>865</v>
      </c>
      <c r="R334" s="20" t="s">
        <v>889</v>
      </c>
      <c r="S334" s="20"/>
      <c r="T334" s="30">
        <v>1</v>
      </c>
      <c r="U334" s="20" t="s">
        <v>589</v>
      </c>
      <c r="V334" s="20"/>
      <c r="W334" s="20" t="s">
        <v>929</v>
      </c>
      <c r="X334" s="43"/>
      <c r="Y334" s="20" t="s">
        <v>1117</v>
      </c>
      <c r="Z334" s="20" t="s">
        <v>1117</v>
      </c>
      <c r="AA334" s="20"/>
      <c r="AB334" s="20"/>
      <c r="AC334" s="20"/>
      <c r="AD334" t="s">
        <v>1331</v>
      </c>
      <c r="AE334" s="20"/>
      <c r="AF334" s="20"/>
      <c r="AG334" s="20"/>
      <c r="AH334" s="20"/>
      <c r="AI334" s="20" t="s">
        <v>1323</v>
      </c>
      <c r="AJ334" s="20"/>
      <c r="AK334" s="20"/>
      <c r="AL334" s="20"/>
      <c r="AM334" s="20"/>
      <c r="AN334" s="35" t="s">
        <v>825</v>
      </c>
      <c r="AO334" s="20"/>
      <c r="AP334" s="20"/>
      <c r="AQ334" s="45"/>
      <c r="AR334" s="20" t="s">
        <v>1307</v>
      </c>
      <c r="AS334" s="20" t="s">
        <v>1117</v>
      </c>
      <c r="AT334" s="40" t="s">
        <v>1307</v>
      </c>
      <c r="AU334" s="48"/>
      <c r="AV334" s="20"/>
      <c r="AW334" s="45"/>
      <c r="AX334" s="20"/>
    </row>
    <row r="335" spans="2:50" ht="29.25" customHeight="1">
      <c r="B335" s="8">
        <v>332</v>
      </c>
      <c r="C335" s="20" t="s">
        <v>408</v>
      </c>
      <c r="D335" s="20" t="s">
        <v>408</v>
      </c>
      <c r="E335" s="8" t="s">
        <v>74</v>
      </c>
      <c r="F335" s="8" t="s">
        <v>75</v>
      </c>
      <c r="G335" s="19" t="s">
        <v>73</v>
      </c>
      <c r="H335" s="29" t="s">
        <v>76</v>
      </c>
      <c r="I335" s="20"/>
      <c r="J335" s="24">
        <v>30049039</v>
      </c>
      <c r="K335" s="11">
        <v>0.05</v>
      </c>
      <c r="L335" s="21">
        <v>2437</v>
      </c>
      <c r="M335" s="22">
        <f t="shared" si="15"/>
        <v>2144.56</v>
      </c>
      <c r="N335" s="23">
        <f t="shared" si="16"/>
        <v>292.44000000000005</v>
      </c>
      <c r="O335" s="26">
        <f t="shared" si="17"/>
        <v>0.12000000000000002</v>
      </c>
      <c r="P335" s="20"/>
      <c r="Q335" s="20" t="s">
        <v>865</v>
      </c>
      <c r="R335" s="20" t="s">
        <v>889</v>
      </c>
      <c r="S335" s="20"/>
      <c r="T335" s="30">
        <v>1</v>
      </c>
      <c r="U335" s="20" t="s">
        <v>589</v>
      </c>
      <c r="V335" s="20"/>
      <c r="W335" s="20" t="s">
        <v>929</v>
      </c>
      <c r="X335" s="43"/>
      <c r="Y335" s="20" t="s">
        <v>1116</v>
      </c>
      <c r="Z335" s="20" t="s">
        <v>1116</v>
      </c>
      <c r="AA335" s="20"/>
      <c r="AB335" s="20"/>
      <c r="AC335" s="20"/>
      <c r="AD335" t="s">
        <v>1331</v>
      </c>
      <c r="AE335" s="20"/>
      <c r="AF335" s="20"/>
      <c r="AG335" s="20"/>
      <c r="AH335" s="20"/>
      <c r="AI335" s="20" t="s">
        <v>1323</v>
      </c>
      <c r="AJ335" s="20"/>
      <c r="AK335" s="20"/>
      <c r="AL335" s="20"/>
      <c r="AM335" s="20"/>
      <c r="AN335" s="35" t="s">
        <v>826</v>
      </c>
      <c r="AO335" s="20"/>
      <c r="AP335" s="20"/>
      <c r="AQ335" s="45"/>
      <c r="AR335" s="20" t="s">
        <v>1307</v>
      </c>
      <c r="AS335" s="20" t="s">
        <v>1116</v>
      </c>
      <c r="AT335" s="40" t="s">
        <v>1307</v>
      </c>
      <c r="AU335" s="48"/>
      <c r="AV335" s="20"/>
      <c r="AW335" s="45"/>
      <c r="AX335" s="20"/>
    </row>
    <row r="336" spans="2:50" ht="31.5" customHeight="1">
      <c r="B336" s="8">
        <v>333</v>
      </c>
      <c r="C336" s="20" t="s">
        <v>409</v>
      </c>
      <c r="D336" s="20" t="s">
        <v>409</v>
      </c>
      <c r="E336" s="8" t="s">
        <v>74</v>
      </c>
      <c r="F336" s="8" t="s">
        <v>75</v>
      </c>
      <c r="G336" s="19" t="s">
        <v>73</v>
      </c>
      <c r="H336" s="29" t="s">
        <v>76</v>
      </c>
      <c r="I336" s="20"/>
      <c r="J336" s="24">
        <v>30049039</v>
      </c>
      <c r="K336" s="11">
        <v>0.05</v>
      </c>
      <c r="L336" s="21">
        <v>1265.6300000000001</v>
      </c>
      <c r="M336" s="22">
        <f t="shared" si="15"/>
        <v>1113.7544</v>
      </c>
      <c r="N336" s="23">
        <f t="shared" si="16"/>
        <v>151.87560000000008</v>
      </c>
      <c r="O336" s="26">
        <f t="shared" si="17"/>
        <v>0.12000000000000005</v>
      </c>
      <c r="P336" s="20"/>
      <c r="Q336" s="20" t="s">
        <v>859</v>
      </c>
      <c r="R336" s="20" t="s">
        <v>889</v>
      </c>
      <c r="S336" s="20"/>
      <c r="T336" s="30">
        <v>1</v>
      </c>
      <c r="U336" s="20" t="s">
        <v>604</v>
      </c>
      <c r="V336" s="20"/>
      <c r="W336" s="20" t="s">
        <v>929</v>
      </c>
      <c r="X336" s="43"/>
      <c r="Y336" s="20" t="s">
        <v>1115</v>
      </c>
      <c r="Z336" s="20" t="s">
        <v>1115</v>
      </c>
      <c r="AA336" s="20"/>
      <c r="AB336" s="20"/>
      <c r="AC336" s="20"/>
      <c r="AD336" s="20"/>
      <c r="AE336" s="20"/>
      <c r="AF336" s="20"/>
      <c r="AG336" s="20"/>
      <c r="AH336" s="20"/>
      <c r="AI336" s="20" t="s">
        <v>1323</v>
      </c>
      <c r="AJ336" s="20"/>
      <c r="AK336" s="20"/>
      <c r="AL336" s="20"/>
      <c r="AM336" s="20"/>
      <c r="AN336" s="35" t="s">
        <v>827</v>
      </c>
      <c r="AO336" s="20"/>
      <c r="AP336" s="20"/>
      <c r="AQ336" s="45"/>
      <c r="AR336" s="20" t="s">
        <v>1307</v>
      </c>
      <c r="AS336" s="20" t="s">
        <v>1115</v>
      </c>
      <c r="AT336" s="40" t="s">
        <v>1307</v>
      </c>
      <c r="AU336" s="48"/>
      <c r="AV336" s="20"/>
      <c r="AW336" s="45"/>
      <c r="AX336" s="20"/>
    </row>
    <row r="337" spans="2:50" ht="15.75" customHeight="1">
      <c r="B337" s="8">
        <v>334</v>
      </c>
      <c r="C337" s="20" t="s">
        <v>410</v>
      </c>
      <c r="D337" s="20" t="s">
        <v>410</v>
      </c>
      <c r="E337" s="8" t="s">
        <v>74</v>
      </c>
      <c r="F337" s="8" t="s">
        <v>75</v>
      </c>
      <c r="G337" s="19" t="s">
        <v>73</v>
      </c>
      <c r="H337" s="29" t="s">
        <v>76</v>
      </c>
      <c r="I337" s="20"/>
      <c r="J337" s="24">
        <v>30049099</v>
      </c>
      <c r="K337" s="11">
        <v>0.05</v>
      </c>
      <c r="L337" s="21">
        <v>3500</v>
      </c>
      <c r="M337" s="22">
        <f t="shared" si="15"/>
        <v>3080</v>
      </c>
      <c r="N337" s="23">
        <f t="shared" si="16"/>
        <v>420</v>
      </c>
      <c r="O337" s="26">
        <f t="shared" si="17"/>
        <v>0.12</v>
      </c>
      <c r="P337" s="20"/>
      <c r="Q337" s="20" t="s">
        <v>859</v>
      </c>
      <c r="R337" s="20" t="s">
        <v>889</v>
      </c>
      <c r="S337" s="20"/>
      <c r="T337" s="30">
        <v>1</v>
      </c>
      <c r="U337" s="20" t="s">
        <v>633</v>
      </c>
      <c r="V337" s="20"/>
      <c r="W337" s="20" t="s">
        <v>929</v>
      </c>
      <c r="X337" s="43"/>
      <c r="Y337" s="20" t="s">
        <v>1114</v>
      </c>
      <c r="Z337" s="20" t="s">
        <v>1114</v>
      </c>
      <c r="AA337" s="20"/>
      <c r="AB337" s="20"/>
      <c r="AC337" s="20"/>
      <c r="AD337" s="20"/>
      <c r="AE337" s="20"/>
      <c r="AF337" s="20"/>
      <c r="AG337" s="20"/>
      <c r="AH337" s="20"/>
      <c r="AI337" s="20" t="s">
        <v>1327</v>
      </c>
      <c r="AJ337" s="20"/>
      <c r="AK337" s="20"/>
      <c r="AL337" s="20"/>
      <c r="AM337" s="20"/>
      <c r="AN337" s="37"/>
      <c r="AO337" s="20"/>
      <c r="AP337" s="20"/>
      <c r="AQ337" s="45"/>
      <c r="AR337" s="20" t="s">
        <v>1309</v>
      </c>
      <c r="AS337" s="20" t="s">
        <v>1114</v>
      </c>
      <c r="AT337" s="40" t="s">
        <v>1309</v>
      </c>
      <c r="AU337" s="48"/>
      <c r="AV337" s="20"/>
      <c r="AW337" s="45"/>
      <c r="AX337" s="20"/>
    </row>
    <row r="338" spans="2:50" ht="66" customHeight="1">
      <c r="B338" s="8">
        <v>335</v>
      </c>
      <c r="C338" s="20" t="s">
        <v>411</v>
      </c>
      <c r="D338" s="20" t="s">
        <v>411</v>
      </c>
      <c r="E338" s="8" t="s">
        <v>74</v>
      </c>
      <c r="F338" s="8" t="s">
        <v>75</v>
      </c>
      <c r="G338" s="19" t="s">
        <v>73</v>
      </c>
      <c r="H338" s="29" t="s">
        <v>76</v>
      </c>
      <c r="I338" s="20"/>
      <c r="J338" s="24">
        <v>21069099</v>
      </c>
      <c r="K338" s="11">
        <v>0.05</v>
      </c>
      <c r="L338" s="21">
        <v>160.19999999999999</v>
      </c>
      <c r="M338" s="22">
        <f t="shared" si="15"/>
        <v>140.976</v>
      </c>
      <c r="N338" s="23">
        <f t="shared" si="16"/>
        <v>19.22399999999999</v>
      </c>
      <c r="O338" s="26">
        <f t="shared" si="17"/>
        <v>0.11999999999999994</v>
      </c>
      <c r="P338" s="20"/>
      <c r="Q338" s="20" t="s">
        <v>862</v>
      </c>
      <c r="R338" s="20" t="s">
        <v>889</v>
      </c>
      <c r="S338" s="20"/>
      <c r="T338" s="30">
        <v>1</v>
      </c>
      <c r="U338" s="20" t="s">
        <v>601</v>
      </c>
      <c r="V338" s="20"/>
      <c r="W338" s="20" t="s">
        <v>931</v>
      </c>
      <c r="X338" s="43"/>
      <c r="Y338" s="40" t="s">
        <v>1113</v>
      </c>
      <c r="Z338" s="40" t="s">
        <v>1113</v>
      </c>
      <c r="AA338" s="20"/>
      <c r="AB338" s="20"/>
      <c r="AC338" s="20"/>
      <c r="AD338" s="20"/>
      <c r="AE338" s="20"/>
      <c r="AF338" s="20"/>
      <c r="AG338" s="20"/>
      <c r="AH338" s="20"/>
      <c r="AI338" s="20" t="s">
        <v>1329</v>
      </c>
      <c r="AJ338" s="20"/>
      <c r="AK338" s="20"/>
      <c r="AL338" s="20"/>
      <c r="AM338" s="20"/>
      <c r="AN338" s="35" t="s">
        <v>828</v>
      </c>
      <c r="AO338" s="20"/>
      <c r="AP338" s="20"/>
      <c r="AQ338" s="45"/>
      <c r="AR338" s="20" t="s">
        <v>1306</v>
      </c>
      <c r="AS338" s="40" t="s">
        <v>1113</v>
      </c>
      <c r="AT338" s="40" t="s">
        <v>1306</v>
      </c>
      <c r="AU338" s="48"/>
      <c r="AV338" s="20"/>
      <c r="AW338" s="45"/>
      <c r="AX338" s="20"/>
    </row>
    <row r="339" spans="2:50" ht="60.75" customHeight="1">
      <c r="B339" s="8">
        <v>336</v>
      </c>
      <c r="C339" s="20" t="s">
        <v>412</v>
      </c>
      <c r="D339" s="20" t="s">
        <v>412</v>
      </c>
      <c r="E339" s="8" t="s">
        <v>74</v>
      </c>
      <c r="F339" s="8" t="s">
        <v>75</v>
      </c>
      <c r="G339" s="19" t="s">
        <v>73</v>
      </c>
      <c r="H339" s="29" t="s">
        <v>76</v>
      </c>
      <c r="I339" s="20"/>
      <c r="J339" s="24">
        <v>30049011</v>
      </c>
      <c r="K339" s="11">
        <v>0.05</v>
      </c>
      <c r="L339" s="21">
        <v>1150</v>
      </c>
      <c r="M339" s="22">
        <f t="shared" si="15"/>
        <v>1012</v>
      </c>
      <c r="N339" s="23">
        <f t="shared" si="16"/>
        <v>138</v>
      </c>
      <c r="O339" s="26">
        <f t="shared" si="17"/>
        <v>0.12</v>
      </c>
      <c r="P339" s="20"/>
      <c r="Q339" s="20" t="s">
        <v>865</v>
      </c>
      <c r="R339" s="20" t="s">
        <v>889</v>
      </c>
      <c r="S339" s="20"/>
      <c r="T339" s="30">
        <v>1</v>
      </c>
      <c r="U339" s="20" t="s">
        <v>589</v>
      </c>
      <c r="V339" s="20"/>
      <c r="W339" s="20" t="s">
        <v>929</v>
      </c>
      <c r="X339" s="43"/>
      <c r="Y339" s="40" t="s">
        <v>1112</v>
      </c>
      <c r="Z339" s="40" t="s">
        <v>1112</v>
      </c>
      <c r="AA339" s="20"/>
      <c r="AB339" s="20"/>
      <c r="AC339" s="20"/>
      <c r="AD339" t="s">
        <v>1331</v>
      </c>
      <c r="AE339" s="20"/>
      <c r="AF339" s="20"/>
      <c r="AG339" s="20"/>
      <c r="AH339" s="20"/>
      <c r="AI339" s="20" t="s">
        <v>1327</v>
      </c>
      <c r="AJ339" s="20"/>
      <c r="AK339" s="20"/>
      <c r="AL339" s="20"/>
      <c r="AM339" s="20"/>
      <c r="AN339" s="37"/>
      <c r="AO339" s="20"/>
      <c r="AP339" s="20"/>
      <c r="AQ339" s="45"/>
      <c r="AR339" s="20" t="s">
        <v>1309</v>
      </c>
      <c r="AS339" s="40" t="s">
        <v>1112</v>
      </c>
      <c r="AT339" s="40" t="s">
        <v>1309</v>
      </c>
      <c r="AU339" s="48"/>
      <c r="AV339" s="20"/>
      <c r="AW339" s="45"/>
      <c r="AX339" s="20"/>
    </row>
    <row r="340" spans="2:50" ht="30" customHeight="1">
      <c r="B340" s="8">
        <v>337</v>
      </c>
      <c r="C340" s="20" t="s">
        <v>413</v>
      </c>
      <c r="D340" s="20" t="s">
        <v>413</v>
      </c>
      <c r="E340" s="8" t="s">
        <v>74</v>
      </c>
      <c r="F340" s="8" t="s">
        <v>75</v>
      </c>
      <c r="G340" s="19" t="s">
        <v>73</v>
      </c>
      <c r="H340" s="29" t="s">
        <v>76</v>
      </c>
      <c r="I340" s="20"/>
      <c r="J340" s="24">
        <v>300490</v>
      </c>
      <c r="K340" s="11">
        <v>0.05</v>
      </c>
      <c r="L340" s="21">
        <v>840</v>
      </c>
      <c r="M340" s="22">
        <f t="shared" si="15"/>
        <v>739.2</v>
      </c>
      <c r="N340" s="23">
        <f t="shared" si="16"/>
        <v>100.79999999999995</v>
      </c>
      <c r="O340" s="26">
        <f t="shared" si="17"/>
        <v>0.11999999999999994</v>
      </c>
      <c r="P340" s="20"/>
      <c r="Q340" s="20" t="s">
        <v>859</v>
      </c>
      <c r="R340" s="20" t="s">
        <v>889</v>
      </c>
      <c r="S340" s="20"/>
      <c r="T340" s="30">
        <v>1</v>
      </c>
      <c r="U340" s="20" t="s">
        <v>666</v>
      </c>
      <c r="V340" s="20"/>
      <c r="W340" s="20" t="s">
        <v>929</v>
      </c>
      <c r="X340" s="43"/>
      <c r="Y340" s="20" t="s">
        <v>1111</v>
      </c>
      <c r="Z340" s="20" t="s">
        <v>1111</v>
      </c>
      <c r="AA340" s="20"/>
      <c r="AB340" s="20"/>
      <c r="AC340" s="20"/>
      <c r="AD340" s="20"/>
      <c r="AE340" s="20"/>
      <c r="AF340" s="20"/>
      <c r="AG340" s="20"/>
      <c r="AH340" s="20"/>
      <c r="AI340" s="20" t="s">
        <v>1326</v>
      </c>
      <c r="AJ340" s="20"/>
      <c r="AK340" s="20"/>
      <c r="AL340" s="20"/>
      <c r="AM340" s="20"/>
      <c r="AN340" s="35" t="s">
        <v>829</v>
      </c>
      <c r="AO340" s="20"/>
      <c r="AP340" s="20"/>
      <c r="AQ340" s="45"/>
      <c r="AR340" s="20" t="s">
        <v>1308</v>
      </c>
      <c r="AS340" s="20" t="s">
        <v>1111</v>
      </c>
      <c r="AT340" s="40" t="s">
        <v>1308</v>
      </c>
      <c r="AU340" s="48"/>
      <c r="AV340" s="20"/>
      <c r="AW340" s="45"/>
      <c r="AX340" s="20"/>
    </row>
    <row r="341" spans="2:50" ht="15.75" customHeight="1">
      <c r="B341" s="8">
        <v>338</v>
      </c>
      <c r="C341" s="20" t="s">
        <v>414</v>
      </c>
      <c r="D341" s="20" t="s">
        <v>414</v>
      </c>
      <c r="E341" s="8" t="s">
        <v>74</v>
      </c>
      <c r="F341" s="8" t="s">
        <v>75</v>
      </c>
      <c r="G341" s="19" t="s">
        <v>73</v>
      </c>
      <c r="H341" s="29" t="s">
        <v>76</v>
      </c>
      <c r="I341" s="20"/>
      <c r="J341" s="24">
        <v>30049099</v>
      </c>
      <c r="K341" s="11">
        <v>0.05</v>
      </c>
      <c r="L341" s="21">
        <v>840</v>
      </c>
      <c r="M341" s="22">
        <f t="shared" si="15"/>
        <v>739.2</v>
      </c>
      <c r="N341" s="23">
        <f t="shared" si="16"/>
        <v>100.79999999999995</v>
      </c>
      <c r="O341" s="26">
        <f t="shared" si="17"/>
        <v>0.11999999999999994</v>
      </c>
      <c r="P341" s="20"/>
      <c r="Q341" s="20" t="s">
        <v>859</v>
      </c>
      <c r="R341" s="20" t="s">
        <v>889</v>
      </c>
      <c r="S341" s="20"/>
      <c r="T341" s="30">
        <v>1</v>
      </c>
      <c r="U341" s="20" t="s">
        <v>666</v>
      </c>
      <c r="V341" s="20"/>
      <c r="W341" s="20" t="s">
        <v>929</v>
      </c>
      <c r="X341" s="43"/>
      <c r="Y341" s="20" t="s">
        <v>1111</v>
      </c>
      <c r="Z341" s="20" t="s">
        <v>1111</v>
      </c>
      <c r="AA341" s="20"/>
      <c r="AB341" s="20"/>
      <c r="AC341" s="20"/>
      <c r="AD341" s="20"/>
      <c r="AE341" s="20"/>
      <c r="AF341" s="20"/>
      <c r="AG341" s="20"/>
      <c r="AH341" s="20"/>
      <c r="AI341" s="20" t="s">
        <v>1326</v>
      </c>
      <c r="AJ341" s="20"/>
      <c r="AK341" s="20"/>
      <c r="AL341" s="20"/>
      <c r="AM341" s="20"/>
      <c r="AN341" s="37"/>
      <c r="AO341" s="20"/>
      <c r="AP341" s="20"/>
      <c r="AQ341" s="45"/>
      <c r="AR341" s="20" t="s">
        <v>1308</v>
      </c>
      <c r="AS341" s="20" t="s">
        <v>1111</v>
      </c>
      <c r="AT341" s="40" t="s">
        <v>1308</v>
      </c>
      <c r="AU341" s="48"/>
      <c r="AV341" s="20"/>
      <c r="AW341" s="45"/>
      <c r="AX341" s="20"/>
    </row>
    <row r="342" spans="2:50" ht="28.5" customHeight="1">
      <c r="B342" s="8">
        <v>339</v>
      </c>
      <c r="C342" s="20" t="s">
        <v>415</v>
      </c>
      <c r="D342" s="20" t="s">
        <v>415</v>
      </c>
      <c r="E342" s="8" t="s">
        <v>74</v>
      </c>
      <c r="F342" s="8" t="s">
        <v>75</v>
      </c>
      <c r="G342" s="19" t="s">
        <v>73</v>
      </c>
      <c r="H342" s="29" t="s">
        <v>76</v>
      </c>
      <c r="I342" s="20"/>
      <c r="J342" s="24">
        <v>30049032</v>
      </c>
      <c r="K342" s="11">
        <v>0.05</v>
      </c>
      <c r="L342" s="21">
        <v>185</v>
      </c>
      <c r="M342" s="22">
        <f t="shared" si="15"/>
        <v>162.80000000000001</v>
      </c>
      <c r="N342" s="23">
        <f t="shared" si="16"/>
        <v>22.199999999999989</v>
      </c>
      <c r="O342" s="26">
        <f t="shared" si="17"/>
        <v>0.11999999999999994</v>
      </c>
      <c r="P342" s="20"/>
      <c r="Q342" s="20" t="s">
        <v>863</v>
      </c>
      <c r="R342" s="20" t="s">
        <v>889</v>
      </c>
      <c r="S342" s="20"/>
      <c r="T342" s="30">
        <v>1</v>
      </c>
      <c r="U342" s="20" t="s">
        <v>667</v>
      </c>
      <c r="V342" s="20"/>
      <c r="W342" s="20" t="s">
        <v>931</v>
      </c>
      <c r="X342" s="43"/>
      <c r="Y342" s="40" t="s">
        <v>1110</v>
      </c>
      <c r="Z342" s="40" t="s">
        <v>1110</v>
      </c>
      <c r="AA342" s="20"/>
      <c r="AB342" s="20"/>
      <c r="AC342" s="20"/>
      <c r="AD342" s="20"/>
      <c r="AE342" s="20"/>
      <c r="AF342" s="20"/>
      <c r="AG342" s="20"/>
      <c r="AH342" s="20"/>
      <c r="AI342" s="20" t="s">
        <v>1329</v>
      </c>
      <c r="AJ342" s="20"/>
      <c r="AK342" s="20"/>
      <c r="AL342" s="20"/>
      <c r="AM342" s="20"/>
      <c r="AN342" s="35" t="s">
        <v>830</v>
      </c>
      <c r="AO342" s="20"/>
      <c r="AP342" s="20"/>
      <c r="AQ342" s="45"/>
      <c r="AR342" s="20" t="s">
        <v>1306</v>
      </c>
      <c r="AS342" s="40" t="s">
        <v>1110</v>
      </c>
      <c r="AT342" s="40" t="s">
        <v>1306</v>
      </c>
      <c r="AU342" s="48"/>
      <c r="AV342" s="20"/>
      <c r="AW342" s="45"/>
      <c r="AX342" s="20"/>
    </row>
    <row r="343" spans="2:50" ht="15.75" customHeight="1">
      <c r="B343" s="8">
        <v>340</v>
      </c>
      <c r="C343" s="20" t="s">
        <v>416</v>
      </c>
      <c r="D343" s="20" t="s">
        <v>416</v>
      </c>
      <c r="E343" s="8" t="s">
        <v>74</v>
      </c>
      <c r="F343" s="8" t="s">
        <v>75</v>
      </c>
      <c r="G343" s="19" t="s">
        <v>73</v>
      </c>
      <c r="H343" s="29" t="s">
        <v>76</v>
      </c>
      <c r="I343" s="20"/>
      <c r="J343" s="24">
        <v>30049011</v>
      </c>
      <c r="K343" s="11">
        <v>0.05</v>
      </c>
      <c r="L343" s="21">
        <v>750</v>
      </c>
      <c r="M343" s="22">
        <f t="shared" si="15"/>
        <v>660</v>
      </c>
      <c r="N343" s="23">
        <f t="shared" si="16"/>
        <v>90</v>
      </c>
      <c r="O343" s="26">
        <f t="shared" si="17"/>
        <v>0.12</v>
      </c>
      <c r="P343" s="20"/>
      <c r="Q343" s="20" t="s">
        <v>865</v>
      </c>
      <c r="R343" s="20" t="s">
        <v>889</v>
      </c>
      <c r="S343" s="20"/>
      <c r="T343" s="30">
        <v>1</v>
      </c>
      <c r="U343" s="20" t="s">
        <v>589</v>
      </c>
      <c r="V343" s="20"/>
      <c r="W343" s="20" t="s">
        <v>929</v>
      </c>
      <c r="X343" s="43"/>
      <c r="Y343" s="20" t="s">
        <v>1109</v>
      </c>
      <c r="Z343" s="20" t="s">
        <v>1109</v>
      </c>
      <c r="AA343" s="20"/>
      <c r="AB343" s="20"/>
      <c r="AC343" s="20"/>
      <c r="AD343" t="s">
        <v>1331</v>
      </c>
      <c r="AE343" s="20"/>
      <c r="AF343" s="20"/>
      <c r="AG343" s="20"/>
      <c r="AH343" s="20"/>
      <c r="AI343" s="20" t="s">
        <v>1327</v>
      </c>
      <c r="AJ343" s="20"/>
      <c r="AK343" s="20"/>
      <c r="AL343" s="20"/>
      <c r="AM343" s="20"/>
      <c r="AN343" s="37"/>
      <c r="AO343" s="20"/>
      <c r="AP343" s="20"/>
      <c r="AQ343" s="45"/>
      <c r="AR343" s="20" t="s">
        <v>1309</v>
      </c>
      <c r="AS343" s="20" t="s">
        <v>1109</v>
      </c>
      <c r="AT343" s="40" t="s">
        <v>1309</v>
      </c>
      <c r="AU343" s="48"/>
      <c r="AV343" s="20"/>
      <c r="AW343" s="45"/>
      <c r="AX343" s="20"/>
    </row>
    <row r="344" spans="2:50" ht="15.75" customHeight="1">
      <c r="B344" s="8">
        <v>341</v>
      </c>
      <c r="C344" s="20" t="s">
        <v>417</v>
      </c>
      <c r="D344" s="20" t="s">
        <v>417</v>
      </c>
      <c r="E344" s="8" t="s">
        <v>74</v>
      </c>
      <c r="F344" s="8" t="s">
        <v>75</v>
      </c>
      <c r="G344" s="19" t="s">
        <v>73</v>
      </c>
      <c r="H344" s="29" t="s">
        <v>76</v>
      </c>
      <c r="I344" s="20"/>
      <c r="J344" s="24">
        <v>30049011</v>
      </c>
      <c r="K344" s="11">
        <v>0.05</v>
      </c>
      <c r="L344" s="21">
        <v>159.38</v>
      </c>
      <c r="M344" s="22">
        <f t="shared" si="15"/>
        <v>140.2544</v>
      </c>
      <c r="N344" s="23">
        <f t="shared" si="16"/>
        <v>19.125599999999991</v>
      </c>
      <c r="O344" s="26">
        <f t="shared" si="17"/>
        <v>0.11999999999999995</v>
      </c>
      <c r="P344" s="20"/>
      <c r="Q344" s="20" t="s">
        <v>862</v>
      </c>
      <c r="R344" s="20" t="s">
        <v>889</v>
      </c>
      <c r="S344" s="20"/>
      <c r="T344" s="30">
        <v>1</v>
      </c>
      <c r="U344" s="20" t="s">
        <v>601</v>
      </c>
      <c r="V344" s="20"/>
      <c r="W344" s="20" t="s">
        <v>931</v>
      </c>
      <c r="X344" s="43"/>
      <c r="Y344" s="20" t="s">
        <v>1108</v>
      </c>
      <c r="Z344" s="20" t="s">
        <v>1108</v>
      </c>
      <c r="AA344" s="20"/>
      <c r="AB344" s="20"/>
      <c r="AC344" s="20"/>
      <c r="AD344" s="20"/>
      <c r="AE344" s="20"/>
      <c r="AF344" s="20"/>
      <c r="AG344" s="20"/>
      <c r="AH344" s="20"/>
      <c r="AI344" s="20" t="s">
        <v>1327</v>
      </c>
      <c r="AJ344" s="20"/>
      <c r="AK344" s="20"/>
      <c r="AL344" s="20"/>
      <c r="AM344" s="20"/>
      <c r="AN344" s="37"/>
      <c r="AO344" s="20"/>
      <c r="AP344" s="20"/>
      <c r="AQ344" s="45"/>
      <c r="AR344" s="20" t="s">
        <v>1309</v>
      </c>
      <c r="AS344" s="20" t="s">
        <v>1108</v>
      </c>
      <c r="AT344" s="40" t="s">
        <v>1309</v>
      </c>
      <c r="AU344" s="48"/>
      <c r="AV344" s="20"/>
      <c r="AW344" s="45"/>
      <c r="AX344" s="20"/>
    </row>
    <row r="345" spans="2:50" ht="28.5" customHeight="1">
      <c r="B345" s="8">
        <v>342</v>
      </c>
      <c r="C345" s="20" t="s">
        <v>418</v>
      </c>
      <c r="D345" s="20" t="s">
        <v>418</v>
      </c>
      <c r="E345" s="8" t="s">
        <v>74</v>
      </c>
      <c r="F345" s="8" t="s">
        <v>75</v>
      </c>
      <c r="G345" s="19" t="s">
        <v>73</v>
      </c>
      <c r="H345" s="29" t="s">
        <v>76</v>
      </c>
      <c r="I345" s="20"/>
      <c r="J345" s="24">
        <v>30049099</v>
      </c>
      <c r="K345" s="11">
        <v>0.05</v>
      </c>
      <c r="L345" s="21">
        <v>1593.75</v>
      </c>
      <c r="M345" s="22">
        <f t="shared" si="15"/>
        <v>1402.5</v>
      </c>
      <c r="N345" s="23">
        <f t="shared" si="16"/>
        <v>191.25</v>
      </c>
      <c r="O345" s="26">
        <f t="shared" si="17"/>
        <v>0.12</v>
      </c>
      <c r="P345" s="20"/>
      <c r="Q345" s="20" t="s">
        <v>859</v>
      </c>
      <c r="R345" s="20" t="s">
        <v>889</v>
      </c>
      <c r="S345" s="20"/>
      <c r="T345" s="30">
        <v>1</v>
      </c>
      <c r="U345" s="20" t="s">
        <v>589</v>
      </c>
      <c r="V345" s="20"/>
      <c r="W345" s="20" t="s">
        <v>929</v>
      </c>
      <c r="X345" s="43"/>
      <c r="Y345" s="20" t="s">
        <v>1107</v>
      </c>
      <c r="Z345" s="20" t="s">
        <v>1107</v>
      </c>
      <c r="AA345" s="20"/>
      <c r="AB345" s="20"/>
      <c r="AC345" s="20"/>
      <c r="AD345" t="s">
        <v>1331</v>
      </c>
      <c r="AE345" s="20"/>
      <c r="AF345" s="20"/>
      <c r="AG345" s="20"/>
      <c r="AH345" s="20"/>
      <c r="AI345" s="20" t="s">
        <v>1327</v>
      </c>
      <c r="AJ345" s="20"/>
      <c r="AK345" s="20"/>
      <c r="AL345" s="20"/>
      <c r="AM345" s="20"/>
      <c r="AN345" s="35" t="s">
        <v>831</v>
      </c>
      <c r="AO345" s="20"/>
      <c r="AP345" s="20"/>
      <c r="AQ345" s="45"/>
      <c r="AR345" s="20" t="s">
        <v>1309</v>
      </c>
      <c r="AS345" s="20" t="s">
        <v>1107</v>
      </c>
      <c r="AT345" s="40" t="s">
        <v>1309</v>
      </c>
      <c r="AU345" s="48"/>
      <c r="AV345" s="20"/>
      <c r="AW345" s="45"/>
      <c r="AX345" s="20"/>
    </row>
    <row r="346" spans="2:50" ht="15.75" customHeight="1">
      <c r="B346" s="8">
        <v>343</v>
      </c>
      <c r="C346" s="20" t="s">
        <v>419</v>
      </c>
      <c r="D346" s="20" t="s">
        <v>419</v>
      </c>
      <c r="E346" s="8" t="s">
        <v>74</v>
      </c>
      <c r="F346" s="8" t="s">
        <v>75</v>
      </c>
      <c r="G346" s="19" t="s">
        <v>73</v>
      </c>
      <c r="H346" s="29" t="s">
        <v>76</v>
      </c>
      <c r="I346" s="20"/>
      <c r="J346" s="24">
        <v>30049099</v>
      </c>
      <c r="K346" s="11">
        <v>0.05</v>
      </c>
      <c r="L346" s="21">
        <v>190</v>
      </c>
      <c r="M346" s="22">
        <f t="shared" si="15"/>
        <v>167.2</v>
      </c>
      <c r="N346" s="23">
        <f t="shared" si="16"/>
        <v>22.800000000000011</v>
      </c>
      <c r="O346" s="26">
        <f t="shared" si="17"/>
        <v>0.12000000000000006</v>
      </c>
      <c r="P346" s="20"/>
      <c r="Q346" s="20" t="s">
        <v>883</v>
      </c>
      <c r="R346" s="20" t="s">
        <v>890</v>
      </c>
      <c r="S346" s="20"/>
      <c r="T346" s="30">
        <v>1</v>
      </c>
      <c r="U346" s="20" t="s">
        <v>614</v>
      </c>
      <c r="V346" s="20"/>
      <c r="W346" s="20" t="s">
        <v>928</v>
      </c>
      <c r="X346" s="43"/>
      <c r="Y346" s="20" t="s">
        <v>1106</v>
      </c>
      <c r="Z346" s="20" t="s">
        <v>1106</v>
      </c>
      <c r="AA346" s="20"/>
      <c r="AB346" s="20"/>
      <c r="AC346" s="20"/>
      <c r="AD346" s="20"/>
      <c r="AE346" s="20"/>
      <c r="AF346" s="20"/>
      <c r="AG346" s="20"/>
      <c r="AH346" s="20"/>
      <c r="AI346" s="20" t="s">
        <v>1322</v>
      </c>
      <c r="AJ346" s="20"/>
      <c r="AK346" s="20"/>
      <c r="AL346" s="20"/>
      <c r="AM346" s="20"/>
      <c r="AN346" s="37"/>
      <c r="AO346" s="20"/>
      <c r="AP346" s="20"/>
      <c r="AQ346" s="45"/>
      <c r="AR346" s="20" t="s">
        <v>1309</v>
      </c>
      <c r="AS346" s="20" t="s">
        <v>1106</v>
      </c>
      <c r="AT346" s="40" t="s">
        <v>1309</v>
      </c>
      <c r="AU346" s="48"/>
      <c r="AV346" s="20"/>
      <c r="AW346" s="45"/>
      <c r="AX346" s="20"/>
    </row>
    <row r="347" spans="2:50" ht="30" customHeight="1">
      <c r="B347" s="8">
        <v>344</v>
      </c>
      <c r="C347" s="20" t="s">
        <v>420</v>
      </c>
      <c r="D347" s="20" t="s">
        <v>420</v>
      </c>
      <c r="E347" s="8" t="s">
        <v>74</v>
      </c>
      <c r="F347" s="8" t="s">
        <v>75</v>
      </c>
      <c r="G347" s="19" t="s">
        <v>73</v>
      </c>
      <c r="H347" s="29" t="s">
        <v>76</v>
      </c>
      <c r="I347" s="20"/>
      <c r="J347" s="24">
        <v>30049099</v>
      </c>
      <c r="K347" s="11">
        <v>0.05</v>
      </c>
      <c r="L347" s="21">
        <v>910</v>
      </c>
      <c r="M347" s="22">
        <f t="shared" si="15"/>
        <v>800.8</v>
      </c>
      <c r="N347" s="23">
        <f t="shared" si="16"/>
        <v>109.20000000000005</v>
      </c>
      <c r="O347" s="26">
        <f t="shared" si="17"/>
        <v>0.12000000000000005</v>
      </c>
      <c r="P347" s="20"/>
      <c r="Q347" s="20" t="s">
        <v>859</v>
      </c>
      <c r="R347" s="20" t="s">
        <v>889</v>
      </c>
      <c r="S347" s="20"/>
      <c r="T347" s="30">
        <v>1</v>
      </c>
      <c r="U347" s="20" t="s">
        <v>604</v>
      </c>
      <c r="V347" s="20"/>
      <c r="W347" s="20" t="s">
        <v>929</v>
      </c>
      <c r="X347" s="43"/>
      <c r="Y347" s="20" t="s">
        <v>1105</v>
      </c>
      <c r="Z347" s="20" t="s">
        <v>1105</v>
      </c>
      <c r="AA347" s="20"/>
      <c r="AB347" s="20"/>
      <c r="AC347" s="20"/>
      <c r="AD347" s="20"/>
      <c r="AE347" s="20"/>
      <c r="AF347" s="20"/>
      <c r="AG347" s="20"/>
      <c r="AH347" s="20"/>
      <c r="AI347" s="20" t="s">
        <v>1327</v>
      </c>
      <c r="AJ347" s="20"/>
      <c r="AK347" s="20"/>
      <c r="AL347" s="20"/>
      <c r="AM347" s="20"/>
      <c r="AN347" s="35" t="s">
        <v>832</v>
      </c>
      <c r="AO347" s="20"/>
      <c r="AP347" s="20"/>
      <c r="AQ347" s="45"/>
      <c r="AR347" s="20" t="s">
        <v>1309</v>
      </c>
      <c r="AS347" s="20" t="s">
        <v>1105</v>
      </c>
      <c r="AT347" s="40" t="s">
        <v>1309</v>
      </c>
      <c r="AU347" s="48"/>
      <c r="AV347" s="20"/>
      <c r="AW347" s="45"/>
      <c r="AX347" s="20"/>
    </row>
    <row r="348" spans="2:50" ht="15.75" customHeight="1">
      <c r="B348" s="8">
        <v>345</v>
      </c>
      <c r="C348" s="20" t="s">
        <v>421</v>
      </c>
      <c r="D348" s="20" t="s">
        <v>421</v>
      </c>
      <c r="E348" s="8" t="s">
        <v>74</v>
      </c>
      <c r="F348" s="8" t="s">
        <v>75</v>
      </c>
      <c r="G348" s="19" t="s">
        <v>73</v>
      </c>
      <c r="H348" s="29" t="s">
        <v>76</v>
      </c>
      <c r="I348" s="20"/>
      <c r="J348" s="24">
        <v>30049069</v>
      </c>
      <c r="K348" s="11">
        <v>0.05</v>
      </c>
      <c r="L348" s="21">
        <v>323.44</v>
      </c>
      <c r="M348" s="22">
        <f t="shared" si="15"/>
        <v>284.62720000000002</v>
      </c>
      <c r="N348" s="23">
        <f t="shared" si="16"/>
        <v>38.812799999999982</v>
      </c>
      <c r="O348" s="26">
        <f t="shared" si="17"/>
        <v>0.11999999999999994</v>
      </c>
      <c r="P348" s="20"/>
      <c r="Q348" s="20" t="s">
        <v>864</v>
      </c>
      <c r="R348" s="20" t="s">
        <v>891</v>
      </c>
      <c r="S348" s="20"/>
      <c r="T348" s="30">
        <v>1</v>
      </c>
      <c r="U348" s="20" t="s">
        <v>668</v>
      </c>
      <c r="V348" s="20"/>
      <c r="W348" s="20" t="s">
        <v>936</v>
      </c>
      <c r="X348" s="43"/>
      <c r="Y348" s="20" t="s">
        <v>1104</v>
      </c>
      <c r="Z348" s="20" t="s">
        <v>1104</v>
      </c>
      <c r="AA348" s="20"/>
      <c r="AB348" s="20"/>
      <c r="AC348" s="20"/>
      <c r="AD348" s="20"/>
      <c r="AE348" s="20"/>
      <c r="AF348" s="20"/>
      <c r="AG348" s="20"/>
      <c r="AH348" s="20"/>
      <c r="AI348" s="20" t="s">
        <v>1327</v>
      </c>
      <c r="AJ348" s="20"/>
      <c r="AK348" s="20"/>
      <c r="AL348" s="20"/>
      <c r="AM348" s="20"/>
      <c r="AN348" s="37"/>
      <c r="AO348" s="20"/>
      <c r="AP348" s="20"/>
      <c r="AQ348" s="45"/>
      <c r="AR348" s="20" t="s">
        <v>1316</v>
      </c>
      <c r="AS348" s="20" t="s">
        <v>1104</v>
      </c>
      <c r="AT348" s="40" t="s">
        <v>1316</v>
      </c>
      <c r="AU348" s="48"/>
      <c r="AV348" s="20"/>
      <c r="AW348" s="45"/>
      <c r="AX348" s="20"/>
    </row>
    <row r="349" spans="2:50" ht="31.5" customHeight="1">
      <c r="B349" s="8">
        <v>346</v>
      </c>
      <c r="C349" s="20" t="s">
        <v>422</v>
      </c>
      <c r="D349" s="20" t="s">
        <v>422</v>
      </c>
      <c r="E349" s="8" t="s">
        <v>74</v>
      </c>
      <c r="F349" s="8" t="s">
        <v>75</v>
      </c>
      <c r="G349" s="19" t="s">
        <v>73</v>
      </c>
      <c r="H349" s="29" t="s">
        <v>76</v>
      </c>
      <c r="I349" s="20"/>
      <c r="J349" s="24">
        <v>21069099</v>
      </c>
      <c r="K349" s="11">
        <v>0.05</v>
      </c>
      <c r="L349" s="21">
        <v>80</v>
      </c>
      <c r="M349" s="22">
        <f t="shared" si="15"/>
        <v>70.400000000000006</v>
      </c>
      <c r="N349" s="23">
        <f t="shared" si="16"/>
        <v>9.5999999999999943</v>
      </c>
      <c r="O349" s="26">
        <f t="shared" si="17"/>
        <v>0.11999999999999993</v>
      </c>
      <c r="P349" s="20"/>
      <c r="Q349" s="20" t="s">
        <v>862</v>
      </c>
      <c r="R349" s="20" t="s">
        <v>889</v>
      </c>
      <c r="S349" s="20"/>
      <c r="T349" s="30">
        <v>1</v>
      </c>
      <c r="U349" s="20" t="s">
        <v>592</v>
      </c>
      <c r="V349" s="20"/>
      <c r="W349" s="20" t="s">
        <v>931</v>
      </c>
      <c r="X349" s="43"/>
      <c r="Y349" s="20" t="s">
        <v>1103</v>
      </c>
      <c r="Z349" s="20" t="s">
        <v>1103</v>
      </c>
      <c r="AA349" s="20"/>
      <c r="AB349" s="20"/>
      <c r="AC349" s="20"/>
      <c r="AD349" s="20"/>
      <c r="AE349" s="20"/>
      <c r="AF349" s="20"/>
      <c r="AG349" s="20"/>
      <c r="AH349" s="20"/>
      <c r="AI349" s="20" t="s">
        <v>1329</v>
      </c>
      <c r="AJ349" s="20"/>
      <c r="AK349" s="20"/>
      <c r="AL349" s="20"/>
      <c r="AM349" s="20"/>
      <c r="AN349" s="35" t="s">
        <v>833</v>
      </c>
      <c r="AO349" s="20"/>
      <c r="AP349" s="20"/>
      <c r="AQ349" s="45"/>
      <c r="AR349" s="20" t="s">
        <v>1316</v>
      </c>
      <c r="AS349" s="20" t="s">
        <v>1103</v>
      </c>
      <c r="AT349" s="40" t="s">
        <v>1316</v>
      </c>
      <c r="AU349" s="48"/>
      <c r="AV349" s="20"/>
      <c r="AW349" s="45"/>
      <c r="AX349" s="20"/>
    </row>
    <row r="350" spans="2:50" ht="30" customHeight="1">
      <c r="B350" s="8">
        <v>347</v>
      </c>
      <c r="C350" s="20" t="s">
        <v>423</v>
      </c>
      <c r="D350" s="20" t="s">
        <v>423</v>
      </c>
      <c r="E350" s="8" t="s">
        <v>74</v>
      </c>
      <c r="F350" s="8" t="s">
        <v>75</v>
      </c>
      <c r="G350" s="19" t="s">
        <v>73</v>
      </c>
      <c r="H350" s="29" t="s">
        <v>76</v>
      </c>
      <c r="I350" s="20"/>
      <c r="J350" s="24">
        <v>21069099</v>
      </c>
      <c r="K350" s="11">
        <v>0.05</v>
      </c>
      <c r="L350" s="21">
        <v>160</v>
      </c>
      <c r="M350" s="22">
        <f t="shared" si="15"/>
        <v>140.80000000000001</v>
      </c>
      <c r="N350" s="23">
        <f t="shared" si="16"/>
        <v>19.199999999999989</v>
      </c>
      <c r="O350" s="26">
        <f t="shared" si="17"/>
        <v>0.11999999999999993</v>
      </c>
      <c r="P350" s="20"/>
      <c r="Q350" s="20" t="s">
        <v>862</v>
      </c>
      <c r="R350" s="20" t="s">
        <v>889</v>
      </c>
      <c r="S350" s="20"/>
      <c r="T350" s="30">
        <v>1</v>
      </c>
      <c r="U350" s="20" t="s">
        <v>601</v>
      </c>
      <c r="V350" s="20"/>
      <c r="W350" s="20" t="s">
        <v>931</v>
      </c>
      <c r="X350" s="43"/>
      <c r="Y350" s="20" t="s">
        <v>1103</v>
      </c>
      <c r="Z350" s="20" t="s">
        <v>1103</v>
      </c>
      <c r="AA350" s="20"/>
      <c r="AB350" s="20"/>
      <c r="AC350" s="20"/>
      <c r="AD350" s="20"/>
      <c r="AE350" s="20"/>
      <c r="AF350" s="20"/>
      <c r="AG350" s="20"/>
      <c r="AH350" s="20"/>
      <c r="AI350" s="20" t="s">
        <v>1329</v>
      </c>
      <c r="AJ350" s="20"/>
      <c r="AK350" s="20"/>
      <c r="AL350" s="20"/>
      <c r="AM350" s="20"/>
      <c r="AN350" s="35" t="s">
        <v>834</v>
      </c>
      <c r="AO350" s="20"/>
      <c r="AP350" s="20"/>
      <c r="AQ350" s="45"/>
      <c r="AR350" s="20" t="s">
        <v>1316</v>
      </c>
      <c r="AS350" s="20" t="s">
        <v>1103</v>
      </c>
      <c r="AT350" s="40" t="s">
        <v>1316</v>
      </c>
      <c r="AU350" s="48"/>
      <c r="AV350" s="20"/>
      <c r="AW350" s="45"/>
      <c r="AX350" s="20"/>
    </row>
    <row r="351" spans="2:50" ht="15.75" customHeight="1">
      <c r="B351" s="8">
        <v>348</v>
      </c>
      <c r="C351" s="20" t="s">
        <v>424</v>
      </c>
      <c r="D351" s="20" t="s">
        <v>424</v>
      </c>
      <c r="E351" s="8" t="s">
        <v>74</v>
      </c>
      <c r="F351" s="8" t="s">
        <v>75</v>
      </c>
      <c r="G351" s="19" t="s">
        <v>73</v>
      </c>
      <c r="H351" s="29" t="s">
        <v>76</v>
      </c>
      <c r="I351" s="20"/>
      <c r="J351" s="24">
        <v>21069099</v>
      </c>
      <c r="K351" s="11">
        <v>0.05</v>
      </c>
      <c r="L351" s="21">
        <v>419</v>
      </c>
      <c r="M351" s="22">
        <f t="shared" si="15"/>
        <v>368.72</v>
      </c>
      <c r="N351" s="23">
        <f t="shared" si="16"/>
        <v>50.279999999999973</v>
      </c>
      <c r="O351" s="26">
        <f t="shared" si="17"/>
        <v>0.11999999999999994</v>
      </c>
      <c r="P351" s="20"/>
      <c r="Q351" s="20" t="s">
        <v>886</v>
      </c>
      <c r="R351" s="20" t="s">
        <v>889</v>
      </c>
      <c r="S351" s="20"/>
      <c r="T351" s="30">
        <v>1</v>
      </c>
      <c r="U351" s="20" t="s">
        <v>630</v>
      </c>
      <c r="V351" s="20"/>
      <c r="W351" s="20" t="s">
        <v>932</v>
      </c>
      <c r="X351" s="43"/>
      <c r="Y351" s="20" t="s">
        <v>1102</v>
      </c>
      <c r="Z351" s="20" t="s">
        <v>1102</v>
      </c>
      <c r="AA351" s="20"/>
      <c r="AB351" s="20"/>
      <c r="AC351" s="20"/>
      <c r="AD351" s="20"/>
      <c r="AE351" s="20"/>
      <c r="AF351" s="20"/>
      <c r="AG351" s="20"/>
      <c r="AH351" s="20"/>
      <c r="AI351" s="20" t="s">
        <v>1327</v>
      </c>
      <c r="AJ351" s="20"/>
      <c r="AK351" s="20"/>
      <c r="AL351" s="20"/>
      <c r="AM351" s="20"/>
      <c r="AN351" s="37"/>
      <c r="AO351" s="20"/>
      <c r="AP351" s="20"/>
      <c r="AQ351" s="45"/>
      <c r="AR351" s="20" t="s">
        <v>1309</v>
      </c>
      <c r="AS351" s="20" t="s">
        <v>1102</v>
      </c>
      <c r="AT351" s="40" t="s">
        <v>1309</v>
      </c>
      <c r="AU351" s="48"/>
      <c r="AV351" s="20"/>
      <c r="AW351" s="45"/>
      <c r="AX351" s="20"/>
    </row>
    <row r="352" spans="2:50" ht="69.75" customHeight="1">
      <c r="B352" s="8">
        <v>349</v>
      </c>
      <c r="C352" s="20" t="s">
        <v>425</v>
      </c>
      <c r="D352" s="20" t="s">
        <v>425</v>
      </c>
      <c r="E352" s="8" t="s">
        <v>74</v>
      </c>
      <c r="F352" s="8" t="s">
        <v>75</v>
      </c>
      <c r="G352" s="19" t="s">
        <v>73</v>
      </c>
      <c r="H352" s="29" t="s">
        <v>76</v>
      </c>
      <c r="I352" s="20"/>
      <c r="J352" s="24">
        <v>30049099</v>
      </c>
      <c r="K352" s="11">
        <v>0.05</v>
      </c>
      <c r="L352" s="21">
        <v>201.56</v>
      </c>
      <c r="M352" s="22">
        <f t="shared" si="15"/>
        <v>177.37280000000001</v>
      </c>
      <c r="N352" s="23">
        <f t="shared" si="16"/>
        <v>24.18719999999999</v>
      </c>
      <c r="O352" s="26">
        <f t="shared" si="17"/>
        <v>0.11999999999999995</v>
      </c>
      <c r="P352" s="20"/>
      <c r="Q352" s="20" t="s">
        <v>862</v>
      </c>
      <c r="R352" s="20" t="s">
        <v>889</v>
      </c>
      <c r="S352" s="20"/>
      <c r="T352" s="30">
        <v>1</v>
      </c>
      <c r="U352" s="20" t="s">
        <v>645</v>
      </c>
      <c r="V352" s="20"/>
      <c r="W352" s="20" t="s">
        <v>931</v>
      </c>
      <c r="X352" s="43"/>
      <c r="Y352" s="40" t="s">
        <v>1101</v>
      </c>
      <c r="Z352" s="40" t="s">
        <v>1101</v>
      </c>
      <c r="AA352" s="20"/>
      <c r="AB352" s="20"/>
      <c r="AC352" s="20"/>
      <c r="AD352" s="20"/>
      <c r="AE352" s="20"/>
      <c r="AF352" s="20"/>
      <c r="AG352" s="20"/>
      <c r="AH352" s="20"/>
      <c r="AI352" s="20" t="s">
        <v>1329</v>
      </c>
      <c r="AJ352" s="20"/>
      <c r="AK352" s="20"/>
      <c r="AL352" s="20"/>
      <c r="AM352" s="20"/>
      <c r="AN352" s="35" t="s">
        <v>835</v>
      </c>
      <c r="AO352" s="20"/>
      <c r="AP352" s="20"/>
      <c r="AQ352" s="45"/>
      <c r="AR352" s="20" t="s">
        <v>1306</v>
      </c>
      <c r="AS352" s="40" t="s">
        <v>1101</v>
      </c>
      <c r="AT352" s="40" t="s">
        <v>1306</v>
      </c>
      <c r="AU352" s="48"/>
      <c r="AV352" s="20"/>
      <c r="AW352" s="45"/>
      <c r="AX352" s="20"/>
    </row>
    <row r="353" spans="2:50" ht="33" customHeight="1">
      <c r="B353" s="8">
        <v>350</v>
      </c>
      <c r="C353" s="20" t="s">
        <v>426</v>
      </c>
      <c r="D353" s="20" t="s">
        <v>426</v>
      </c>
      <c r="E353" s="8" t="s">
        <v>74</v>
      </c>
      <c r="F353" s="8" t="s">
        <v>75</v>
      </c>
      <c r="G353" s="19" t="s">
        <v>73</v>
      </c>
      <c r="H353" s="29" t="s">
        <v>76</v>
      </c>
      <c r="I353" s="20"/>
      <c r="J353" s="24">
        <v>21069099</v>
      </c>
      <c r="K353" s="11">
        <v>0.05</v>
      </c>
      <c r="L353" s="21">
        <v>1308</v>
      </c>
      <c r="M353" s="22">
        <f t="shared" si="15"/>
        <v>1151.04</v>
      </c>
      <c r="N353" s="23">
        <f t="shared" si="16"/>
        <v>156.96000000000004</v>
      </c>
      <c r="O353" s="26">
        <f t="shared" si="17"/>
        <v>0.12000000000000002</v>
      </c>
      <c r="P353" s="20"/>
      <c r="Q353" s="20" t="s">
        <v>865</v>
      </c>
      <c r="R353" s="20" t="s">
        <v>889</v>
      </c>
      <c r="S353" s="20"/>
      <c r="T353" s="30">
        <v>1</v>
      </c>
      <c r="U353" s="20" t="s">
        <v>597</v>
      </c>
      <c r="V353" s="20"/>
      <c r="W353" s="20" t="s">
        <v>929</v>
      </c>
      <c r="X353" s="43"/>
      <c r="Y353" s="20" t="s">
        <v>1100</v>
      </c>
      <c r="Z353" s="20" t="s">
        <v>1100</v>
      </c>
      <c r="AA353" s="20"/>
      <c r="AB353" s="20"/>
      <c r="AC353" s="20"/>
      <c r="AD353" s="20"/>
      <c r="AE353" s="20"/>
      <c r="AF353" s="20"/>
      <c r="AG353" s="20"/>
      <c r="AH353" s="20"/>
      <c r="AI353" s="20" t="s">
        <v>1329</v>
      </c>
      <c r="AJ353" s="20"/>
      <c r="AK353" s="20"/>
      <c r="AL353" s="20"/>
      <c r="AM353" s="20"/>
      <c r="AN353" s="35" t="s">
        <v>836</v>
      </c>
      <c r="AO353" s="20"/>
      <c r="AP353" s="20"/>
      <c r="AQ353" s="45"/>
      <c r="AR353" s="20" t="s">
        <v>1309</v>
      </c>
      <c r="AS353" s="20" t="s">
        <v>1100</v>
      </c>
      <c r="AT353" s="40" t="s">
        <v>1309</v>
      </c>
      <c r="AU353" s="48"/>
      <c r="AV353" s="20"/>
      <c r="AW353" s="45"/>
      <c r="AX353" s="20"/>
    </row>
    <row r="354" spans="2:50" ht="36.75" customHeight="1">
      <c r="B354" s="8">
        <v>351</v>
      </c>
      <c r="C354" s="20" t="s">
        <v>427</v>
      </c>
      <c r="D354" s="20" t="s">
        <v>427</v>
      </c>
      <c r="E354" s="8" t="s">
        <v>74</v>
      </c>
      <c r="F354" s="8" t="s">
        <v>75</v>
      </c>
      <c r="G354" s="19" t="s">
        <v>73</v>
      </c>
      <c r="H354" s="29" t="s">
        <v>76</v>
      </c>
      <c r="I354" s="20"/>
      <c r="J354" s="24">
        <v>21069099</v>
      </c>
      <c r="K354" s="11">
        <v>0.05</v>
      </c>
      <c r="L354" s="21">
        <v>390</v>
      </c>
      <c r="M354" s="22">
        <f t="shared" si="15"/>
        <v>343.2</v>
      </c>
      <c r="N354" s="23">
        <f t="shared" si="16"/>
        <v>46.800000000000011</v>
      </c>
      <c r="O354" s="26">
        <f t="shared" si="17"/>
        <v>0.12000000000000002</v>
      </c>
      <c r="P354" s="20"/>
      <c r="Q354" s="20" t="s">
        <v>886</v>
      </c>
      <c r="R354" s="20" t="s">
        <v>889</v>
      </c>
      <c r="S354" s="20"/>
      <c r="T354" s="30">
        <v>1</v>
      </c>
      <c r="U354" s="20" t="s">
        <v>630</v>
      </c>
      <c r="V354" s="20"/>
      <c r="W354" s="20" t="s">
        <v>932</v>
      </c>
      <c r="X354" s="43"/>
      <c r="Y354" s="40" t="s">
        <v>1099</v>
      </c>
      <c r="Z354" s="40" t="s">
        <v>1099</v>
      </c>
      <c r="AA354" s="20"/>
      <c r="AB354" s="20"/>
      <c r="AC354" s="20"/>
      <c r="AD354" s="20"/>
      <c r="AE354" s="20"/>
      <c r="AF354" s="20"/>
      <c r="AG354" s="20"/>
      <c r="AH354" s="20"/>
      <c r="AI354" s="20" t="s">
        <v>1327</v>
      </c>
      <c r="AJ354" s="20"/>
      <c r="AK354" s="20"/>
      <c r="AL354" s="20"/>
      <c r="AM354" s="20"/>
      <c r="AN354" s="37"/>
      <c r="AO354" s="20"/>
      <c r="AP354" s="20"/>
      <c r="AQ354" s="45"/>
      <c r="AR354" s="20" t="s">
        <v>1309</v>
      </c>
      <c r="AS354" s="40" t="s">
        <v>1099</v>
      </c>
      <c r="AT354" s="40" t="s">
        <v>1309</v>
      </c>
      <c r="AU354" s="48"/>
      <c r="AV354" s="20"/>
      <c r="AW354" s="45"/>
      <c r="AX354" s="20"/>
    </row>
    <row r="355" spans="2:50" ht="40.5" customHeight="1">
      <c r="B355" s="8">
        <v>352</v>
      </c>
      <c r="C355" s="20" t="s">
        <v>428</v>
      </c>
      <c r="D355" s="20" t="s">
        <v>428</v>
      </c>
      <c r="E355" s="8" t="s">
        <v>74</v>
      </c>
      <c r="F355" s="8" t="s">
        <v>75</v>
      </c>
      <c r="G355" s="19" t="s">
        <v>73</v>
      </c>
      <c r="H355" s="29" t="s">
        <v>76</v>
      </c>
      <c r="I355" s="20"/>
      <c r="J355" s="24">
        <v>21069099</v>
      </c>
      <c r="K355" s="11">
        <v>0.05</v>
      </c>
      <c r="L355" s="21">
        <v>390</v>
      </c>
      <c r="M355" s="22">
        <f t="shared" si="15"/>
        <v>343.2</v>
      </c>
      <c r="N355" s="23">
        <f t="shared" si="16"/>
        <v>46.800000000000011</v>
      </c>
      <c r="O355" s="26">
        <f t="shared" si="17"/>
        <v>0.12000000000000002</v>
      </c>
      <c r="P355" s="20"/>
      <c r="Q355" s="20" t="s">
        <v>886</v>
      </c>
      <c r="R355" s="20" t="s">
        <v>889</v>
      </c>
      <c r="S355" s="20"/>
      <c r="T355" s="30">
        <v>1</v>
      </c>
      <c r="U355" s="20" t="s">
        <v>630</v>
      </c>
      <c r="V355" s="20"/>
      <c r="W355" s="20" t="s">
        <v>932</v>
      </c>
      <c r="X355" s="43"/>
      <c r="Y355" s="40" t="s">
        <v>1098</v>
      </c>
      <c r="Z355" s="40" t="s">
        <v>1098</v>
      </c>
      <c r="AA355" s="20"/>
      <c r="AB355" s="20"/>
      <c r="AC355" s="20"/>
      <c r="AD355" s="20"/>
      <c r="AE355" s="20"/>
      <c r="AF355" s="20"/>
      <c r="AG355" s="20"/>
      <c r="AH355" s="20"/>
      <c r="AI355" s="20" t="s">
        <v>1327</v>
      </c>
      <c r="AJ355" s="20"/>
      <c r="AK355" s="20"/>
      <c r="AL355" s="20"/>
      <c r="AM355" s="20"/>
      <c r="AN355" s="37"/>
      <c r="AO355" s="20"/>
      <c r="AP355" s="20"/>
      <c r="AQ355" s="45"/>
      <c r="AR355" s="20" t="s">
        <v>1309</v>
      </c>
      <c r="AS355" s="40" t="s">
        <v>1098</v>
      </c>
      <c r="AT355" s="40" t="s">
        <v>1309</v>
      </c>
      <c r="AU355" s="48"/>
      <c r="AV355" s="20"/>
      <c r="AW355" s="45"/>
      <c r="AX355" s="20"/>
    </row>
    <row r="356" spans="2:50" ht="34.5" customHeight="1">
      <c r="B356" s="8">
        <v>353</v>
      </c>
      <c r="C356" s="20" t="s">
        <v>429</v>
      </c>
      <c r="D356" s="20" t="s">
        <v>429</v>
      </c>
      <c r="E356" s="8" t="s">
        <v>74</v>
      </c>
      <c r="F356" s="8" t="s">
        <v>75</v>
      </c>
      <c r="G356" s="19" t="s">
        <v>73</v>
      </c>
      <c r="H356" s="29" t="s">
        <v>76</v>
      </c>
      <c r="I356" s="20"/>
      <c r="J356" s="24">
        <v>21069099</v>
      </c>
      <c r="K356" s="11">
        <v>0.05</v>
      </c>
      <c r="L356" s="21">
        <v>800</v>
      </c>
      <c r="M356" s="22">
        <f t="shared" si="15"/>
        <v>704</v>
      </c>
      <c r="N356" s="23">
        <f t="shared" si="16"/>
        <v>96</v>
      </c>
      <c r="O356" s="26">
        <f t="shared" si="17"/>
        <v>0.12</v>
      </c>
      <c r="P356" s="20"/>
      <c r="Q356" s="20" t="s">
        <v>882</v>
      </c>
      <c r="R356" s="20" t="s">
        <v>889</v>
      </c>
      <c r="S356" s="20"/>
      <c r="T356" s="30">
        <v>1</v>
      </c>
      <c r="U356" s="20" t="s">
        <v>669</v>
      </c>
      <c r="V356" s="20"/>
      <c r="W356" s="20" t="s">
        <v>938</v>
      </c>
      <c r="X356" s="43"/>
      <c r="Y356" s="40" t="s">
        <v>1097</v>
      </c>
      <c r="Z356" s="40" t="s">
        <v>1097</v>
      </c>
      <c r="AA356" s="20"/>
      <c r="AB356" s="20"/>
      <c r="AC356" s="20"/>
      <c r="AD356" s="20"/>
      <c r="AE356" s="20"/>
      <c r="AF356" s="20"/>
      <c r="AG356" s="20"/>
      <c r="AH356" s="20"/>
      <c r="AI356" s="20" t="s">
        <v>1329</v>
      </c>
      <c r="AJ356" s="20"/>
      <c r="AK356" s="20"/>
      <c r="AL356" s="20"/>
      <c r="AM356" s="20"/>
      <c r="AN356" s="35" t="s">
        <v>837</v>
      </c>
      <c r="AO356" s="20"/>
      <c r="AP356" s="20"/>
      <c r="AQ356" s="45"/>
      <c r="AR356" s="20" t="s">
        <v>1306</v>
      </c>
      <c r="AS356" s="40" t="s">
        <v>1097</v>
      </c>
      <c r="AT356" s="40" t="s">
        <v>1306</v>
      </c>
      <c r="AU356" s="48"/>
      <c r="AV356" s="20"/>
      <c r="AW356" s="45"/>
      <c r="AX356" s="20"/>
    </row>
    <row r="357" spans="2:50" ht="15.75" customHeight="1">
      <c r="B357" s="8">
        <v>354</v>
      </c>
      <c r="C357" s="20" t="s">
        <v>430</v>
      </c>
      <c r="D357" s="20" t="s">
        <v>430</v>
      </c>
      <c r="E357" s="8" t="s">
        <v>74</v>
      </c>
      <c r="F357" s="8" t="s">
        <v>75</v>
      </c>
      <c r="G357" s="19" t="s">
        <v>73</v>
      </c>
      <c r="H357" s="29" t="s">
        <v>76</v>
      </c>
      <c r="I357" s="20"/>
      <c r="J357" s="24">
        <v>30049099</v>
      </c>
      <c r="K357" s="11">
        <v>0.05</v>
      </c>
      <c r="L357" s="21">
        <v>180</v>
      </c>
      <c r="M357" s="22">
        <f t="shared" si="15"/>
        <v>158.4</v>
      </c>
      <c r="N357" s="23">
        <f t="shared" si="16"/>
        <v>21.599999999999994</v>
      </c>
      <c r="O357" s="26">
        <f t="shared" si="17"/>
        <v>0.11999999999999997</v>
      </c>
      <c r="P357" s="20"/>
      <c r="Q357" s="20" t="s">
        <v>870</v>
      </c>
      <c r="R357" s="20" t="s">
        <v>891</v>
      </c>
      <c r="S357" s="20"/>
      <c r="T357" s="30">
        <v>1</v>
      </c>
      <c r="U357" s="20" t="s">
        <v>626</v>
      </c>
      <c r="V357" s="20"/>
      <c r="W357" s="20" t="s">
        <v>936</v>
      </c>
      <c r="X357" s="43"/>
      <c r="Y357" s="20" t="s">
        <v>1263</v>
      </c>
      <c r="Z357" s="20" t="s">
        <v>1263</v>
      </c>
      <c r="AA357" s="20"/>
      <c r="AB357" s="20"/>
      <c r="AC357" s="20"/>
      <c r="AD357" s="20"/>
      <c r="AE357" s="20"/>
      <c r="AF357" s="20"/>
      <c r="AG357" s="20"/>
      <c r="AH357" s="20"/>
      <c r="AI357" s="20" t="s">
        <v>1327</v>
      </c>
      <c r="AJ357" s="20"/>
      <c r="AK357" s="20"/>
      <c r="AL357" s="20"/>
      <c r="AM357" s="20"/>
      <c r="AN357" s="37"/>
      <c r="AO357" s="20"/>
      <c r="AP357" s="20"/>
      <c r="AQ357" s="45"/>
      <c r="AR357" s="20" t="s">
        <v>1309</v>
      </c>
      <c r="AS357" s="20" t="s">
        <v>1263</v>
      </c>
      <c r="AT357" s="40" t="s">
        <v>1309</v>
      </c>
      <c r="AU357" s="48"/>
      <c r="AV357" s="20"/>
      <c r="AW357" s="45"/>
      <c r="AX357" s="20"/>
    </row>
    <row r="358" spans="2:50" ht="27.75" customHeight="1">
      <c r="B358" s="8">
        <v>355</v>
      </c>
      <c r="C358" s="20" t="s">
        <v>431</v>
      </c>
      <c r="D358" s="20" t="s">
        <v>431</v>
      </c>
      <c r="E358" s="8" t="s">
        <v>74</v>
      </c>
      <c r="F358" s="8" t="s">
        <v>75</v>
      </c>
      <c r="G358" s="19" t="s">
        <v>73</v>
      </c>
      <c r="H358" s="29" t="s">
        <v>76</v>
      </c>
      <c r="I358" s="20"/>
      <c r="J358" s="24">
        <v>30049099</v>
      </c>
      <c r="K358" s="11">
        <v>0.05</v>
      </c>
      <c r="L358" s="21">
        <v>645</v>
      </c>
      <c r="M358" s="22">
        <f t="shared" si="15"/>
        <v>567.6</v>
      </c>
      <c r="N358" s="23">
        <f t="shared" si="16"/>
        <v>77.399999999999977</v>
      </c>
      <c r="O358" s="26">
        <f t="shared" si="17"/>
        <v>0.11999999999999997</v>
      </c>
      <c r="P358" s="20"/>
      <c r="Q358" s="20" t="s">
        <v>870</v>
      </c>
      <c r="R358" s="20" t="s">
        <v>891</v>
      </c>
      <c r="S358" s="20"/>
      <c r="T358" s="30">
        <v>1</v>
      </c>
      <c r="U358" s="20" t="s">
        <v>593</v>
      </c>
      <c r="V358" s="20"/>
      <c r="W358" s="20" t="s">
        <v>936</v>
      </c>
      <c r="X358" s="43"/>
      <c r="Y358" s="20" t="s">
        <v>1096</v>
      </c>
      <c r="Z358" s="20" t="s">
        <v>1096</v>
      </c>
      <c r="AA358" s="20"/>
      <c r="AB358" s="20"/>
      <c r="AC358" s="20"/>
      <c r="AD358" s="20"/>
      <c r="AE358" s="20"/>
      <c r="AF358" s="20"/>
      <c r="AG358" s="20"/>
      <c r="AH358" s="20"/>
      <c r="AI358" s="20" t="s">
        <v>1327</v>
      </c>
      <c r="AJ358" s="20"/>
      <c r="AK358" s="20"/>
      <c r="AL358" s="20"/>
      <c r="AM358" s="20"/>
      <c r="AN358" s="35" t="s">
        <v>838</v>
      </c>
      <c r="AO358" s="20"/>
      <c r="AP358" s="20"/>
      <c r="AQ358" s="45"/>
      <c r="AR358" s="20" t="s">
        <v>1309</v>
      </c>
      <c r="AS358" s="20" t="s">
        <v>1096</v>
      </c>
      <c r="AT358" s="40" t="s">
        <v>1309</v>
      </c>
      <c r="AU358" s="48"/>
      <c r="AV358" s="20"/>
      <c r="AW358" s="45"/>
      <c r="AX358" s="20"/>
    </row>
    <row r="359" spans="2:50" ht="83.25" customHeight="1">
      <c r="B359" s="8">
        <v>356</v>
      </c>
      <c r="C359" s="20" t="s">
        <v>432</v>
      </c>
      <c r="D359" s="20" t="s">
        <v>432</v>
      </c>
      <c r="E359" s="8" t="s">
        <v>74</v>
      </c>
      <c r="F359" s="8" t="s">
        <v>75</v>
      </c>
      <c r="G359" s="19" t="s">
        <v>73</v>
      </c>
      <c r="H359" s="29" t="s">
        <v>76</v>
      </c>
      <c r="I359" s="20"/>
      <c r="J359" s="24">
        <v>29362390</v>
      </c>
      <c r="K359" s="11">
        <v>0.05</v>
      </c>
      <c r="L359" s="21">
        <v>620</v>
      </c>
      <c r="M359" s="22">
        <f t="shared" si="15"/>
        <v>545.6</v>
      </c>
      <c r="N359" s="23">
        <f t="shared" si="16"/>
        <v>74.399999999999977</v>
      </c>
      <c r="O359" s="26">
        <f t="shared" si="17"/>
        <v>0.11999999999999997</v>
      </c>
      <c r="P359" s="20"/>
      <c r="Q359" s="20" t="s">
        <v>869</v>
      </c>
      <c r="R359" s="20" t="s">
        <v>889</v>
      </c>
      <c r="S359" s="20"/>
      <c r="T359" s="30">
        <v>1</v>
      </c>
      <c r="U359" s="20" t="s">
        <v>589</v>
      </c>
      <c r="V359" s="20"/>
      <c r="W359" s="20" t="s">
        <v>929</v>
      </c>
      <c r="X359" s="43"/>
      <c r="Y359" s="40" t="s">
        <v>1088</v>
      </c>
      <c r="Z359" s="40" t="s">
        <v>1088</v>
      </c>
      <c r="AA359" s="20"/>
      <c r="AB359" s="20"/>
      <c r="AC359" s="20"/>
      <c r="AD359" t="s">
        <v>1331</v>
      </c>
      <c r="AE359" s="20"/>
      <c r="AF359" s="20"/>
      <c r="AG359" s="20"/>
      <c r="AH359" s="20"/>
      <c r="AI359" s="20" t="s">
        <v>1329</v>
      </c>
      <c r="AJ359" s="20"/>
      <c r="AK359" s="20"/>
      <c r="AL359" s="20"/>
      <c r="AM359" s="20"/>
      <c r="AN359" s="35"/>
      <c r="AO359" s="20"/>
      <c r="AP359" s="20"/>
      <c r="AQ359" s="45"/>
      <c r="AR359" s="20" t="s">
        <v>1306</v>
      </c>
      <c r="AS359" s="40" t="s">
        <v>1088</v>
      </c>
      <c r="AT359" s="40" t="s">
        <v>1306</v>
      </c>
      <c r="AU359" s="48"/>
      <c r="AV359" s="20"/>
      <c r="AW359" s="45"/>
      <c r="AX359" s="20"/>
    </row>
    <row r="360" spans="2:50" ht="83.25" customHeight="1">
      <c r="B360" s="8">
        <v>357</v>
      </c>
      <c r="C360" s="20" t="s">
        <v>433</v>
      </c>
      <c r="D360" s="20" t="s">
        <v>433</v>
      </c>
      <c r="E360" s="8" t="s">
        <v>74</v>
      </c>
      <c r="F360" s="8" t="s">
        <v>75</v>
      </c>
      <c r="G360" s="19" t="s">
        <v>73</v>
      </c>
      <c r="H360" s="29" t="s">
        <v>76</v>
      </c>
      <c r="I360" s="20"/>
      <c r="J360" s="24">
        <v>21069099</v>
      </c>
      <c r="K360" s="11">
        <v>0.05</v>
      </c>
      <c r="L360" s="21">
        <v>3100</v>
      </c>
      <c r="M360" s="22">
        <f t="shared" si="15"/>
        <v>2728</v>
      </c>
      <c r="N360" s="23">
        <f t="shared" si="16"/>
        <v>372</v>
      </c>
      <c r="O360" s="26">
        <f t="shared" si="17"/>
        <v>0.12</v>
      </c>
      <c r="P360" s="20"/>
      <c r="Q360" s="20" t="s">
        <v>869</v>
      </c>
      <c r="R360" s="20" t="s">
        <v>889</v>
      </c>
      <c r="S360" s="20"/>
      <c r="T360" s="30">
        <v>1</v>
      </c>
      <c r="U360" s="20" t="s">
        <v>597</v>
      </c>
      <c r="V360" s="20"/>
      <c r="W360" s="20" t="s">
        <v>929</v>
      </c>
      <c r="X360" s="43"/>
      <c r="Y360" s="40" t="s">
        <v>1094</v>
      </c>
      <c r="Z360" s="40" t="s">
        <v>1094</v>
      </c>
      <c r="AA360" s="20"/>
      <c r="AB360" s="20"/>
      <c r="AC360" s="20"/>
      <c r="AD360" s="20"/>
      <c r="AE360" s="20"/>
      <c r="AF360" s="20"/>
      <c r="AG360" s="20"/>
      <c r="AH360" s="20"/>
      <c r="AI360" s="20" t="s">
        <v>1322</v>
      </c>
      <c r="AJ360" s="20"/>
      <c r="AK360" s="20"/>
      <c r="AL360" s="20"/>
      <c r="AM360" s="20"/>
      <c r="AN360" s="35" t="s">
        <v>840</v>
      </c>
      <c r="AO360" s="20"/>
      <c r="AP360" s="20"/>
      <c r="AQ360" s="45"/>
      <c r="AR360" s="20" t="s">
        <v>1306</v>
      </c>
      <c r="AS360" s="40" t="s">
        <v>1094</v>
      </c>
      <c r="AT360" s="40" t="s">
        <v>1306</v>
      </c>
      <c r="AU360" s="48"/>
      <c r="AV360" s="20"/>
      <c r="AW360" s="45"/>
      <c r="AX360" s="20"/>
    </row>
    <row r="361" spans="2:50" ht="54" customHeight="1">
      <c r="B361" s="8">
        <v>358</v>
      </c>
      <c r="C361" s="20" t="s">
        <v>434</v>
      </c>
      <c r="D361" s="20" t="s">
        <v>434</v>
      </c>
      <c r="E361" s="8" t="s">
        <v>74</v>
      </c>
      <c r="F361" s="8" t="s">
        <v>75</v>
      </c>
      <c r="G361" s="19" t="s">
        <v>73</v>
      </c>
      <c r="H361" s="29" t="s">
        <v>76</v>
      </c>
      <c r="I361" s="20"/>
      <c r="J361" s="24">
        <v>30045090</v>
      </c>
      <c r="K361" s="11">
        <v>0.05</v>
      </c>
      <c r="L361" s="21">
        <v>523.13</v>
      </c>
      <c r="M361" s="22">
        <f t="shared" si="15"/>
        <v>460.3544</v>
      </c>
      <c r="N361" s="23">
        <f t="shared" si="16"/>
        <v>62.775599999999997</v>
      </c>
      <c r="O361" s="26">
        <f t="shared" si="17"/>
        <v>0.12</v>
      </c>
      <c r="P361" s="20"/>
      <c r="Q361" s="20" t="s">
        <v>869</v>
      </c>
      <c r="R361" s="20" t="s">
        <v>889</v>
      </c>
      <c r="S361" s="20"/>
      <c r="T361" s="30">
        <v>1</v>
      </c>
      <c r="U361" s="20" t="s">
        <v>623</v>
      </c>
      <c r="V361" s="20"/>
      <c r="W361" s="20" t="s">
        <v>929</v>
      </c>
      <c r="X361" s="43"/>
      <c r="Y361" s="40" t="s">
        <v>1093</v>
      </c>
      <c r="Z361" s="40" t="s">
        <v>1093</v>
      </c>
      <c r="AA361" s="20"/>
      <c r="AB361" s="20"/>
      <c r="AC361" s="20"/>
      <c r="AD361" s="20"/>
      <c r="AE361" s="20"/>
      <c r="AF361" s="20"/>
      <c r="AG361" s="20"/>
      <c r="AH361" s="20"/>
      <c r="AI361" s="20" t="s">
        <v>1322</v>
      </c>
      <c r="AJ361" s="20"/>
      <c r="AK361" s="20"/>
      <c r="AL361" s="20"/>
      <c r="AM361" s="20"/>
      <c r="AN361" s="35" t="s">
        <v>841</v>
      </c>
      <c r="AO361" s="20"/>
      <c r="AP361" s="20"/>
      <c r="AQ361" s="45"/>
      <c r="AR361" s="20" t="s">
        <v>1306</v>
      </c>
      <c r="AS361" s="40" t="s">
        <v>1093</v>
      </c>
      <c r="AT361" s="40" t="s">
        <v>1306</v>
      </c>
      <c r="AU361" s="48"/>
      <c r="AV361" s="20"/>
      <c r="AW361" s="45"/>
      <c r="AX361" s="20"/>
    </row>
    <row r="362" spans="2:50" ht="95.25" customHeight="1">
      <c r="B362" s="8">
        <v>359</v>
      </c>
      <c r="C362" s="20" t="s">
        <v>435</v>
      </c>
      <c r="D362" s="20" t="s">
        <v>435</v>
      </c>
      <c r="E362" s="8" t="s">
        <v>74</v>
      </c>
      <c r="F362" s="8" t="s">
        <v>75</v>
      </c>
      <c r="G362" s="19" t="s">
        <v>73</v>
      </c>
      <c r="H362" s="29" t="s">
        <v>76</v>
      </c>
      <c r="I362" s="20"/>
      <c r="J362" s="24">
        <v>21069099</v>
      </c>
      <c r="K362" s="11">
        <v>0.05</v>
      </c>
      <c r="L362" s="21">
        <v>801</v>
      </c>
      <c r="M362" s="22">
        <f t="shared" si="15"/>
        <v>704.88</v>
      </c>
      <c r="N362" s="23">
        <f t="shared" si="16"/>
        <v>96.12</v>
      </c>
      <c r="O362" s="26">
        <f t="shared" si="17"/>
        <v>0.12000000000000001</v>
      </c>
      <c r="P362" s="20"/>
      <c r="Q362" s="20" t="s">
        <v>859</v>
      </c>
      <c r="R362" s="20" t="s">
        <v>889</v>
      </c>
      <c r="S362" s="20"/>
      <c r="T362" s="30">
        <v>1</v>
      </c>
      <c r="U362" s="20" t="s">
        <v>612</v>
      </c>
      <c r="V362" s="20"/>
      <c r="W362" s="20" t="s">
        <v>929</v>
      </c>
      <c r="X362" s="43"/>
      <c r="Y362" s="40" t="s">
        <v>1092</v>
      </c>
      <c r="Z362" s="40" t="s">
        <v>1092</v>
      </c>
      <c r="AA362" s="20"/>
      <c r="AB362" s="20"/>
      <c r="AC362" s="20"/>
      <c r="AD362" s="20"/>
      <c r="AE362" s="20"/>
      <c r="AF362" s="20"/>
      <c r="AG362" s="20"/>
      <c r="AH362" s="20"/>
      <c r="AI362" s="20" t="s">
        <v>1329</v>
      </c>
      <c r="AJ362" s="20"/>
      <c r="AK362" s="20"/>
      <c r="AL362" s="20"/>
      <c r="AM362" s="20"/>
      <c r="AN362" s="35" t="s">
        <v>842</v>
      </c>
      <c r="AO362" s="20"/>
      <c r="AP362" s="20"/>
      <c r="AQ362" s="45"/>
      <c r="AR362" s="20" t="s">
        <v>1306</v>
      </c>
      <c r="AS362" s="40" t="s">
        <v>1092</v>
      </c>
      <c r="AT362" s="40" t="s">
        <v>1306</v>
      </c>
      <c r="AU362" s="48"/>
      <c r="AV362" s="20"/>
      <c r="AW362" s="45"/>
      <c r="AX362" s="20"/>
    </row>
    <row r="363" spans="2:50" ht="32.25" customHeight="1">
      <c r="B363" s="8">
        <v>360</v>
      </c>
      <c r="C363" s="20" t="s">
        <v>436</v>
      </c>
      <c r="D363" s="20" t="s">
        <v>436</v>
      </c>
      <c r="E363" s="8" t="s">
        <v>74</v>
      </c>
      <c r="F363" s="8" t="s">
        <v>75</v>
      </c>
      <c r="G363" s="19" t="s">
        <v>73</v>
      </c>
      <c r="H363" s="29" t="s">
        <v>76</v>
      </c>
      <c r="I363" s="20"/>
      <c r="J363" s="24">
        <v>21069099</v>
      </c>
      <c r="K363" s="11">
        <v>0.05</v>
      </c>
      <c r="L363" s="21">
        <v>71.2</v>
      </c>
      <c r="M363" s="22">
        <f t="shared" si="15"/>
        <v>62.656000000000006</v>
      </c>
      <c r="N363" s="23">
        <f t="shared" si="16"/>
        <v>8.5439999999999969</v>
      </c>
      <c r="O363" s="26">
        <f t="shared" si="17"/>
        <v>0.11999999999999995</v>
      </c>
      <c r="P363" s="20"/>
      <c r="Q363" s="20" t="s">
        <v>862</v>
      </c>
      <c r="R363" s="20" t="s">
        <v>889</v>
      </c>
      <c r="S363" s="20"/>
      <c r="T363" s="30">
        <v>1</v>
      </c>
      <c r="U363" s="20" t="s">
        <v>592</v>
      </c>
      <c r="V363" s="20"/>
      <c r="W363" s="20" t="s">
        <v>931</v>
      </c>
      <c r="X363" s="43"/>
      <c r="Y363" s="40" t="s">
        <v>1091</v>
      </c>
      <c r="Z363" s="40" t="s">
        <v>1091</v>
      </c>
      <c r="AA363" s="20"/>
      <c r="AB363" s="20"/>
      <c r="AC363" s="20"/>
      <c r="AD363" s="20"/>
      <c r="AE363" s="20"/>
      <c r="AF363" s="20"/>
      <c r="AG363" s="20"/>
      <c r="AH363" s="20"/>
      <c r="AI363" s="20" t="s">
        <v>1329</v>
      </c>
      <c r="AJ363" s="20"/>
      <c r="AK363" s="20"/>
      <c r="AL363" s="20"/>
      <c r="AM363" s="20"/>
      <c r="AN363" s="37"/>
      <c r="AO363" s="20"/>
      <c r="AP363" s="20"/>
      <c r="AQ363" s="45"/>
      <c r="AR363" s="20" t="s">
        <v>1306</v>
      </c>
      <c r="AS363" s="40" t="s">
        <v>1091</v>
      </c>
      <c r="AT363" s="40" t="s">
        <v>1306</v>
      </c>
      <c r="AU363" s="48"/>
      <c r="AV363" s="20"/>
      <c r="AW363" s="45"/>
      <c r="AX363" s="20"/>
    </row>
    <row r="364" spans="2:50" ht="28.5" customHeight="1">
      <c r="B364" s="8">
        <v>361</v>
      </c>
      <c r="C364" s="20" t="s">
        <v>437</v>
      </c>
      <c r="D364" s="20" t="s">
        <v>437</v>
      </c>
      <c r="E364" s="8" t="s">
        <v>74</v>
      </c>
      <c r="F364" s="8" t="s">
        <v>75</v>
      </c>
      <c r="G364" s="19" t="s">
        <v>73</v>
      </c>
      <c r="H364" s="29" t="s">
        <v>76</v>
      </c>
      <c r="I364" s="20"/>
      <c r="J364" s="24">
        <v>21061000</v>
      </c>
      <c r="K364" s="11">
        <v>0.05</v>
      </c>
      <c r="L364" s="21">
        <v>151</v>
      </c>
      <c r="M364" s="22">
        <f t="shared" si="15"/>
        <v>132.88</v>
      </c>
      <c r="N364" s="23">
        <f t="shared" si="16"/>
        <v>18.120000000000005</v>
      </c>
      <c r="O364" s="26">
        <f t="shared" si="17"/>
        <v>0.12000000000000002</v>
      </c>
      <c r="P364" s="20"/>
      <c r="Q364" s="20" t="s">
        <v>862</v>
      </c>
      <c r="R364" s="20" t="s">
        <v>889</v>
      </c>
      <c r="S364" s="20"/>
      <c r="T364" s="30">
        <v>1</v>
      </c>
      <c r="U364" s="20" t="s">
        <v>601</v>
      </c>
      <c r="V364" s="20"/>
      <c r="W364" s="20" t="s">
        <v>931</v>
      </c>
      <c r="X364" s="43"/>
      <c r="Y364" s="40" t="s">
        <v>1091</v>
      </c>
      <c r="Z364" s="40" t="s">
        <v>1091</v>
      </c>
      <c r="AA364" s="20"/>
      <c r="AB364" s="20"/>
      <c r="AC364" s="20"/>
      <c r="AD364" s="20"/>
      <c r="AE364" s="20"/>
      <c r="AF364" s="20"/>
      <c r="AG364" s="20"/>
      <c r="AH364" s="20"/>
      <c r="AI364" s="20" t="s">
        <v>1329</v>
      </c>
      <c r="AJ364" s="20"/>
      <c r="AK364" s="20"/>
      <c r="AL364" s="20"/>
      <c r="AM364" s="20"/>
      <c r="AN364" s="35" t="s">
        <v>843</v>
      </c>
      <c r="AO364" s="20"/>
      <c r="AP364" s="20"/>
      <c r="AQ364" s="45"/>
      <c r="AR364" s="20" t="s">
        <v>1306</v>
      </c>
      <c r="AS364" s="40" t="s">
        <v>1091</v>
      </c>
      <c r="AT364" s="40" t="s">
        <v>1306</v>
      </c>
      <c r="AU364" s="48"/>
      <c r="AV364" s="20"/>
      <c r="AW364" s="45"/>
      <c r="AX364" s="20"/>
    </row>
    <row r="365" spans="2:50" ht="28.5" customHeight="1">
      <c r="B365" s="8">
        <v>362</v>
      </c>
      <c r="C365" s="20" t="s">
        <v>438</v>
      </c>
      <c r="D365" s="20" t="s">
        <v>438</v>
      </c>
      <c r="E365" s="8" t="s">
        <v>74</v>
      </c>
      <c r="F365" s="8" t="s">
        <v>75</v>
      </c>
      <c r="G365" s="19" t="s">
        <v>73</v>
      </c>
      <c r="H365" s="29" t="s">
        <v>76</v>
      </c>
      <c r="I365" s="20"/>
      <c r="J365" s="24">
        <v>21069099</v>
      </c>
      <c r="K365" s="11">
        <v>0.05</v>
      </c>
      <c r="L365" s="21">
        <v>66.75</v>
      </c>
      <c r="M365" s="22">
        <f t="shared" si="15"/>
        <v>58.74</v>
      </c>
      <c r="N365" s="23">
        <f t="shared" si="16"/>
        <v>8.009999999999998</v>
      </c>
      <c r="O365" s="26">
        <f t="shared" si="17"/>
        <v>0.11999999999999997</v>
      </c>
      <c r="P365" s="20"/>
      <c r="Q365" s="20" t="s">
        <v>875</v>
      </c>
      <c r="R365" s="20" t="s">
        <v>889</v>
      </c>
      <c r="S365" s="20"/>
      <c r="T365" s="30">
        <v>1</v>
      </c>
      <c r="U365" s="20" t="s">
        <v>591</v>
      </c>
      <c r="V365" s="20"/>
      <c r="W365" s="20" t="s">
        <v>931</v>
      </c>
      <c r="X365" s="43"/>
      <c r="Y365" s="20" t="s">
        <v>1090</v>
      </c>
      <c r="Z365" s="20" t="s">
        <v>1090</v>
      </c>
      <c r="AA365" s="20"/>
      <c r="AB365" s="20"/>
      <c r="AC365" s="20"/>
      <c r="AD365" s="20"/>
      <c r="AE365" s="20"/>
      <c r="AF365" s="20"/>
      <c r="AG365" s="20"/>
      <c r="AH365" s="20"/>
      <c r="AI365" s="20" t="s">
        <v>1329</v>
      </c>
      <c r="AJ365" s="20"/>
      <c r="AK365" s="20"/>
      <c r="AL365" s="20"/>
      <c r="AM365" s="20"/>
      <c r="AN365" s="35" t="s">
        <v>844</v>
      </c>
      <c r="AO365" s="20"/>
      <c r="AP365" s="20"/>
      <c r="AQ365" s="45"/>
      <c r="AR365" s="20" t="s">
        <v>1306</v>
      </c>
      <c r="AS365" s="20" t="s">
        <v>1090</v>
      </c>
      <c r="AT365" s="40" t="s">
        <v>1306</v>
      </c>
      <c r="AU365" s="48"/>
      <c r="AV365" s="20"/>
      <c r="AW365" s="45"/>
      <c r="AX365" s="20"/>
    </row>
    <row r="366" spans="2:50" ht="37.5" customHeight="1">
      <c r="B366" s="8">
        <v>363</v>
      </c>
      <c r="C366" s="20" t="s">
        <v>439</v>
      </c>
      <c r="D366" s="20" t="s">
        <v>439</v>
      </c>
      <c r="E366" s="8" t="s">
        <v>74</v>
      </c>
      <c r="F366" s="8" t="s">
        <v>75</v>
      </c>
      <c r="G366" s="19" t="s">
        <v>73</v>
      </c>
      <c r="H366" s="29" t="s">
        <v>76</v>
      </c>
      <c r="I366" s="20"/>
      <c r="J366" s="24">
        <v>21061000</v>
      </c>
      <c r="K366" s="11">
        <v>0.05</v>
      </c>
      <c r="L366" s="21">
        <v>124</v>
      </c>
      <c r="M366" s="22">
        <f t="shared" si="15"/>
        <v>109.12</v>
      </c>
      <c r="N366" s="23">
        <f t="shared" si="16"/>
        <v>14.879999999999995</v>
      </c>
      <c r="O366" s="26">
        <f t="shared" si="17"/>
        <v>0.11999999999999997</v>
      </c>
      <c r="P366" s="20"/>
      <c r="Q366" s="20" t="s">
        <v>863</v>
      </c>
      <c r="R366" s="20" t="s">
        <v>889</v>
      </c>
      <c r="S366" s="20"/>
      <c r="T366" s="30">
        <v>1</v>
      </c>
      <c r="U366" s="20" t="s">
        <v>601</v>
      </c>
      <c r="V366" s="20"/>
      <c r="W366" s="20" t="s">
        <v>931</v>
      </c>
      <c r="X366" s="43"/>
      <c r="Y366" s="40" t="s">
        <v>1089</v>
      </c>
      <c r="Z366" s="40" t="s">
        <v>1089</v>
      </c>
      <c r="AA366" s="20"/>
      <c r="AB366" s="20"/>
      <c r="AC366" s="20"/>
      <c r="AD366" s="20"/>
      <c r="AE366" s="20"/>
      <c r="AF366" s="20"/>
      <c r="AG366" s="20"/>
      <c r="AH366" s="20"/>
      <c r="AI366" s="20" t="s">
        <v>1329</v>
      </c>
      <c r="AJ366" s="20"/>
      <c r="AK366" s="20"/>
      <c r="AL366" s="20"/>
      <c r="AM366" s="20"/>
      <c r="AN366" s="35" t="s">
        <v>845</v>
      </c>
      <c r="AO366" s="20"/>
      <c r="AP366" s="20"/>
      <c r="AQ366" s="45"/>
      <c r="AR366" s="20" t="s">
        <v>1306</v>
      </c>
      <c r="AS366" s="40" t="s">
        <v>1089</v>
      </c>
      <c r="AT366" s="40" t="s">
        <v>1306</v>
      </c>
      <c r="AU366" s="48"/>
      <c r="AV366" s="20"/>
      <c r="AW366" s="45"/>
      <c r="AX366" s="20"/>
    </row>
    <row r="367" spans="2:50" ht="42.75" customHeight="1">
      <c r="B367" s="8">
        <v>364</v>
      </c>
      <c r="C367" s="20" t="s">
        <v>440</v>
      </c>
      <c r="D367" s="20" t="s">
        <v>440</v>
      </c>
      <c r="E367" s="8" t="s">
        <v>74</v>
      </c>
      <c r="F367" s="8" t="s">
        <v>75</v>
      </c>
      <c r="G367" s="19" t="s">
        <v>73</v>
      </c>
      <c r="H367" s="29" t="s">
        <v>76</v>
      </c>
      <c r="I367" s="20"/>
      <c r="J367" s="24">
        <v>30049099</v>
      </c>
      <c r="K367" s="11">
        <v>0.05</v>
      </c>
      <c r="L367" s="21">
        <v>620</v>
      </c>
      <c r="M367" s="22">
        <f t="shared" si="15"/>
        <v>545.6</v>
      </c>
      <c r="N367" s="23">
        <f t="shared" si="16"/>
        <v>74.399999999999977</v>
      </c>
      <c r="O367" s="26">
        <f t="shared" si="17"/>
        <v>0.11999999999999997</v>
      </c>
      <c r="P367" s="20"/>
      <c r="Q367" s="20" t="s">
        <v>865</v>
      </c>
      <c r="R367" s="20" t="s">
        <v>889</v>
      </c>
      <c r="S367" s="20"/>
      <c r="T367" s="30">
        <v>1</v>
      </c>
      <c r="U367" s="20" t="s">
        <v>589</v>
      </c>
      <c r="V367" s="20"/>
      <c r="W367" s="20" t="s">
        <v>929</v>
      </c>
      <c r="X367" s="43"/>
      <c r="Y367" s="20" t="s">
        <v>1095</v>
      </c>
      <c r="Z367" s="20" t="s">
        <v>1095</v>
      </c>
      <c r="AA367" s="20"/>
      <c r="AB367" s="20"/>
      <c r="AC367" s="20"/>
      <c r="AD367" t="s">
        <v>1331</v>
      </c>
      <c r="AE367" s="20"/>
      <c r="AF367" s="20"/>
      <c r="AG367" s="20"/>
      <c r="AH367" s="20"/>
      <c r="AI367" s="20" t="s">
        <v>1329</v>
      </c>
      <c r="AJ367" s="20"/>
      <c r="AK367" s="20"/>
      <c r="AL367" s="20"/>
      <c r="AM367" s="20"/>
      <c r="AN367" s="35" t="s">
        <v>839</v>
      </c>
      <c r="AO367" s="20"/>
      <c r="AP367" s="20"/>
      <c r="AQ367" s="45"/>
      <c r="AR367" s="20" t="s">
        <v>1309</v>
      </c>
      <c r="AS367" s="20" t="s">
        <v>1095</v>
      </c>
      <c r="AT367" s="40" t="s">
        <v>1309</v>
      </c>
      <c r="AU367" s="48"/>
      <c r="AV367" s="20"/>
      <c r="AW367" s="45"/>
      <c r="AX367" s="20"/>
    </row>
    <row r="368" spans="2:50" ht="48" customHeight="1">
      <c r="B368" s="8">
        <v>365</v>
      </c>
      <c r="C368" s="20" t="s">
        <v>441</v>
      </c>
      <c r="D368" s="20" t="s">
        <v>441</v>
      </c>
      <c r="E368" s="8" t="s">
        <v>74</v>
      </c>
      <c r="F368" s="8" t="s">
        <v>75</v>
      </c>
      <c r="G368" s="19" t="s">
        <v>73</v>
      </c>
      <c r="H368" s="29" t="s">
        <v>76</v>
      </c>
      <c r="I368" s="20"/>
      <c r="J368" s="24">
        <v>30045090</v>
      </c>
      <c r="K368" s="11">
        <v>0.05</v>
      </c>
      <c r="L368" s="21">
        <v>5531.25</v>
      </c>
      <c r="M368" s="22">
        <f t="shared" si="15"/>
        <v>4867.5</v>
      </c>
      <c r="N368" s="23">
        <f t="shared" si="16"/>
        <v>663.75</v>
      </c>
      <c r="O368" s="26">
        <f t="shared" si="17"/>
        <v>0.12</v>
      </c>
      <c r="P368" s="20"/>
      <c r="Q368" s="20" t="s">
        <v>869</v>
      </c>
      <c r="R368" s="20" t="s">
        <v>889</v>
      </c>
      <c r="S368" s="20"/>
      <c r="T368" s="30">
        <v>1</v>
      </c>
      <c r="U368" s="20" t="s">
        <v>597</v>
      </c>
      <c r="V368" s="20"/>
      <c r="W368" s="20" t="s">
        <v>929</v>
      </c>
      <c r="X368" s="43"/>
      <c r="Y368" s="40" t="s">
        <v>1087</v>
      </c>
      <c r="Z368" s="40" t="s">
        <v>1087</v>
      </c>
      <c r="AA368" s="20"/>
      <c r="AB368" s="20"/>
      <c r="AC368" s="20"/>
      <c r="AD368" s="20"/>
      <c r="AE368" s="20"/>
      <c r="AF368" s="20"/>
      <c r="AG368" s="20"/>
      <c r="AH368" s="20"/>
      <c r="AI368" s="20" t="s">
        <v>1322</v>
      </c>
      <c r="AJ368" s="20"/>
      <c r="AK368" s="20"/>
      <c r="AL368" s="20"/>
      <c r="AM368" s="20"/>
      <c r="AN368" s="35" t="s">
        <v>846</v>
      </c>
      <c r="AO368" s="20"/>
      <c r="AP368" s="20"/>
      <c r="AQ368" s="45"/>
      <c r="AR368" s="20" t="s">
        <v>1306</v>
      </c>
      <c r="AS368" s="40" t="s">
        <v>1087</v>
      </c>
      <c r="AT368" s="40" t="s">
        <v>1306</v>
      </c>
      <c r="AU368" s="48"/>
      <c r="AV368" s="20"/>
      <c r="AW368" s="45"/>
      <c r="AX368" s="20"/>
    </row>
    <row r="369" spans="2:50" ht="15.75" customHeight="1">
      <c r="B369" s="8">
        <v>366</v>
      </c>
      <c r="C369" s="20" t="s">
        <v>442</v>
      </c>
      <c r="D369" s="20" t="s">
        <v>442</v>
      </c>
      <c r="E369" s="8" t="s">
        <v>74</v>
      </c>
      <c r="F369" s="8" t="s">
        <v>75</v>
      </c>
      <c r="G369" s="19" t="s">
        <v>73</v>
      </c>
      <c r="H369" s="29" t="s">
        <v>76</v>
      </c>
      <c r="I369" s="20"/>
      <c r="J369" s="24">
        <v>30045090</v>
      </c>
      <c r="K369" s="11">
        <v>0.05</v>
      </c>
      <c r="L369" s="21">
        <v>115</v>
      </c>
      <c r="M369" s="22">
        <f t="shared" si="15"/>
        <v>101.2</v>
      </c>
      <c r="N369" s="23">
        <f t="shared" si="16"/>
        <v>13.799999999999997</v>
      </c>
      <c r="O369" s="26">
        <f t="shared" si="17"/>
        <v>0.11999999999999998</v>
      </c>
      <c r="P369" s="20"/>
      <c r="Q369" s="20" t="s">
        <v>862</v>
      </c>
      <c r="R369" s="20" t="s">
        <v>889</v>
      </c>
      <c r="S369" s="20"/>
      <c r="T369" s="30">
        <v>1</v>
      </c>
      <c r="U369" s="20" t="s">
        <v>593</v>
      </c>
      <c r="V369" s="20"/>
      <c r="W369" s="20" t="s">
        <v>931</v>
      </c>
      <c r="X369" s="43"/>
      <c r="Y369" s="20" t="s">
        <v>1086</v>
      </c>
      <c r="Z369" s="20" t="s">
        <v>1086</v>
      </c>
      <c r="AA369" s="20"/>
      <c r="AB369" s="20"/>
      <c r="AC369" s="20"/>
      <c r="AD369" s="20"/>
      <c r="AE369" s="20"/>
      <c r="AF369" s="20"/>
      <c r="AG369" s="20"/>
      <c r="AH369" s="20"/>
      <c r="AI369" s="20" t="s">
        <v>1329</v>
      </c>
      <c r="AJ369" s="20"/>
      <c r="AK369" s="20"/>
      <c r="AL369" s="20"/>
      <c r="AM369" s="20"/>
      <c r="AN369" s="37"/>
      <c r="AO369" s="20"/>
      <c r="AP369" s="20"/>
      <c r="AQ369" s="45"/>
      <c r="AR369" s="20" t="s">
        <v>1306</v>
      </c>
      <c r="AS369" s="20" t="s">
        <v>1086</v>
      </c>
      <c r="AT369" s="40" t="s">
        <v>1306</v>
      </c>
      <c r="AU369" s="48"/>
      <c r="AV369" s="20"/>
      <c r="AW369" s="45"/>
      <c r="AX369" s="20"/>
    </row>
    <row r="370" spans="2:50" ht="15.75" customHeight="1">
      <c r="B370" s="8">
        <v>367</v>
      </c>
      <c r="C370" s="20" t="s">
        <v>443</v>
      </c>
      <c r="D370" s="20" t="s">
        <v>443</v>
      </c>
      <c r="E370" s="8" t="s">
        <v>74</v>
      </c>
      <c r="F370" s="8" t="s">
        <v>75</v>
      </c>
      <c r="G370" s="19" t="s">
        <v>73</v>
      </c>
      <c r="H370" s="29" t="s">
        <v>76</v>
      </c>
      <c r="I370" s="20"/>
      <c r="J370" s="24">
        <v>30049099</v>
      </c>
      <c r="K370" s="11">
        <v>0.05</v>
      </c>
      <c r="L370" s="21">
        <v>180</v>
      </c>
      <c r="M370" s="22">
        <f t="shared" si="15"/>
        <v>158.4</v>
      </c>
      <c r="N370" s="23">
        <f t="shared" si="16"/>
        <v>21.599999999999994</v>
      </c>
      <c r="O370" s="26">
        <f t="shared" si="17"/>
        <v>0.11999999999999997</v>
      </c>
      <c r="P370" s="20"/>
      <c r="Q370" s="20" t="s">
        <v>860</v>
      </c>
      <c r="R370" s="20" t="s">
        <v>889</v>
      </c>
      <c r="S370" s="20"/>
      <c r="T370" s="30">
        <v>1</v>
      </c>
      <c r="U370" s="20" t="s">
        <v>670</v>
      </c>
      <c r="V370" s="20"/>
      <c r="W370" s="20" t="s">
        <v>930</v>
      </c>
      <c r="X370" s="43"/>
      <c r="Y370" s="20" t="s">
        <v>1085</v>
      </c>
      <c r="Z370" s="20" t="s">
        <v>1085</v>
      </c>
      <c r="AA370" s="20"/>
      <c r="AB370" s="20"/>
      <c r="AC370" s="20"/>
      <c r="AD370" s="20"/>
      <c r="AE370" s="20"/>
      <c r="AF370" s="20"/>
      <c r="AG370" s="20"/>
      <c r="AH370" s="20"/>
      <c r="AI370" s="20" t="s">
        <v>1324</v>
      </c>
      <c r="AJ370" s="20"/>
      <c r="AK370" s="20"/>
      <c r="AL370" s="20"/>
      <c r="AM370" s="20"/>
      <c r="AN370" s="37"/>
      <c r="AO370" s="20"/>
      <c r="AP370" s="20"/>
      <c r="AQ370" s="45"/>
      <c r="AR370" s="20" t="s">
        <v>1313</v>
      </c>
      <c r="AS370" s="20" t="s">
        <v>1085</v>
      </c>
      <c r="AT370" s="40" t="s">
        <v>1313</v>
      </c>
      <c r="AU370" s="48"/>
      <c r="AV370" s="20"/>
      <c r="AW370" s="45"/>
      <c r="AX370" s="20"/>
    </row>
    <row r="371" spans="2:50" ht="15.75" customHeight="1">
      <c r="B371" s="8">
        <v>368</v>
      </c>
      <c r="C371" s="20" t="s">
        <v>444</v>
      </c>
      <c r="D371" s="20" t="s">
        <v>444</v>
      </c>
      <c r="E371" s="8" t="s">
        <v>74</v>
      </c>
      <c r="F371" s="8" t="s">
        <v>75</v>
      </c>
      <c r="G371" s="19" t="s">
        <v>73</v>
      </c>
      <c r="H371" s="29" t="s">
        <v>76</v>
      </c>
      <c r="I371" s="20"/>
      <c r="J371" s="24">
        <v>30049099</v>
      </c>
      <c r="K371" s="11">
        <v>0.05</v>
      </c>
      <c r="L371" s="21">
        <v>200</v>
      </c>
      <c r="M371" s="22">
        <f t="shared" si="15"/>
        <v>176</v>
      </c>
      <c r="N371" s="23">
        <f t="shared" si="16"/>
        <v>24</v>
      </c>
      <c r="O371" s="26">
        <f t="shared" si="17"/>
        <v>0.12</v>
      </c>
      <c r="P371" s="20"/>
      <c r="Q371" s="20" t="s">
        <v>860</v>
      </c>
      <c r="R371" s="20" t="s">
        <v>889</v>
      </c>
      <c r="S371" s="20"/>
      <c r="T371" s="30">
        <v>1</v>
      </c>
      <c r="U371" s="20" t="s">
        <v>670</v>
      </c>
      <c r="V371" s="20"/>
      <c r="W371" s="20" t="s">
        <v>930</v>
      </c>
      <c r="X371" s="43"/>
      <c r="Y371" s="20" t="s">
        <v>1084</v>
      </c>
      <c r="Z371" s="20" t="s">
        <v>1084</v>
      </c>
      <c r="AA371" s="20"/>
      <c r="AB371" s="20"/>
      <c r="AC371" s="20"/>
      <c r="AD371" s="20"/>
      <c r="AE371" s="20"/>
      <c r="AF371" s="20"/>
      <c r="AG371" s="20"/>
      <c r="AH371" s="20"/>
      <c r="AI371" s="20" t="s">
        <v>1324</v>
      </c>
      <c r="AJ371" s="20"/>
      <c r="AK371" s="20"/>
      <c r="AL371" s="20"/>
      <c r="AM371" s="20"/>
      <c r="AN371" s="37"/>
      <c r="AO371" s="20"/>
      <c r="AP371" s="20"/>
      <c r="AQ371" s="45"/>
      <c r="AR371" s="20" t="s">
        <v>1313</v>
      </c>
      <c r="AS371" s="20" t="s">
        <v>1084</v>
      </c>
      <c r="AT371" s="40" t="s">
        <v>1313</v>
      </c>
      <c r="AU371" s="48"/>
      <c r="AV371" s="20"/>
      <c r="AW371" s="45"/>
      <c r="AX371" s="20"/>
    </row>
    <row r="372" spans="2:50" ht="15.75" customHeight="1">
      <c r="B372" s="8">
        <v>369</v>
      </c>
      <c r="C372" s="20" t="s">
        <v>445</v>
      </c>
      <c r="D372" s="20" t="s">
        <v>445</v>
      </c>
      <c r="E372" s="8" t="s">
        <v>74</v>
      </c>
      <c r="F372" s="8" t="s">
        <v>75</v>
      </c>
      <c r="G372" s="19" t="s">
        <v>73</v>
      </c>
      <c r="H372" s="29" t="s">
        <v>76</v>
      </c>
      <c r="I372" s="20"/>
      <c r="J372" s="24">
        <v>30049099</v>
      </c>
      <c r="K372" s="11">
        <v>0.05</v>
      </c>
      <c r="L372" s="21">
        <v>612.5</v>
      </c>
      <c r="M372" s="22">
        <f t="shared" si="15"/>
        <v>539</v>
      </c>
      <c r="N372" s="23">
        <f t="shared" si="16"/>
        <v>73.5</v>
      </c>
      <c r="O372" s="26">
        <f t="shared" si="17"/>
        <v>0.12</v>
      </c>
      <c r="P372" s="20"/>
      <c r="Q372" s="20" t="s">
        <v>860</v>
      </c>
      <c r="R372" s="20" t="s">
        <v>889</v>
      </c>
      <c r="S372" s="20"/>
      <c r="T372" s="30">
        <v>1</v>
      </c>
      <c r="U372" s="20" t="s">
        <v>671</v>
      </c>
      <c r="V372" s="20"/>
      <c r="W372" s="20" t="s">
        <v>930</v>
      </c>
      <c r="X372" s="43"/>
      <c r="Y372" s="20" t="s">
        <v>1083</v>
      </c>
      <c r="Z372" s="20" t="s">
        <v>1083</v>
      </c>
      <c r="AA372" s="20"/>
      <c r="AB372" s="20"/>
      <c r="AC372" s="20"/>
      <c r="AD372" s="20"/>
      <c r="AE372" s="20"/>
      <c r="AF372" s="20"/>
      <c r="AG372" s="20"/>
      <c r="AH372" s="20"/>
      <c r="AI372" s="20" t="s">
        <v>1324</v>
      </c>
      <c r="AJ372" s="20"/>
      <c r="AK372" s="20"/>
      <c r="AL372" s="20"/>
      <c r="AM372" s="20"/>
      <c r="AN372" s="37"/>
      <c r="AO372" s="20"/>
      <c r="AP372" s="20"/>
      <c r="AQ372" s="45"/>
      <c r="AR372" s="20" t="s">
        <v>1309</v>
      </c>
      <c r="AS372" s="20" t="s">
        <v>1083</v>
      </c>
      <c r="AT372" s="40" t="s">
        <v>1309</v>
      </c>
      <c r="AU372" s="48"/>
      <c r="AV372" s="20"/>
      <c r="AW372" s="45"/>
      <c r="AX372" s="20"/>
    </row>
    <row r="373" spans="2:50" ht="33" customHeight="1">
      <c r="B373" s="8">
        <v>370</v>
      </c>
      <c r="C373" s="20" t="s">
        <v>446</v>
      </c>
      <c r="D373" s="20" t="s">
        <v>446</v>
      </c>
      <c r="E373" s="8" t="s">
        <v>74</v>
      </c>
      <c r="F373" s="8" t="s">
        <v>75</v>
      </c>
      <c r="G373" s="19" t="s">
        <v>73</v>
      </c>
      <c r="H373" s="29" t="s">
        <v>76</v>
      </c>
      <c r="I373" s="20"/>
      <c r="J373" s="24">
        <v>30049099</v>
      </c>
      <c r="K373" s="11">
        <v>0.05</v>
      </c>
      <c r="L373" s="21">
        <v>365</v>
      </c>
      <c r="M373" s="22">
        <f t="shared" si="15"/>
        <v>321.2</v>
      </c>
      <c r="N373" s="23">
        <f t="shared" si="16"/>
        <v>43.800000000000011</v>
      </c>
      <c r="O373" s="26">
        <f t="shared" si="17"/>
        <v>0.12000000000000004</v>
      </c>
      <c r="P373" s="20"/>
      <c r="Q373" s="20" t="s">
        <v>876</v>
      </c>
      <c r="R373" s="20" t="s">
        <v>890</v>
      </c>
      <c r="S373" s="20"/>
      <c r="T373" s="30">
        <v>1</v>
      </c>
      <c r="U373" s="20" t="s">
        <v>613</v>
      </c>
      <c r="V373" s="20"/>
      <c r="W373" s="20" t="s">
        <v>930</v>
      </c>
      <c r="X373" s="43"/>
      <c r="Y373" s="20" t="s">
        <v>1082</v>
      </c>
      <c r="Z373" s="20" t="s">
        <v>1082</v>
      </c>
      <c r="AA373" s="20"/>
      <c r="AB373" s="20"/>
      <c r="AC373" s="20"/>
      <c r="AD373" s="20"/>
      <c r="AE373" s="20"/>
      <c r="AF373" s="20"/>
      <c r="AG373" s="20"/>
      <c r="AH373" s="20"/>
      <c r="AI373" s="20" t="s">
        <v>1328</v>
      </c>
      <c r="AJ373" s="20"/>
      <c r="AK373" s="20"/>
      <c r="AL373" s="20"/>
      <c r="AM373" s="20"/>
      <c r="AN373" s="35" t="s">
        <v>847</v>
      </c>
      <c r="AO373" s="20"/>
      <c r="AP373" s="20"/>
      <c r="AQ373" s="45"/>
      <c r="AR373" s="20" t="s">
        <v>1309</v>
      </c>
      <c r="AS373" s="20" t="s">
        <v>1082</v>
      </c>
      <c r="AT373" s="40" t="s">
        <v>1309</v>
      </c>
      <c r="AU373" s="48"/>
      <c r="AV373" s="20"/>
      <c r="AW373" s="45"/>
      <c r="AX373" s="20"/>
    </row>
    <row r="374" spans="2:50" ht="33.75" customHeight="1">
      <c r="B374" s="8">
        <v>371</v>
      </c>
      <c r="C374" s="20" t="s">
        <v>447</v>
      </c>
      <c r="D374" s="20" t="s">
        <v>447</v>
      </c>
      <c r="E374" s="8" t="s">
        <v>74</v>
      </c>
      <c r="F374" s="8" t="s">
        <v>75</v>
      </c>
      <c r="G374" s="19" t="s">
        <v>73</v>
      </c>
      <c r="H374" s="29" t="s">
        <v>76</v>
      </c>
      <c r="I374" s="20"/>
      <c r="J374" s="24">
        <v>30049099</v>
      </c>
      <c r="K374" s="11">
        <v>0.05</v>
      </c>
      <c r="L374" s="21">
        <v>2450</v>
      </c>
      <c r="M374" s="22">
        <f t="shared" si="15"/>
        <v>2156</v>
      </c>
      <c r="N374" s="23">
        <f t="shared" si="16"/>
        <v>294</v>
      </c>
      <c r="O374" s="26">
        <f t="shared" si="17"/>
        <v>0.12</v>
      </c>
      <c r="P374" s="20"/>
      <c r="Q374" s="20" t="s">
        <v>859</v>
      </c>
      <c r="R374" s="20" t="s">
        <v>889</v>
      </c>
      <c r="S374" s="20"/>
      <c r="T374" s="30">
        <v>1</v>
      </c>
      <c r="U374" s="20" t="s">
        <v>589</v>
      </c>
      <c r="V374" s="20"/>
      <c r="W374" s="20" t="s">
        <v>929</v>
      </c>
      <c r="X374" s="43"/>
      <c r="Y374" s="40" t="s">
        <v>1081</v>
      </c>
      <c r="Z374" s="40" t="s">
        <v>1081</v>
      </c>
      <c r="AA374" s="20"/>
      <c r="AB374" s="20"/>
      <c r="AC374" s="20"/>
      <c r="AD374" t="s">
        <v>1331</v>
      </c>
      <c r="AE374" s="20"/>
      <c r="AF374" s="20"/>
      <c r="AG374" s="20"/>
      <c r="AH374" s="20"/>
      <c r="AI374" s="20" t="s">
        <v>1324</v>
      </c>
      <c r="AJ374" s="20"/>
      <c r="AK374" s="20"/>
      <c r="AL374" s="20"/>
      <c r="AM374" s="20"/>
      <c r="AN374" s="37"/>
      <c r="AO374" s="20"/>
      <c r="AP374" s="20"/>
      <c r="AQ374" s="45"/>
      <c r="AR374" s="20" t="s">
        <v>1311</v>
      </c>
      <c r="AS374" s="40" t="s">
        <v>1081</v>
      </c>
      <c r="AT374" s="40" t="s">
        <v>1311</v>
      </c>
      <c r="AU374" s="48"/>
      <c r="AV374" s="20"/>
      <c r="AW374" s="45"/>
      <c r="AX374" s="20"/>
    </row>
    <row r="375" spans="2:50" ht="30.75" customHeight="1">
      <c r="B375" s="8">
        <v>372</v>
      </c>
      <c r="C375" s="20" t="s">
        <v>448</v>
      </c>
      <c r="D375" s="20" t="s">
        <v>448</v>
      </c>
      <c r="E375" s="8" t="s">
        <v>74</v>
      </c>
      <c r="F375" s="8" t="s">
        <v>75</v>
      </c>
      <c r="G375" s="19" t="s">
        <v>73</v>
      </c>
      <c r="H375" s="29" t="s">
        <v>76</v>
      </c>
      <c r="I375" s="20"/>
      <c r="J375" s="24">
        <v>30049099</v>
      </c>
      <c r="K375" s="11">
        <v>0.05</v>
      </c>
      <c r="L375" s="21">
        <v>440.63</v>
      </c>
      <c r="M375" s="22">
        <f t="shared" si="15"/>
        <v>387.75439999999998</v>
      </c>
      <c r="N375" s="23">
        <f t="shared" si="16"/>
        <v>52.87560000000002</v>
      </c>
      <c r="O375" s="26">
        <f t="shared" si="17"/>
        <v>0.12000000000000005</v>
      </c>
      <c r="P375" s="20"/>
      <c r="Q375" s="20" t="s">
        <v>876</v>
      </c>
      <c r="R375" s="20" t="s">
        <v>890</v>
      </c>
      <c r="S375" s="20"/>
      <c r="T375" s="30">
        <v>1</v>
      </c>
      <c r="U375" s="20" t="s">
        <v>613</v>
      </c>
      <c r="V375" s="20"/>
      <c r="W375" s="20" t="s">
        <v>930</v>
      </c>
      <c r="X375" s="43"/>
      <c r="Y375" s="40" t="s">
        <v>1080</v>
      </c>
      <c r="Z375" s="40" t="s">
        <v>1080</v>
      </c>
      <c r="AA375" s="20"/>
      <c r="AB375" s="20"/>
      <c r="AC375" s="20"/>
      <c r="AD375" s="20"/>
      <c r="AE375" s="20"/>
      <c r="AF375" s="20"/>
      <c r="AG375" s="20"/>
      <c r="AH375" s="20"/>
      <c r="AI375" s="20" t="s">
        <v>1328</v>
      </c>
      <c r="AJ375" s="20"/>
      <c r="AK375" s="20"/>
      <c r="AL375" s="20"/>
      <c r="AM375" s="20"/>
      <c r="AN375" s="35" t="s">
        <v>848</v>
      </c>
      <c r="AO375" s="20"/>
      <c r="AP375" s="20"/>
      <c r="AQ375" s="45"/>
      <c r="AR375" s="20" t="s">
        <v>1309</v>
      </c>
      <c r="AS375" s="40" t="s">
        <v>1080</v>
      </c>
      <c r="AT375" s="40" t="s">
        <v>1309</v>
      </c>
      <c r="AU375" s="48"/>
      <c r="AV375" s="20"/>
      <c r="AW375" s="45"/>
      <c r="AX375" s="20"/>
    </row>
    <row r="376" spans="2:50" ht="34.5" customHeight="1">
      <c r="B376" s="8">
        <v>373</v>
      </c>
      <c r="C376" s="20" t="s">
        <v>449</v>
      </c>
      <c r="D376" s="20" t="s">
        <v>449</v>
      </c>
      <c r="E376" s="8" t="s">
        <v>74</v>
      </c>
      <c r="F376" s="8" t="s">
        <v>75</v>
      </c>
      <c r="G376" s="19" t="s">
        <v>73</v>
      </c>
      <c r="H376" s="29" t="s">
        <v>76</v>
      </c>
      <c r="I376" s="20"/>
      <c r="J376" s="24">
        <v>30049099</v>
      </c>
      <c r="K376" s="11">
        <v>0.05</v>
      </c>
      <c r="L376" s="21">
        <v>1378.13</v>
      </c>
      <c r="M376" s="22">
        <f t="shared" si="15"/>
        <v>1212.7544</v>
      </c>
      <c r="N376" s="23">
        <f t="shared" si="16"/>
        <v>165.37560000000008</v>
      </c>
      <c r="O376" s="26">
        <f t="shared" si="17"/>
        <v>0.12000000000000005</v>
      </c>
      <c r="P376" s="20"/>
      <c r="Q376" s="20" t="s">
        <v>859</v>
      </c>
      <c r="R376" s="20" t="s">
        <v>889</v>
      </c>
      <c r="S376" s="20"/>
      <c r="T376" s="30">
        <v>1</v>
      </c>
      <c r="U376" s="20" t="s">
        <v>589</v>
      </c>
      <c r="V376" s="20"/>
      <c r="W376" s="20" t="s">
        <v>929</v>
      </c>
      <c r="X376" s="43"/>
      <c r="Y376" s="20" t="s">
        <v>1079</v>
      </c>
      <c r="Z376" s="20" t="s">
        <v>1079</v>
      </c>
      <c r="AA376" s="20"/>
      <c r="AB376" s="20"/>
      <c r="AC376" s="20"/>
      <c r="AD376" t="s">
        <v>1331</v>
      </c>
      <c r="AE376" s="20"/>
      <c r="AF376" s="20"/>
      <c r="AG376" s="20"/>
      <c r="AH376" s="20"/>
      <c r="AI376" s="20" t="s">
        <v>1324</v>
      </c>
      <c r="AJ376" s="20"/>
      <c r="AK376" s="20"/>
      <c r="AL376" s="20"/>
      <c r="AM376" s="20"/>
      <c r="AN376" s="35" t="s">
        <v>849</v>
      </c>
      <c r="AO376" s="20"/>
      <c r="AP376" s="20"/>
      <c r="AQ376" s="45"/>
      <c r="AR376" s="20" t="s">
        <v>1311</v>
      </c>
      <c r="AS376" s="20" t="s">
        <v>1079</v>
      </c>
      <c r="AT376" s="40" t="s">
        <v>1311</v>
      </c>
      <c r="AU376" s="48"/>
      <c r="AV376" s="20"/>
      <c r="AW376" s="45"/>
      <c r="AX376" s="20"/>
    </row>
    <row r="377" spans="2:50" ht="25.5" customHeight="1">
      <c r="B377" s="8">
        <v>374</v>
      </c>
      <c r="C377" s="20" t="s">
        <v>450</v>
      </c>
      <c r="D377" s="20" t="s">
        <v>450</v>
      </c>
      <c r="E377" s="8" t="s">
        <v>74</v>
      </c>
      <c r="F377" s="8" t="s">
        <v>75</v>
      </c>
      <c r="G377" s="19" t="s">
        <v>73</v>
      </c>
      <c r="H377" s="29" t="s">
        <v>76</v>
      </c>
      <c r="I377" s="20"/>
      <c r="J377" s="24">
        <v>30049099</v>
      </c>
      <c r="K377" s="11">
        <v>0.05</v>
      </c>
      <c r="L377" s="21">
        <v>703.13</v>
      </c>
      <c r="M377" s="22">
        <f t="shared" si="15"/>
        <v>618.75440000000003</v>
      </c>
      <c r="N377" s="23">
        <f t="shared" si="16"/>
        <v>84.375599999999963</v>
      </c>
      <c r="O377" s="26">
        <f t="shared" si="17"/>
        <v>0.11999999999999995</v>
      </c>
      <c r="P377" s="20"/>
      <c r="Q377" s="20" t="s">
        <v>859</v>
      </c>
      <c r="R377" s="20" t="s">
        <v>889</v>
      </c>
      <c r="S377" s="20"/>
      <c r="T377" s="30">
        <v>1</v>
      </c>
      <c r="U377" s="20" t="s">
        <v>589</v>
      </c>
      <c r="V377" s="20"/>
      <c r="W377" s="20" t="s">
        <v>929</v>
      </c>
      <c r="X377" s="43"/>
      <c r="Y377" s="20" t="s">
        <v>1078</v>
      </c>
      <c r="Z377" s="20" t="s">
        <v>1078</v>
      </c>
      <c r="AA377" s="20"/>
      <c r="AB377" s="20"/>
      <c r="AC377" s="20"/>
      <c r="AD377" t="s">
        <v>1331</v>
      </c>
      <c r="AE377" s="20"/>
      <c r="AF377" s="20"/>
      <c r="AG377" s="20"/>
      <c r="AH377" s="20"/>
      <c r="AI377" s="20" t="s">
        <v>1324</v>
      </c>
      <c r="AJ377" s="20"/>
      <c r="AK377" s="20"/>
      <c r="AL377" s="20"/>
      <c r="AM377" s="20"/>
      <c r="AN377" s="35" t="s">
        <v>850</v>
      </c>
      <c r="AO377" s="20"/>
      <c r="AP377" s="20"/>
      <c r="AQ377" s="45"/>
      <c r="AR377" s="20" t="s">
        <v>1311</v>
      </c>
      <c r="AS377" s="20" t="s">
        <v>1078</v>
      </c>
      <c r="AT377" s="40" t="s">
        <v>1311</v>
      </c>
      <c r="AU377" s="48"/>
      <c r="AV377" s="20"/>
      <c r="AW377" s="45"/>
      <c r="AX377" s="20"/>
    </row>
    <row r="378" spans="2:50" ht="32.25" customHeight="1">
      <c r="B378" s="8">
        <v>375</v>
      </c>
      <c r="C378" s="20" t="s">
        <v>451</v>
      </c>
      <c r="D378" s="20" t="s">
        <v>451</v>
      </c>
      <c r="E378" s="8" t="s">
        <v>74</v>
      </c>
      <c r="F378" s="8" t="s">
        <v>75</v>
      </c>
      <c r="G378" s="19" t="s">
        <v>73</v>
      </c>
      <c r="H378" s="29" t="s">
        <v>76</v>
      </c>
      <c r="I378" s="20"/>
      <c r="J378" s="24">
        <v>30049031</v>
      </c>
      <c r="K378" s="11">
        <v>0.05</v>
      </c>
      <c r="L378" s="21">
        <v>60</v>
      </c>
      <c r="M378" s="22">
        <f t="shared" si="15"/>
        <v>52.8</v>
      </c>
      <c r="N378" s="23">
        <f t="shared" si="16"/>
        <v>7.2000000000000028</v>
      </c>
      <c r="O378" s="26">
        <f t="shared" si="17"/>
        <v>0.12000000000000005</v>
      </c>
      <c r="P378" s="20"/>
      <c r="Q378" s="20" t="s">
        <v>862</v>
      </c>
      <c r="R378" s="20" t="s">
        <v>889</v>
      </c>
      <c r="S378" s="20"/>
      <c r="T378" s="30">
        <v>1</v>
      </c>
      <c r="U378" s="20" t="s">
        <v>591</v>
      </c>
      <c r="V378" s="20"/>
      <c r="W378" s="20" t="s">
        <v>931</v>
      </c>
      <c r="X378" s="43"/>
      <c r="Y378" s="40" t="s">
        <v>1077</v>
      </c>
      <c r="Z378" s="40" t="s">
        <v>1077</v>
      </c>
      <c r="AA378" s="20"/>
      <c r="AB378" s="20"/>
      <c r="AC378" s="20"/>
      <c r="AD378" s="20"/>
      <c r="AE378" s="20"/>
      <c r="AF378" s="20"/>
      <c r="AG378" s="20"/>
      <c r="AH378" s="20"/>
      <c r="AI378" s="20" t="s">
        <v>1324</v>
      </c>
      <c r="AJ378" s="20"/>
      <c r="AK378" s="20"/>
      <c r="AL378" s="20"/>
      <c r="AM378" s="20"/>
      <c r="AN378" s="37"/>
      <c r="AO378" s="20"/>
      <c r="AP378" s="20"/>
      <c r="AQ378" s="45"/>
      <c r="AR378" s="20" t="s">
        <v>1311</v>
      </c>
      <c r="AS378" s="40" t="s">
        <v>1077</v>
      </c>
      <c r="AT378" s="40" t="s">
        <v>1311</v>
      </c>
      <c r="AU378" s="48"/>
      <c r="AV378" s="20"/>
      <c r="AW378" s="45"/>
      <c r="AX378" s="20"/>
    </row>
    <row r="379" spans="2:50" ht="30" customHeight="1">
      <c r="B379" s="8">
        <v>376</v>
      </c>
      <c r="C379" s="20" t="s">
        <v>452</v>
      </c>
      <c r="D379" s="20" t="s">
        <v>452</v>
      </c>
      <c r="E379" s="8" t="s">
        <v>74</v>
      </c>
      <c r="F379" s="8" t="s">
        <v>75</v>
      </c>
      <c r="G379" s="19" t="s">
        <v>73</v>
      </c>
      <c r="H379" s="29" t="s">
        <v>76</v>
      </c>
      <c r="I379" s="20"/>
      <c r="J379" s="24">
        <v>30049061</v>
      </c>
      <c r="K379" s="11">
        <v>0.05</v>
      </c>
      <c r="L379" s="21">
        <v>92.81</v>
      </c>
      <c r="M379" s="22">
        <f t="shared" si="15"/>
        <v>81.672800000000009</v>
      </c>
      <c r="N379" s="23">
        <f t="shared" si="16"/>
        <v>11.137199999999993</v>
      </c>
      <c r="O379" s="26">
        <f t="shared" si="17"/>
        <v>0.11999999999999993</v>
      </c>
      <c r="P379" s="20"/>
      <c r="Q379" s="20" t="s">
        <v>862</v>
      </c>
      <c r="R379" s="20" t="s">
        <v>889</v>
      </c>
      <c r="S379" s="20"/>
      <c r="T379" s="30">
        <v>1</v>
      </c>
      <c r="U379" s="20" t="s">
        <v>624</v>
      </c>
      <c r="V379" s="20"/>
      <c r="W379" s="20" t="s">
        <v>931</v>
      </c>
      <c r="X379" s="43"/>
      <c r="Y379" s="40" t="s">
        <v>1077</v>
      </c>
      <c r="Z379" s="40" t="s">
        <v>1077</v>
      </c>
      <c r="AA379" s="20"/>
      <c r="AB379" s="20"/>
      <c r="AC379" s="20"/>
      <c r="AD379" s="20"/>
      <c r="AE379" s="20"/>
      <c r="AF379" s="20"/>
      <c r="AG379" s="20"/>
      <c r="AH379" s="20"/>
      <c r="AI379" s="20" t="s">
        <v>1324</v>
      </c>
      <c r="AJ379" s="20"/>
      <c r="AK379" s="20"/>
      <c r="AL379" s="20"/>
      <c r="AM379" s="20"/>
      <c r="AN379" s="35" t="s">
        <v>851</v>
      </c>
      <c r="AO379" s="20"/>
      <c r="AP379" s="20"/>
      <c r="AQ379" s="45"/>
      <c r="AR379" s="20" t="s">
        <v>1311</v>
      </c>
      <c r="AS379" s="40" t="s">
        <v>1077</v>
      </c>
      <c r="AT379" s="40" t="s">
        <v>1311</v>
      </c>
      <c r="AU379" s="48"/>
      <c r="AV379" s="20"/>
      <c r="AW379" s="45"/>
      <c r="AX379" s="20"/>
    </row>
    <row r="380" spans="2:50" ht="29.25" customHeight="1">
      <c r="B380" s="8">
        <v>377</v>
      </c>
      <c r="C380" s="20" t="s">
        <v>453</v>
      </c>
      <c r="D380" s="20" t="s">
        <v>453</v>
      </c>
      <c r="E380" s="8" t="s">
        <v>74</v>
      </c>
      <c r="F380" s="8" t="s">
        <v>75</v>
      </c>
      <c r="G380" s="19" t="s">
        <v>73</v>
      </c>
      <c r="H380" s="29" t="s">
        <v>76</v>
      </c>
      <c r="I380" s="20"/>
      <c r="J380" s="24">
        <v>30049031</v>
      </c>
      <c r="K380" s="11">
        <v>0.05</v>
      </c>
      <c r="L380" s="21">
        <v>1810</v>
      </c>
      <c r="M380" s="22">
        <f t="shared" si="15"/>
        <v>1592.8</v>
      </c>
      <c r="N380" s="23">
        <f t="shared" si="16"/>
        <v>217.20000000000005</v>
      </c>
      <c r="O380" s="26">
        <f t="shared" si="17"/>
        <v>0.12000000000000002</v>
      </c>
      <c r="P380" s="20"/>
      <c r="Q380" s="20" t="s">
        <v>859</v>
      </c>
      <c r="R380" s="20" t="s">
        <v>889</v>
      </c>
      <c r="S380" s="20"/>
      <c r="T380" s="30">
        <v>1</v>
      </c>
      <c r="U380" s="20" t="s">
        <v>604</v>
      </c>
      <c r="V380" s="20"/>
      <c r="W380" s="20" t="s">
        <v>929</v>
      </c>
      <c r="X380" s="43"/>
      <c r="Y380" s="20" t="s">
        <v>1076</v>
      </c>
      <c r="Z380" s="20" t="s">
        <v>1076</v>
      </c>
      <c r="AA380" s="20"/>
      <c r="AB380" s="20"/>
      <c r="AC380" s="20"/>
      <c r="AD380" s="20"/>
      <c r="AE380" s="20"/>
      <c r="AF380" s="20"/>
      <c r="AG380" s="20"/>
      <c r="AH380" s="20"/>
      <c r="AI380" s="20" t="s">
        <v>1324</v>
      </c>
      <c r="AJ380" s="20"/>
      <c r="AK380" s="20"/>
      <c r="AL380" s="20"/>
      <c r="AM380" s="20"/>
      <c r="AN380" s="35" t="s">
        <v>852</v>
      </c>
      <c r="AO380" s="20"/>
      <c r="AP380" s="20"/>
      <c r="AQ380" s="45"/>
      <c r="AR380" s="20" t="s">
        <v>1311</v>
      </c>
      <c r="AS380" s="20" t="s">
        <v>1076</v>
      </c>
      <c r="AT380" s="40" t="s">
        <v>1311</v>
      </c>
      <c r="AU380" s="48"/>
      <c r="AV380" s="20"/>
      <c r="AW380" s="45"/>
      <c r="AX380" s="20"/>
    </row>
    <row r="381" spans="2:50" ht="15.75" customHeight="1">
      <c r="B381" s="8">
        <v>378</v>
      </c>
      <c r="C381" s="20" t="s">
        <v>454</v>
      </c>
      <c r="D381" s="20" t="s">
        <v>454</v>
      </c>
      <c r="E381" s="8" t="s">
        <v>74</v>
      </c>
      <c r="F381" s="8" t="s">
        <v>75</v>
      </c>
      <c r="G381" s="19" t="s">
        <v>73</v>
      </c>
      <c r="H381" s="29" t="s">
        <v>76</v>
      </c>
      <c r="I381" s="20"/>
      <c r="J381" s="24">
        <v>300490</v>
      </c>
      <c r="K381" s="11">
        <v>0.05</v>
      </c>
      <c r="L381" s="21">
        <v>1380</v>
      </c>
      <c r="M381" s="22">
        <f t="shared" si="15"/>
        <v>1214.4000000000001</v>
      </c>
      <c r="N381" s="23">
        <f t="shared" si="16"/>
        <v>165.59999999999991</v>
      </c>
      <c r="O381" s="26">
        <f t="shared" si="17"/>
        <v>0.11999999999999994</v>
      </c>
      <c r="P381" s="20"/>
      <c r="Q381" s="20" t="s">
        <v>859</v>
      </c>
      <c r="R381" s="20" t="s">
        <v>889</v>
      </c>
      <c r="S381" s="20"/>
      <c r="T381" s="30">
        <v>1</v>
      </c>
      <c r="U381" s="20" t="s">
        <v>589</v>
      </c>
      <c r="V381" s="20"/>
      <c r="W381" s="20" t="s">
        <v>929</v>
      </c>
      <c r="X381" s="43"/>
      <c r="Y381" s="20" t="s">
        <v>1076</v>
      </c>
      <c r="Z381" s="20" t="s">
        <v>1076</v>
      </c>
      <c r="AA381" s="20"/>
      <c r="AB381" s="20"/>
      <c r="AC381" s="20"/>
      <c r="AD381" t="s">
        <v>1331</v>
      </c>
      <c r="AE381" s="20"/>
      <c r="AF381" s="20"/>
      <c r="AG381" s="20"/>
      <c r="AH381" s="20"/>
      <c r="AI381" s="20" t="s">
        <v>1324</v>
      </c>
      <c r="AJ381" s="20"/>
      <c r="AK381" s="20"/>
      <c r="AL381" s="20"/>
      <c r="AM381" s="20"/>
      <c r="AN381" s="37"/>
      <c r="AO381" s="20"/>
      <c r="AP381" s="20"/>
      <c r="AQ381" s="45"/>
      <c r="AR381" s="20" t="s">
        <v>1311</v>
      </c>
      <c r="AS381" s="20" t="s">
        <v>1076</v>
      </c>
      <c r="AT381" s="40" t="s">
        <v>1311</v>
      </c>
      <c r="AU381" s="48"/>
      <c r="AV381" s="20"/>
      <c r="AW381" s="45"/>
      <c r="AX381" s="20"/>
    </row>
    <row r="382" spans="2:50" ht="27.75" customHeight="1">
      <c r="B382" s="8">
        <v>379</v>
      </c>
      <c r="C382" s="20" t="s">
        <v>455</v>
      </c>
      <c r="D382" s="20" t="s">
        <v>455</v>
      </c>
      <c r="E382" s="8" t="s">
        <v>74</v>
      </c>
      <c r="F382" s="8" t="s">
        <v>75</v>
      </c>
      <c r="G382" s="19" t="s">
        <v>73</v>
      </c>
      <c r="H382" s="29" t="s">
        <v>76</v>
      </c>
      <c r="I382" s="20"/>
      <c r="J382" s="24">
        <v>30049099</v>
      </c>
      <c r="K382" s="11">
        <v>0.05</v>
      </c>
      <c r="L382" s="21">
        <v>1250</v>
      </c>
      <c r="M382" s="22">
        <f t="shared" si="15"/>
        <v>1100</v>
      </c>
      <c r="N382" s="23">
        <f t="shared" si="16"/>
        <v>150</v>
      </c>
      <c r="O382" s="26">
        <f t="shared" si="17"/>
        <v>0.12</v>
      </c>
      <c r="P382" s="20"/>
      <c r="Q382" s="20" t="s">
        <v>859</v>
      </c>
      <c r="R382" s="20" t="s">
        <v>889</v>
      </c>
      <c r="S382" s="20"/>
      <c r="T382" s="30">
        <v>1</v>
      </c>
      <c r="U382" s="20" t="s">
        <v>589</v>
      </c>
      <c r="V382" s="20"/>
      <c r="W382" s="20" t="s">
        <v>929</v>
      </c>
      <c r="X382" s="43"/>
      <c r="Y382" s="40" t="s">
        <v>1075</v>
      </c>
      <c r="Z382" s="40" t="s">
        <v>1075</v>
      </c>
      <c r="AA382" s="20"/>
      <c r="AB382" s="20"/>
      <c r="AC382" s="20"/>
      <c r="AD382" t="s">
        <v>1331</v>
      </c>
      <c r="AE382" s="20"/>
      <c r="AF382" s="20"/>
      <c r="AG382" s="20"/>
      <c r="AH382" s="20"/>
      <c r="AI382" s="20" t="s">
        <v>1330</v>
      </c>
      <c r="AJ382" s="20"/>
      <c r="AK382" s="20"/>
      <c r="AL382" s="20"/>
      <c r="AM382" s="20"/>
      <c r="AN382" s="37"/>
      <c r="AO382" s="20"/>
      <c r="AP382" s="20"/>
      <c r="AQ382" s="45"/>
      <c r="AR382" s="20" t="s">
        <v>1318</v>
      </c>
      <c r="AS382" s="40" t="s">
        <v>1075</v>
      </c>
      <c r="AT382" s="40" t="s">
        <v>1318</v>
      </c>
      <c r="AU382" s="48"/>
      <c r="AV382" s="20"/>
      <c r="AW382" s="45"/>
      <c r="AX382" s="20"/>
    </row>
    <row r="383" spans="2:50" ht="32.25" customHeight="1">
      <c r="B383" s="8">
        <v>380</v>
      </c>
      <c r="C383" s="20" t="s">
        <v>456</v>
      </c>
      <c r="D383" s="20" t="s">
        <v>456</v>
      </c>
      <c r="E383" s="8" t="s">
        <v>74</v>
      </c>
      <c r="F383" s="8" t="s">
        <v>75</v>
      </c>
      <c r="G383" s="19" t="s">
        <v>73</v>
      </c>
      <c r="H383" s="29" t="s">
        <v>76</v>
      </c>
      <c r="I383" s="20"/>
      <c r="J383" s="24">
        <v>30049099</v>
      </c>
      <c r="K383" s="11">
        <v>0.05</v>
      </c>
      <c r="L383" s="21">
        <v>1275</v>
      </c>
      <c r="M383" s="22">
        <f t="shared" si="15"/>
        <v>1122</v>
      </c>
      <c r="N383" s="23">
        <f t="shared" si="16"/>
        <v>153</v>
      </c>
      <c r="O383" s="26">
        <f t="shared" si="17"/>
        <v>0.12</v>
      </c>
      <c r="P383" s="20"/>
      <c r="Q383" s="20" t="s">
        <v>859</v>
      </c>
      <c r="R383" s="20" t="s">
        <v>889</v>
      </c>
      <c r="S383" s="20"/>
      <c r="T383" s="30">
        <v>1</v>
      </c>
      <c r="U383" s="20" t="s">
        <v>604</v>
      </c>
      <c r="V383" s="20"/>
      <c r="W383" s="20" t="s">
        <v>929</v>
      </c>
      <c r="X383" s="43"/>
      <c r="Y383" s="40" t="s">
        <v>1074</v>
      </c>
      <c r="Z383" s="40" t="s">
        <v>1074</v>
      </c>
      <c r="AA383" s="20"/>
      <c r="AB383" s="20"/>
      <c r="AC383" s="20"/>
      <c r="AD383" s="20"/>
      <c r="AE383" s="20"/>
      <c r="AF383" s="20"/>
      <c r="AG383" s="20"/>
      <c r="AH383" s="20"/>
      <c r="AI383" s="20" t="s">
        <v>1330</v>
      </c>
      <c r="AJ383" s="20"/>
      <c r="AK383" s="20"/>
      <c r="AL383" s="20"/>
      <c r="AM383" s="20"/>
      <c r="AN383" s="37"/>
      <c r="AO383" s="20"/>
      <c r="AP383" s="20"/>
      <c r="AQ383" s="45"/>
      <c r="AR383" s="20" t="s">
        <v>1318</v>
      </c>
      <c r="AS383" s="40" t="s">
        <v>1074</v>
      </c>
      <c r="AT383" s="40" t="s">
        <v>1318</v>
      </c>
      <c r="AU383" s="48"/>
      <c r="AV383" s="20"/>
      <c r="AW383" s="45"/>
      <c r="AX383" s="20"/>
    </row>
    <row r="384" spans="2:50" ht="32.25" customHeight="1">
      <c r="B384" s="8">
        <v>381</v>
      </c>
      <c r="C384" s="20" t="s">
        <v>457</v>
      </c>
      <c r="D384" s="20" t="s">
        <v>457</v>
      </c>
      <c r="E384" s="8" t="s">
        <v>74</v>
      </c>
      <c r="F384" s="8" t="s">
        <v>75</v>
      </c>
      <c r="G384" s="19" t="s">
        <v>73</v>
      </c>
      <c r="H384" s="29" t="s">
        <v>76</v>
      </c>
      <c r="I384" s="20"/>
      <c r="J384" s="24">
        <v>30049099</v>
      </c>
      <c r="K384" s="11">
        <v>0.05</v>
      </c>
      <c r="L384" s="21">
        <v>1450</v>
      </c>
      <c r="M384" s="22">
        <f t="shared" si="15"/>
        <v>1276</v>
      </c>
      <c r="N384" s="23">
        <f t="shared" si="16"/>
        <v>174</v>
      </c>
      <c r="O384" s="26">
        <f t="shared" si="17"/>
        <v>0.12</v>
      </c>
      <c r="P384" s="20"/>
      <c r="Q384" s="20" t="s">
        <v>859</v>
      </c>
      <c r="R384" s="20" t="s">
        <v>889</v>
      </c>
      <c r="S384" s="20"/>
      <c r="T384" s="30">
        <v>1</v>
      </c>
      <c r="U384" s="20" t="s">
        <v>589</v>
      </c>
      <c r="V384" s="20"/>
      <c r="W384" s="20" t="s">
        <v>929</v>
      </c>
      <c r="X384" s="43"/>
      <c r="Y384" s="40" t="s">
        <v>1073</v>
      </c>
      <c r="Z384" s="40" t="s">
        <v>1073</v>
      </c>
      <c r="AA384" s="20"/>
      <c r="AB384" s="20"/>
      <c r="AC384" s="20"/>
      <c r="AD384" t="s">
        <v>1331</v>
      </c>
      <c r="AE384" s="20"/>
      <c r="AF384" s="20"/>
      <c r="AG384" s="20"/>
      <c r="AH384" s="20"/>
      <c r="AI384" s="20" t="s">
        <v>1330</v>
      </c>
      <c r="AJ384" s="20"/>
      <c r="AK384" s="20"/>
      <c r="AL384" s="20"/>
      <c r="AM384" s="20"/>
      <c r="AN384" s="37"/>
      <c r="AO384" s="20"/>
      <c r="AP384" s="20"/>
      <c r="AQ384" s="45"/>
      <c r="AR384" s="20" t="s">
        <v>1318</v>
      </c>
      <c r="AS384" s="40" t="s">
        <v>1073</v>
      </c>
      <c r="AT384" s="40" t="s">
        <v>1318</v>
      </c>
      <c r="AU384" s="48"/>
      <c r="AV384" s="20"/>
      <c r="AW384" s="45"/>
      <c r="AX384" s="20"/>
    </row>
    <row r="385" spans="2:50" ht="29.25" customHeight="1">
      <c r="B385" s="8">
        <v>382</v>
      </c>
      <c r="C385" s="20" t="s">
        <v>458</v>
      </c>
      <c r="D385" s="20" t="s">
        <v>458</v>
      </c>
      <c r="E385" s="8" t="s">
        <v>74</v>
      </c>
      <c r="F385" s="8" t="s">
        <v>75</v>
      </c>
      <c r="G385" s="19" t="s">
        <v>73</v>
      </c>
      <c r="H385" s="29" t="s">
        <v>76</v>
      </c>
      <c r="I385" s="20"/>
      <c r="J385" s="24">
        <v>30049099</v>
      </c>
      <c r="K385" s="11">
        <v>0.05</v>
      </c>
      <c r="L385" s="21">
        <v>1575</v>
      </c>
      <c r="M385" s="22">
        <f t="shared" si="15"/>
        <v>1386</v>
      </c>
      <c r="N385" s="23">
        <f t="shared" si="16"/>
        <v>189</v>
      </c>
      <c r="O385" s="26">
        <f t="shared" si="17"/>
        <v>0.12</v>
      </c>
      <c r="P385" s="20"/>
      <c r="Q385" s="20" t="s">
        <v>859</v>
      </c>
      <c r="R385" s="20" t="s">
        <v>889</v>
      </c>
      <c r="S385" s="20"/>
      <c r="T385" s="30">
        <v>1</v>
      </c>
      <c r="U385" s="20" t="s">
        <v>604</v>
      </c>
      <c r="V385" s="20"/>
      <c r="W385" s="20" t="s">
        <v>929</v>
      </c>
      <c r="X385" s="43"/>
      <c r="Y385" s="40" t="s">
        <v>1072</v>
      </c>
      <c r="Z385" s="40" t="s">
        <v>1072</v>
      </c>
      <c r="AA385" s="20"/>
      <c r="AB385" s="20"/>
      <c r="AC385" s="20"/>
      <c r="AD385" s="20"/>
      <c r="AE385" s="20"/>
      <c r="AF385" s="20"/>
      <c r="AG385" s="20"/>
      <c r="AH385" s="20"/>
      <c r="AI385" s="20" t="s">
        <v>1330</v>
      </c>
      <c r="AJ385" s="20"/>
      <c r="AK385" s="20"/>
      <c r="AL385" s="20"/>
      <c r="AM385" s="20"/>
      <c r="AN385" s="37"/>
      <c r="AO385" s="20"/>
      <c r="AP385" s="20"/>
      <c r="AQ385" s="45"/>
      <c r="AR385" s="20" t="s">
        <v>1318</v>
      </c>
      <c r="AS385" s="40" t="s">
        <v>1072</v>
      </c>
      <c r="AT385" s="40" t="s">
        <v>1318</v>
      </c>
      <c r="AU385" s="48"/>
      <c r="AV385" s="20"/>
      <c r="AW385" s="45"/>
      <c r="AX385" s="20"/>
    </row>
    <row r="386" spans="2:50" ht="30" customHeight="1">
      <c r="B386" s="8">
        <v>383</v>
      </c>
      <c r="C386" s="20" t="s">
        <v>459</v>
      </c>
      <c r="D386" s="20" t="s">
        <v>459</v>
      </c>
      <c r="E386" s="8" t="s">
        <v>74</v>
      </c>
      <c r="F386" s="8" t="s">
        <v>75</v>
      </c>
      <c r="G386" s="19" t="s">
        <v>73</v>
      </c>
      <c r="H386" s="29" t="s">
        <v>76</v>
      </c>
      <c r="I386" s="20"/>
      <c r="J386" s="24">
        <v>21069099</v>
      </c>
      <c r="K386" s="11">
        <v>0.05</v>
      </c>
      <c r="L386" s="21">
        <v>1201.5</v>
      </c>
      <c r="M386" s="22">
        <f t="shared" si="15"/>
        <v>1057.32</v>
      </c>
      <c r="N386" s="23">
        <f t="shared" si="16"/>
        <v>144.18000000000006</v>
      </c>
      <c r="O386" s="26">
        <f t="shared" si="17"/>
        <v>0.12000000000000005</v>
      </c>
      <c r="P386" s="20"/>
      <c r="Q386" s="20" t="s">
        <v>865</v>
      </c>
      <c r="R386" s="20" t="s">
        <v>889</v>
      </c>
      <c r="S386" s="20"/>
      <c r="T386" s="30">
        <v>1</v>
      </c>
      <c r="U386" s="20" t="s">
        <v>589</v>
      </c>
      <c r="V386" s="20"/>
      <c r="W386" s="20" t="s">
        <v>929</v>
      </c>
      <c r="X386" s="43"/>
      <c r="Y386" s="20" t="s">
        <v>1071</v>
      </c>
      <c r="Z386" s="20" t="s">
        <v>1071</v>
      </c>
      <c r="AA386" s="20"/>
      <c r="AB386" s="20"/>
      <c r="AC386" s="20"/>
      <c r="AD386" t="s">
        <v>1331</v>
      </c>
      <c r="AE386" s="20"/>
      <c r="AF386" s="20"/>
      <c r="AG386" s="20"/>
      <c r="AH386" s="20"/>
      <c r="AI386" s="20" t="s">
        <v>1328</v>
      </c>
      <c r="AJ386" s="20"/>
      <c r="AK386" s="20"/>
      <c r="AL386" s="20"/>
      <c r="AM386" s="20"/>
      <c r="AN386" s="35" t="s">
        <v>853</v>
      </c>
      <c r="AO386" s="20"/>
      <c r="AP386" s="20"/>
      <c r="AQ386" s="45"/>
      <c r="AR386" s="20" t="s">
        <v>1319</v>
      </c>
      <c r="AS386" s="20" t="s">
        <v>1071</v>
      </c>
      <c r="AT386" s="40" t="s">
        <v>1319</v>
      </c>
      <c r="AU386" s="48"/>
      <c r="AV386" s="20"/>
      <c r="AW386" s="45"/>
      <c r="AX386" s="20"/>
    </row>
    <row r="387" spans="2:50" ht="20.25" customHeight="1">
      <c r="B387" s="8">
        <v>384</v>
      </c>
      <c r="C387" s="20" t="s">
        <v>460</v>
      </c>
      <c r="D387" s="20" t="s">
        <v>460</v>
      </c>
      <c r="E387" s="8" t="s">
        <v>74</v>
      </c>
      <c r="F387" s="8" t="s">
        <v>75</v>
      </c>
      <c r="G387" s="19" t="s">
        <v>73</v>
      </c>
      <c r="H387" s="29" t="s">
        <v>76</v>
      </c>
      <c r="I387" s="20"/>
      <c r="J387" s="24">
        <v>21069099</v>
      </c>
      <c r="K387" s="11">
        <v>0.05</v>
      </c>
      <c r="L387" s="21">
        <v>75.650000000000006</v>
      </c>
      <c r="M387" s="22">
        <f t="shared" si="15"/>
        <v>66.572000000000003</v>
      </c>
      <c r="N387" s="23">
        <f t="shared" si="16"/>
        <v>9.078000000000003</v>
      </c>
      <c r="O387" s="26">
        <f t="shared" si="17"/>
        <v>0.12000000000000002</v>
      </c>
      <c r="P387" s="20"/>
      <c r="Q387" s="20" t="s">
        <v>887</v>
      </c>
      <c r="R387" s="20" t="s">
        <v>889</v>
      </c>
      <c r="S387" s="20"/>
      <c r="T387" s="30">
        <v>1</v>
      </c>
      <c r="U387" s="20" t="s">
        <v>672</v>
      </c>
      <c r="V387" s="20"/>
      <c r="W387" s="20" t="s">
        <v>937</v>
      </c>
      <c r="X387" s="43"/>
      <c r="Y387" s="20" t="s">
        <v>1070</v>
      </c>
      <c r="Z387" s="20" t="s">
        <v>1070</v>
      </c>
      <c r="AA387" s="20"/>
      <c r="AB387" s="20"/>
      <c r="AC387" s="20"/>
      <c r="AD387" s="20"/>
      <c r="AE387" s="20"/>
      <c r="AF387" s="20"/>
      <c r="AG387" s="20"/>
      <c r="AH387" s="20"/>
      <c r="AI387" s="20" t="s">
        <v>1328</v>
      </c>
      <c r="AJ387" s="20"/>
      <c r="AK387" s="20"/>
      <c r="AL387" s="20"/>
      <c r="AM387" s="20"/>
      <c r="AN387" s="37"/>
      <c r="AO387" s="20"/>
      <c r="AP387" s="20"/>
      <c r="AQ387" s="45"/>
      <c r="AR387" s="20" t="s">
        <v>1306</v>
      </c>
      <c r="AS387" s="20" t="s">
        <v>1070</v>
      </c>
      <c r="AT387" s="40" t="s">
        <v>1306</v>
      </c>
      <c r="AU387" s="48"/>
      <c r="AV387" s="20"/>
      <c r="AW387" s="45"/>
      <c r="AX387" s="20"/>
    </row>
    <row r="388" spans="2:50" ht="30" customHeight="1">
      <c r="B388" s="8">
        <v>385</v>
      </c>
      <c r="C388" s="20" t="s">
        <v>461</v>
      </c>
      <c r="D388" s="20" t="s">
        <v>461</v>
      </c>
      <c r="E388" s="8" t="s">
        <v>74</v>
      </c>
      <c r="F388" s="8" t="s">
        <v>75</v>
      </c>
      <c r="G388" s="19" t="s">
        <v>73</v>
      </c>
      <c r="H388" s="29" t="s">
        <v>76</v>
      </c>
      <c r="I388" s="20"/>
      <c r="J388" s="24">
        <v>30029030</v>
      </c>
      <c r="K388" s="11">
        <v>0.05</v>
      </c>
      <c r="L388" s="21">
        <v>459.38</v>
      </c>
      <c r="M388" s="22">
        <f t="shared" si="15"/>
        <v>404.25439999999998</v>
      </c>
      <c r="N388" s="23">
        <f t="shared" si="16"/>
        <v>55.12560000000002</v>
      </c>
      <c r="O388" s="26">
        <f t="shared" si="17"/>
        <v>0.12000000000000005</v>
      </c>
      <c r="P388" s="20"/>
      <c r="Q388" s="20" t="s">
        <v>863</v>
      </c>
      <c r="R388" s="20" t="s">
        <v>889</v>
      </c>
      <c r="S388" s="20"/>
      <c r="T388" s="30">
        <v>1</v>
      </c>
      <c r="U388" s="20" t="s">
        <v>673</v>
      </c>
      <c r="V388" s="20"/>
      <c r="W388" s="20" t="s">
        <v>930</v>
      </c>
      <c r="X388" s="43"/>
      <c r="Y388" s="20" t="s">
        <v>1069</v>
      </c>
      <c r="Z388" s="20" t="s">
        <v>1069</v>
      </c>
      <c r="AA388" s="20"/>
      <c r="AB388" s="20"/>
      <c r="AC388" s="20"/>
      <c r="AD388" s="20"/>
      <c r="AE388" s="20"/>
      <c r="AF388" s="20"/>
      <c r="AG388" s="20"/>
      <c r="AH388" s="20"/>
      <c r="AI388" s="20" t="s">
        <v>1327</v>
      </c>
      <c r="AJ388" s="20"/>
      <c r="AK388" s="20"/>
      <c r="AL388" s="20"/>
      <c r="AM388" s="20"/>
      <c r="AN388" s="35" t="s">
        <v>854</v>
      </c>
      <c r="AO388" s="20"/>
      <c r="AP388" s="20"/>
      <c r="AQ388" s="45"/>
      <c r="AR388" s="20" t="s">
        <v>1319</v>
      </c>
      <c r="AS388" s="20" t="s">
        <v>1069</v>
      </c>
      <c r="AT388" s="40" t="s">
        <v>1319</v>
      </c>
      <c r="AU388" s="48"/>
      <c r="AV388" s="20"/>
      <c r="AW388" s="45"/>
      <c r="AX388" s="20"/>
    </row>
    <row r="389" spans="2:50" ht="33" customHeight="1">
      <c r="B389" s="8">
        <v>386</v>
      </c>
      <c r="C389" s="20" t="s">
        <v>462</v>
      </c>
      <c r="D389" s="20" t="s">
        <v>462</v>
      </c>
      <c r="E389" s="8" t="s">
        <v>74</v>
      </c>
      <c r="F389" s="8" t="s">
        <v>75</v>
      </c>
      <c r="G389" s="19" t="s">
        <v>73</v>
      </c>
      <c r="H389" s="29" t="s">
        <v>76</v>
      </c>
      <c r="I389" s="20"/>
      <c r="J389" s="24">
        <v>30049099</v>
      </c>
      <c r="K389" s="11">
        <v>0.05</v>
      </c>
      <c r="L389" s="21">
        <v>834.38</v>
      </c>
      <c r="M389" s="22">
        <f t="shared" ref="M389:M391" si="18">L389*0.88</f>
        <v>734.25440000000003</v>
      </c>
      <c r="N389" s="23">
        <f t="shared" ref="N389:N391" si="19">L389-M389</f>
        <v>100.12559999999996</v>
      </c>
      <c r="O389" s="26">
        <f t="shared" ref="O389:O391" si="20">N389/L389</f>
        <v>0.11999999999999995</v>
      </c>
      <c r="P389" s="20"/>
      <c r="Q389" s="20" t="s">
        <v>859</v>
      </c>
      <c r="R389" s="20" t="s">
        <v>889</v>
      </c>
      <c r="S389" s="20"/>
      <c r="T389" s="30">
        <v>1</v>
      </c>
      <c r="U389" s="20" t="s">
        <v>634</v>
      </c>
      <c r="V389" s="20"/>
      <c r="W389" s="20" t="s">
        <v>929</v>
      </c>
      <c r="X389" s="43"/>
      <c r="Y389" s="20" t="s">
        <v>1068</v>
      </c>
      <c r="Z389" s="20" t="s">
        <v>1068</v>
      </c>
      <c r="AA389" s="20"/>
      <c r="AB389" s="20"/>
      <c r="AC389" s="20"/>
      <c r="AD389" s="20"/>
      <c r="AE389" s="20"/>
      <c r="AF389" s="20"/>
      <c r="AG389" s="20"/>
      <c r="AH389" s="20"/>
      <c r="AI389" s="20" t="s">
        <v>1327</v>
      </c>
      <c r="AJ389" s="20"/>
      <c r="AK389" s="20"/>
      <c r="AL389" s="20"/>
      <c r="AM389" s="20"/>
      <c r="AN389" s="35" t="s">
        <v>855</v>
      </c>
      <c r="AO389" s="20"/>
      <c r="AP389" s="20"/>
      <c r="AQ389" s="45"/>
      <c r="AR389" s="20" t="s">
        <v>1320</v>
      </c>
      <c r="AS389" s="20" t="s">
        <v>1068</v>
      </c>
      <c r="AT389" s="40" t="s">
        <v>1320</v>
      </c>
      <c r="AU389" s="48"/>
      <c r="AV389" s="20"/>
      <c r="AW389" s="45"/>
      <c r="AX389" s="20"/>
    </row>
    <row r="390" spans="2:50" ht="25.5" customHeight="1">
      <c r="B390" s="8">
        <v>387</v>
      </c>
      <c r="C390" s="20" t="s">
        <v>463</v>
      </c>
      <c r="D390" s="20" t="s">
        <v>463</v>
      </c>
      <c r="E390" s="8" t="s">
        <v>74</v>
      </c>
      <c r="F390" s="8" t="s">
        <v>75</v>
      </c>
      <c r="G390" s="19" t="s">
        <v>73</v>
      </c>
      <c r="H390" s="29" t="s">
        <v>76</v>
      </c>
      <c r="I390" s="20"/>
      <c r="J390" s="24">
        <v>30049099</v>
      </c>
      <c r="K390" s="11">
        <v>0.05</v>
      </c>
      <c r="L390" s="21">
        <v>450</v>
      </c>
      <c r="M390" s="22">
        <f t="shared" si="18"/>
        <v>396</v>
      </c>
      <c r="N390" s="23">
        <f t="shared" si="19"/>
        <v>54</v>
      </c>
      <c r="O390" s="26">
        <f t="shared" si="20"/>
        <v>0.12</v>
      </c>
      <c r="P390" s="20"/>
      <c r="Q390" s="20" t="s">
        <v>864</v>
      </c>
      <c r="R390" s="20" t="s">
        <v>891</v>
      </c>
      <c r="S390" s="20"/>
      <c r="T390" s="30">
        <v>1</v>
      </c>
      <c r="U390" s="20" t="s">
        <v>674</v>
      </c>
      <c r="V390" s="20"/>
      <c r="W390" s="20" t="s">
        <v>936</v>
      </c>
      <c r="X390" s="43"/>
      <c r="Y390" s="20" t="s">
        <v>1067</v>
      </c>
      <c r="Z390" s="20" t="s">
        <v>1067</v>
      </c>
      <c r="AA390" s="20"/>
      <c r="AB390" s="20"/>
      <c r="AC390" s="20"/>
      <c r="AD390" s="20"/>
      <c r="AE390" s="20"/>
      <c r="AF390" s="20"/>
      <c r="AG390" s="20"/>
      <c r="AH390" s="20"/>
      <c r="AI390" s="20" t="s">
        <v>1327</v>
      </c>
      <c r="AJ390" s="20"/>
      <c r="AK390" s="20"/>
      <c r="AL390" s="20"/>
      <c r="AM390" s="20"/>
      <c r="AN390" s="35" t="s">
        <v>856</v>
      </c>
      <c r="AO390" s="20"/>
      <c r="AP390" s="20"/>
      <c r="AQ390" s="45"/>
      <c r="AR390" s="20" t="s">
        <v>1312</v>
      </c>
      <c r="AS390" s="20" t="s">
        <v>1067</v>
      </c>
      <c r="AT390" s="40" t="s">
        <v>1312</v>
      </c>
      <c r="AU390" s="48"/>
      <c r="AV390" s="20"/>
      <c r="AW390" s="45"/>
      <c r="AX390" s="20"/>
    </row>
    <row r="391" spans="2:50" ht="30.75" customHeight="1">
      <c r="B391" s="8">
        <v>388</v>
      </c>
      <c r="C391" s="20" t="s">
        <v>464</v>
      </c>
      <c r="D391" s="20" t="s">
        <v>464</v>
      </c>
      <c r="E391" s="8" t="s">
        <v>74</v>
      </c>
      <c r="F391" s="8" t="s">
        <v>75</v>
      </c>
      <c r="G391" s="19" t="s">
        <v>73</v>
      </c>
      <c r="H391" s="29" t="s">
        <v>76</v>
      </c>
      <c r="I391" s="20"/>
      <c r="J391" s="24">
        <v>21069099</v>
      </c>
      <c r="K391" s="39">
        <v>0.05</v>
      </c>
      <c r="L391" s="21">
        <v>311.5</v>
      </c>
      <c r="M391" s="22">
        <f t="shared" si="18"/>
        <v>274.12</v>
      </c>
      <c r="N391" s="23">
        <f t="shared" si="19"/>
        <v>37.379999999999995</v>
      </c>
      <c r="O391" s="26">
        <f t="shared" si="20"/>
        <v>0.11999999999999998</v>
      </c>
      <c r="P391" s="20"/>
      <c r="Q391" s="20" t="s">
        <v>859</v>
      </c>
      <c r="R391" s="20" t="s">
        <v>889</v>
      </c>
      <c r="S391" s="20"/>
      <c r="T391" s="30">
        <v>1</v>
      </c>
      <c r="U391" s="20" t="s">
        <v>675</v>
      </c>
      <c r="V391" s="20"/>
      <c r="W391" s="20" t="s">
        <v>929</v>
      </c>
      <c r="X391" s="43"/>
      <c r="Y391" s="40" t="s">
        <v>1066</v>
      </c>
      <c r="Z391" s="40" t="s">
        <v>1066</v>
      </c>
      <c r="AA391" s="20"/>
      <c r="AB391" s="20"/>
      <c r="AC391" s="20"/>
      <c r="AD391" s="20"/>
      <c r="AE391" s="20"/>
      <c r="AF391" s="20"/>
      <c r="AG391" s="20"/>
      <c r="AH391" s="20"/>
      <c r="AI391" s="20" t="s">
        <v>1329</v>
      </c>
      <c r="AJ391" s="20"/>
      <c r="AK391" s="20"/>
      <c r="AL391" s="20"/>
      <c r="AM391" s="20"/>
      <c r="AN391" s="35" t="s">
        <v>857</v>
      </c>
      <c r="AO391" s="20"/>
      <c r="AP391" s="20"/>
      <c r="AQ391" s="45"/>
      <c r="AR391" s="20" t="s">
        <v>1306</v>
      </c>
      <c r="AS391" s="40" t="s">
        <v>1066</v>
      </c>
      <c r="AT391" s="40" t="s">
        <v>1306</v>
      </c>
      <c r="AU391" s="48"/>
      <c r="AV391" s="20"/>
      <c r="AW391" s="45"/>
      <c r="AX391" s="20"/>
    </row>
    <row r="392" spans="2:50" ht="15.75" customHeight="1">
      <c r="J392" s="38"/>
    </row>
    <row r="393" spans="2:50" ht="15.75" customHeight="1"/>
    <row r="394" spans="2:50" ht="15.75" customHeight="1"/>
    <row r="395" spans="2:50" ht="15.75" customHeight="1"/>
    <row r="396" spans="2:50" ht="15.75" customHeight="1"/>
    <row r="397" spans="2:50" ht="15.75" customHeight="1"/>
    <row r="398" spans="2:50" ht="15.75" customHeight="1"/>
    <row r="399" spans="2:50" ht="15.75" customHeight="1"/>
    <row r="400" spans="2:5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autoFilter ref="A2:BC391" xr:uid="{00000000-0001-0000-0000-000000000000}"/>
  <mergeCells count="4">
    <mergeCell ref="C1:N1"/>
    <mergeCell ref="Q1:AG1"/>
    <mergeCell ref="AI1:AL1"/>
    <mergeCell ref="AR1:AX1"/>
  </mergeCells>
  <phoneticPr fontId="9" type="noConversion"/>
  <hyperlinks>
    <hyperlink ref="G4" r:id="rId1" xr:uid="{20E79353-5499-485B-A773-46E7183A55A2}"/>
    <hyperlink ref="G5" r:id="rId2" xr:uid="{8015ADC7-7D49-4C0C-ACA4-D5EFAAFE2C96}"/>
    <hyperlink ref="G6" r:id="rId3" xr:uid="{FDF17B3A-B199-49B2-8DF8-0C0606E93920}"/>
    <hyperlink ref="G8" r:id="rId4" xr:uid="{E22515F0-4FBD-49AE-BB18-720D409B85F0}"/>
    <hyperlink ref="G10" r:id="rId5" xr:uid="{B88BB6B7-B61F-4101-8827-40E1D6258A30}"/>
    <hyperlink ref="G12" r:id="rId6" xr:uid="{655EB8D9-AF98-4021-A98E-27D9F1337823}"/>
    <hyperlink ref="G14" r:id="rId7" xr:uid="{FC647F19-4DD5-401C-BBFB-DCC3B2E5083B}"/>
    <hyperlink ref="G16" r:id="rId8" xr:uid="{1A31F9F6-E4B9-43D0-9802-49B56404215E}"/>
    <hyperlink ref="G18" r:id="rId9" xr:uid="{3AC614DF-C755-4B3F-8C40-5FBDA4CBD42F}"/>
    <hyperlink ref="G20" r:id="rId10" xr:uid="{114E871D-42F6-4B3C-9783-5E3BED998D57}"/>
    <hyperlink ref="G22" r:id="rId11" xr:uid="{80B8D788-4F12-4715-A4BF-8EBF80AD760B}"/>
    <hyperlink ref="G24" r:id="rId12" xr:uid="{0981C6CE-E1DF-428C-B59E-0B0C6590763A}"/>
    <hyperlink ref="G26" r:id="rId13" xr:uid="{9CD38564-B131-4A39-A9DE-625D9A92CA9E}"/>
    <hyperlink ref="G28" r:id="rId14" xr:uid="{1B2C22FB-7E28-468A-9A1A-70EEC772B06F}"/>
    <hyperlink ref="G30" r:id="rId15" xr:uid="{55E83B5F-2D84-4F4B-9D1D-1E6E06CA6014}"/>
    <hyperlink ref="G32" r:id="rId16" xr:uid="{DA98D52C-7D44-462E-84F6-0AE50E670F6C}"/>
    <hyperlink ref="G34" r:id="rId17" xr:uid="{B132907E-5942-4038-9A2B-8D7E2220580B}"/>
    <hyperlink ref="G36" r:id="rId18" xr:uid="{8B76E323-A940-4449-9D18-2EBA3A8CAE83}"/>
    <hyperlink ref="G38" r:id="rId19" xr:uid="{BB12D4CC-3657-40D1-95C7-CF7A55136D6B}"/>
    <hyperlink ref="G40" r:id="rId20" xr:uid="{949ABBB0-BC2D-409E-8EF0-42BEFAEBF767}"/>
    <hyperlink ref="G42" r:id="rId21" xr:uid="{16D76DEB-6C43-467B-9D32-09A155F15E73}"/>
    <hyperlink ref="G44" r:id="rId22" xr:uid="{819E2B75-AEC2-4175-9BB6-7C9772388CAA}"/>
    <hyperlink ref="G46" r:id="rId23" xr:uid="{1AB761B3-57C9-459A-BFFE-4A3D2A3D59A3}"/>
    <hyperlink ref="G48" r:id="rId24" xr:uid="{AE6F4057-A015-4CA5-ADB4-8C6D0F5C6AB8}"/>
    <hyperlink ref="G50" r:id="rId25" xr:uid="{E4C63F50-FF5C-40C6-ADEA-912F1CFBF174}"/>
    <hyperlink ref="G52" r:id="rId26" xr:uid="{5B13E86F-3DD4-4E49-BD91-A699AD2CF037}"/>
    <hyperlink ref="G54" r:id="rId27" xr:uid="{85F2448B-34CD-4C3A-86FB-FCC4231A8D7B}"/>
    <hyperlink ref="G56" r:id="rId28" xr:uid="{B60800A0-0AA5-4216-A320-7938CB26B1D4}"/>
    <hyperlink ref="G58" r:id="rId29" xr:uid="{F42D4072-1CBA-445E-9B07-E96CE23F7C9C}"/>
    <hyperlink ref="G60" r:id="rId30" xr:uid="{FD0DA3D8-20F1-40A7-955E-83CB22DC30E1}"/>
    <hyperlink ref="G62" r:id="rId31" xr:uid="{87E70742-7963-4041-A7BA-2C83C587DA14}"/>
    <hyperlink ref="G64" r:id="rId32" xr:uid="{35692C23-AE64-4751-B2F2-0A55A426AC2E}"/>
    <hyperlink ref="G66" r:id="rId33" xr:uid="{C4005348-1B33-4AAF-9FD9-39B770D41F25}"/>
    <hyperlink ref="G68" r:id="rId34" xr:uid="{A0387680-4742-4818-9646-A331391F027E}"/>
    <hyperlink ref="G70" r:id="rId35" xr:uid="{67A59A24-C790-4BAC-AC99-9EB958544F5C}"/>
    <hyperlink ref="G72" r:id="rId36" xr:uid="{94236C73-AEBB-4829-91BC-796914B32EDB}"/>
    <hyperlink ref="G74" r:id="rId37" xr:uid="{2C8BC91F-A0F5-4033-835F-BBABA47B43B7}"/>
    <hyperlink ref="G76" r:id="rId38" xr:uid="{98877053-DB2C-4ED5-9CAC-58D7CB4A9D35}"/>
    <hyperlink ref="G78" r:id="rId39" xr:uid="{4EA37FD0-11D7-4A9F-B315-289794401773}"/>
    <hyperlink ref="G80" r:id="rId40" xr:uid="{77A9CD62-0BC0-4E16-97BA-6F58CAA37BAF}"/>
    <hyperlink ref="G82" r:id="rId41" xr:uid="{747F5A0E-068F-431C-98A0-B725A94CED82}"/>
    <hyperlink ref="G84" r:id="rId42" xr:uid="{D512FFFE-CB66-457D-9E5E-AABB616A1FF8}"/>
    <hyperlink ref="G86" r:id="rId43" xr:uid="{E71CC4DD-32DC-49E7-803B-80C2884231AC}"/>
    <hyperlink ref="G88" r:id="rId44" xr:uid="{80644650-4C2D-49BE-BCDC-3C7526B3F474}"/>
    <hyperlink ref="G90" r:id="rId45" xr:uid="{4889EFF0-D31E-4E29-BE51-6C0E67CB9306}"/>
    <hyperlink ref="G92" r:id="rId46" xr:uid="{B15DAA36-FE93-4657-BC52-509FC29A26A4}"/>
    <hyperlink ref="G94" r:id="rId47" xr:uid="{60A95352-B062-4092-A802-6D3D0C97E23A}"/>
    <hyperlink ref="G96" r:id="rId48" xr:uid="{BDE040AE-AB03-4D2D-A49A-9319151A0816}"/>
    <hyperlink ref="G98" r:id="rId49" xr:uid="{41F4BEA5-25F1-4DC8-B9B5-3256CA3A576F}"/>
    <hyperlink ref="G100" r:id="rId50" xr:uid="{17427BEE-6AF7-4AF2-8DF0-7AAF30BA9878}"/>
    <hyperlink ref="G102" r:id="rId51" xr:uid="{246B8555-6F89-42CD-A13A-64A41BEBCCD1}"/>
    <hyperlink ref="G104" r:id="rId52" xr:uid="{B2B1237E-2018-45DE-BAD9-298960945895}"/>
    <hyperlink ref="G106" r:id="rId53" xr:uid="{D25A6298-C420-4B9C-BF4B-208F29EF0A44}"/>
    <hyperlink ref="G108" r:id="rId54" xr:uid="{2AE00DA7-4136-4F41-AD2B-3C4FE9A7BA19}"/>
    <hyperlink ref="G110" r:id="rId55" xr:uid="{E30B5A61-71B6-4E29-950C-E01AA3880CCB}"/>
    <hyperlink ref="G112" r:id="rId56" xr:uid="{71F0D1CE-0CD6-4B16-822A-73029E4CBC8D}"/>
    <hyperlink ref="G114" r:id="rId57" xr:uid="{13B9F150-AEAA-4748-95FD-F7B9F1B73403}"/>
    <hyperlink ref="G116" r:id="rId58" xr:uid="{F80729B8-9033-4F41-A19B-7C3E6D9C7F8A}"/>
    <hyperlink ref="G118" r:id="rId59" xr:uid="{CA00660D-5E5A-4227-9B1A-C303FE0AC2AC}"/>
    <hyperlink ref="G120" r:id="rId60" xr:uid="{4500F593-C10E-4E0E-8CAB-C30EF6A841D2}"/>
    <hyperlink ref="G122" r:id="rId61" xr:uid="{9A9C2DE5-3991-46E2-A15D-819B31F954BF}"/>
    <hyperlink ref="G124" r:id="rId62" xr:uid="{BB04C962-2B72-4678-8031-37AD401B914E}"/>
    <hyperlink ref="G126" r:id="rId63" xr:uid="{A7507190-3882-4F46-8285-E5CDE9753B0E}"/>
    <hyperlink ref="G128" r:id="rId64" xr:uid="{5624BC3B-C6F3-41AF-81E3-5C7D0F8F59E8}"/>
    <hyperlink ref="G130" r:id="rId65" xr:uid="{FCDB5731-5D5C-4E26-8BBE-B2B81597F469}"/>
    <hyperlink ref="G132" r:id="rId66" xr:uid="{052387E2-624D-4698-AFCF-3836BC4996D3}"/>
    <hyperlink ref="G134" r:id="rId67" xr:uid="{0BB5CDCC-4977-4463-B392-D87DC860A94E}"/>
    <hyperlink ref="G136" r:id="rId68" xr:uid="{08DE8268-DB0D-464C-B062-2970CCE83FB4}"/>
    <hyperlink ref="G138" r:id="rId69" xr:uid="{C1B3D78E-962F-4C5C-A100-2610592B9BAA}"/>
    <hyperlink ref="G140" r:id="rId70" xr:uid="{0377A7B6-A81D-4397-AACC-0994362D6C12}"/>
    <hyperlink ref="G142" r:id="rId71" xr:uid="{7087CD41-603D-4054-9386-C0F7814B5029}"/>
    <hyperlink ref="G144" r:id="rId72" xr:uid="{716F1AEC-D945-4B40-9868-3CDD227B8E36}"/>
    <hyperlink ref="G146" r:id="rId73" xr:uid="{BF8DFA2A-A30E-4EA0-AAE4-8A307976DCAF}"/>
    <hyperlink ref="G148" r:id="rId74" xr:uid="{6D87F236-D312-4BCC-A766-13CB1AF9760C}"/>
    <hyperlink ref="G150" r:id="rId75" xr:uid="{8B53BDA0-5844-4C04-AD6F-38DE5E2FF5FA}"/>
    <hyperlink ref="G152" r:id="rId76" xr:uid="{992E040A-3FCD-482C-BCEE-5F14AB5D09E5}"/>
    <hyperlink ref="G154" r:id="rId77" xr:uid="{B0586501-C5DB-43C8-B140-0455328C5C09}"/>
    <hyperlink ref="G156" r:id="rId78" xr:uid="{6029DA09-C258-4BFF-8EFF-4231D4C40EC5}"/>
    <hyperlink ref="G158" r:id="rId79" xr:uid="{E33229B0-C4F9-48A2-B739-723EFB4DFAE7}"/>
    <hyperlink ref="G160" r:id="rId80" xr:uid="{C987B7FD-4790-4C43-A06C-31733CAF5D48}"/>
    <hyperlink ref="G162" r:id="rId81" xr:uid="{A023DBE5-15FA-4E5C-BCED-FD66A83249EC}"/>
    <hyperlink ref="G164" r:id="rId82" xr:uid="{FF14EAC8-0EA3-484F-ACC0-EE4603E66013}"/>
    <hyperlink ref="G166" r:id="rId83" xr:uid="{484E1EAD-B85E-4237-9A7D-1B50E158B323}"/>
    <hyperlink ref="G168" r:id="rId84" xr:uid="{7F620B57-CF56-4F06-BBFB-A6A15956E4E6}"/>
    <hyperlink ref="G170" r:id="rId85" xr:uid="{DDD33EF7-C08D-4124-A8C6-E164242A640C}"/>
    <hyperlink ref="G172" r:id="rId86" xr:uid="{1F7044E7-B58E-4743-9C8E-7C3B7BB20B65}"/>
    <hyperlink ref="G174" r:id="rId87" xr:uid="{C885861D-82CA-4BCE-9D5F-DC6FB5B21A83}"/>
    <hyperlink ref="G176" r:id="rId88" xr:uid="{C5C7CF3B-8756-4A30-82E4-E8C04E3800E8}"/>
    <hyperlink ref="G178" r:id="rId89" xr:uid="{82062DBD-EA97-4E6F-8799-81525F9D395E}"/>
    <hyperlink ref="G180" r:id="rId90" xr:uid="{0AD8E1F3-FAE7-4583-B9E0-8F1CEA5F8A4A}"/>
    <hyperlink ref="G182" r:id="rId91" xr:uid="{DE74BD6B-C566-43EE-A7F7-B2489EBDF83B}"/>
    <hyperlink ref="G184" r:id="rId92" xr:uid="{98C7DC9D-19B8-4AAE-8375-351A0655B2AC}"/>
    <hyperlink ref="G186" r:id="rId93" xr:uid="{8D654DCC-C718-445C-B395-5BC56158DA35}"/>
    <hyperlink ref="G188" r:id="rId94" xr:uid="{7482AED7-87D4-4540-9A81-57ACCFE62F4E}"/>
    <hyperlink ref="G190" r:id="rId95" xr:uid="{401C0FF1-9520-48BF-BC81-58DA761A3984}"/>
    <hyperlink ref="G192" r:id="rId96" xr:uid="{F8803EB0-D370-4342-9E5B-EC765D2CDDCF}"/>
    <hyperlink ref="G194" r:id="rId97" xr:uid="{405B9777-4798-4097-8510-DB944C169C67}"/>
    <hyperlink ref="G196" r:id="rId98" xr:uid="{371D857D-3253-4464-BB7C-C492A3469010}"/>
    <hyperlink ref="G198" r:id="rId99" xr:uid="{FD930487-DF57-4D59-B722-25615370919F}"/>
    <hyperlink ref="G200" r:id="rId100" xr:uid="{39B29252-7C19-4E9F-8A13-DA013E9E9086}"/>
    <hyperlink ref="G202" r:id="rId101" xr:uid="{DEB8FC20-4E28-4C33-B336-86C4FB277462}"/>
    <hyperlink ref="G204" r:id="rId102" xr:uid="{46D9CEC8-B3F2-4F5C-98B3-D177C12773FC}"/>
    <hyperlink ref="G206" r:id="rId103" xr:uid="{CA682074-D3D9-456E-9AA4-27938ED1A260}"/>
    <hyperlink ref="G208" r:id="rId104" xr:uid="{4EA82400-FCC4-49B9-A5E9-886BE370EC39}"/>
    <hyperlink ref="G210" r:id="rId105" xr:uid="{A5244497-143B-4E31-9360-2D133986BABB}"/>
    <hyperlink ref="G212" r:id="rId106" xr:uid="{7EDF5A8D-98EF-4118-9242-F10B9A28F77C}"/>
    <hyperlink ref="G214" r:id="rId107" xr:uid="{71C901C7-C224-4F93-B007-0E3F3C782731}"/>
    <hyperlink ref="G216" r:id="rId108" xr:uid="{8053852B-D6D5-41F6-9572-D1363224D14F}"/>
    <hyperlink ref="G218" r:id="rId109" xr:uid="{496B2759-5C05-40E2-95AB-BD66D13820E8}"/>
    <hyperlink ref="G220" r:id="rId110" xr:uid="{06A436FF-324F-4539-90C2-C91AF1504D2C}"/>
    <hyperlink ref="G222" r:id="rId111" xr:uid="{2ABB975C-067D-4F5F-8490-8CAEC416B64D}"/>
    <hyperlink ref="G224" r:id="rId112" xr:uid="{C8B37665-08A6-4B97-81BA-C6FA88AF16E8}"/>
    <hyperlink ref="G226" r:id="rId113" xr:uid="{C7F77BC5-0529-4637-9A1C-D4DE2F2F4DA6}"/>
    <hyperlink ref="G228" r:id="rId114" xr:uid="{A9984C81-A14D-481D-BAE2-10926074C546}"/>
    <hyperlink ref="G230" r:id="rId115" xr:uid="{CCB7862A-7BDF-44C8-9FFE-D5515B7BECE3}"/>
    <hyperlink ref="G232" r:id="rId116" xr:uid="{53C85A6B-6F52-46E8-929D-46A56520E28A}"/>
    <hyperlink ref="G234" r:id="rId117" xr:uid="{ACB65968-D36B-4CCB-807F-B9DCD00CA2C2}"/>
    <hyperlink ref="G236" r:id="rId118" xr:uid="{49862525-0A1A-4C0F-8451-5F0E4BD37CB7}"/>
    <hyperlink ref="G238" r:id="rId119" xr:uid="{21E9981C-9CBF-4126-9B66-F145C1410ED0}"/>
    <hyperlink ref="G240" r:id="rId120" xr:uid="{8E67DA5C-1F50-4AD9-96D7-FA45E7E59ECF}"/>
    <hyperlink ref="G242" r:id="rId121" xr:uid="{4ACB7706-D79B-4472-BEE2-D2A09C840D36}"/>
    <hyperlink ref="G244" r:id="rId122" xr:uid="{505FEA40-2438-4FFB-A31B-D3FD2DB02F42}"/>
    <hyperlink ref="G246" r:id="rId123" xr:uid="{3B59CDDB-EB71-481A-BD4E-E588D205BF30}"/>
    <hyperlink ref="G248" r:id="rId124" xr:uid="{CC93ED4C-3F7D-41C2-BFFE-2EC96C8B71CB}"/>
    <hyperlink ref="G250" r:id="rId125" xr:uid="{A874B639-A5D1-452F-81F1-B465CD931EC1}"/>
    <hyperlink ref="G252" r:id="rId126" xr:uid="{ECDE30C1-F1CB-48A1-AC48-C506653B4091}"/>
    <hyperlink ref="G254" r:id="rId127" xr:uid="{FAFA11CB-CC43-4F02-A9B7-703444C5D3A0}"/>
    <hyperlink ref="G256" r:id="rId128" xr:uid="{6B4801A5-A055-4680-8ECD-A6B7C4FA1FED}"/>
    <hyperlink ref="G258" r:id="rId129" xr:uid="{6676CF24-6A76-49BA-BF6B-0E9496981ED9}"/>
    <hyperlink ref="G260" r:id="rId130" xr:uid="{7685B1EB-F66F-4137-ADB6-09F82DEB654D}"/>
    <hyperlink ref="G262" r:id="rId131" xr:uid="{EFF5C651-E6C6-4102-8581-2A93222A63CD}"/>
    <hyperlink ref="G264" r:id="rId132" xr:uid="{C75C25C0-33E0-4448-8E01-FD6C2A0296E1}"/>
    <hyperlink ref="G266" r:id="rId133" xr:uid="{188A1E16-E5F2-4EDB-A2A6-967DF92F9DC3}"/>
    <hyperlink ref="G268" r:id="rId134" xr:uid="{E24CF203-382C-49FD-AC8E-BA5323D345D0}"/>
    <hyperlink ref="G270" r:id="rId135" xr:uid="{9C0289A3-FDDD-419F-A07C-97D730AB750F}"/>
    <hyperlink ref="G272" r:id="rId136" xr:uid="{2804B46C-08F1-47BC-A994-B09D2E536230}"/>
    <hyperlink ref="G274" r:id="rId137" xr:uid="{B770423E-4013-4D60-96DD-839EC3227FC8}"/>
    <hyperlink ref="G276" r:id="rId138" xr:uid="{F5E62268-CBEE-4F65-9F6C-23647DF31FCE}"/>
    <hyperlink ref="G278" r:id="rId139" xr:uid="{84552E9A-D8F2-446F-ADA5-7A83801B3BFB}"/>
    <hyperlink ref="G280" r:id="rId140" xr:uid="{A684220F-7863-4E15-B797-F8623E7BAA9F}"/>
    <hyperlink ref="G282" r:id="rId141" xr:uid="{D236BD91-2CAF-4A28-9C00-2FD9D37228FE}"/>
    <hyperlink ref="G284" r:id="rId142" xr:uid="{3ACF4500-E6EE-4BEA-A070-6F43F2CC3E6E}"/>
    <hyperlink ref="G286" r:id="rId143" xr:uid="{BA172C6B-DD2D-4641-B541-7E19D8A29C5C}"/>
    <hyperlink ref="G288" r:id="rId144" xr:uid="{A8A5B1B7-E5BA-4267-B2E2-6138EF5D2CB6}"/>
    <hyperlink ref="G290" r:id="rId145" xr:uid="{CE390470-B438-4C4D-9360-D1B437948BAF}"/>
    <hyperlink ref="G292" r:id="rId146" xr:uid="{FBBC0613-F564-405E-A49A-9F85F73F26B8}"/>
    <hyperlink ref="G294" r:id="rId147" xr:uid="{57660E36-C55B-419B-A5A7-2D33F74C929F}"/>
    <hyperlink ref="G296" r:id="rId148" xr:uid="{17C4A2AB-944C-45A8-8CCE-E926B0B8878C}"/>
    <hyperlink ref="G298" r:id="rId149" xr:uid="{189FE78A-9905-4E59-AB1B-8C7770337D64}"/>
    <hyperlink ref="G300" r:id="rId150" xr:uid="{54BFE4FE-1561-4D14-903A-6249EA698385}"/>
    <hyperlink ref="G302" r:id="rId151" xr:uid="{E98EA35B-616D-4EBA-BDA4-4C1E8AF43151}"/>
    <hyperlink ref="G304" r:id="rId152" xr:uid="{895FC7F2-E943-4BB8-B8BC-7DDF354B1BA7}"/>
    <hyperlink ref="G306" r:id="rId153" xr:uid="{ABDC7154-1A9C-4BA9-86B0-67E45BD17033}"/>
    <hyperlink ref="G308" r:id="rId154" xr:uid="{16F5C21D-5B5D-4EF6-9B1F-BBC874E8D302}"/>
    <hyperlink ref="G310" r:id="rId155" xr:uid="{98DE3366-C232-482C-B552-9AC4D8901B8E}"/>
    <hyperlink ref="G312" r:id="rId156" xr:uid="{7F6075E4-60DD-4446-BE83-1FC9BA898F75}"/>
    <hyperlink ref="G314" r:id="rId157" xr:uid="{82EB162B-1E1D-4963-B423-2711EC0367DF}"/>
    <hyperlink ref="G316" r:id="rId158" xr:uid="{DCAB5152-D8ED-43A9-BCD9-5965E1E916D1}"/>
    <hyperlink ref="G318" r:id="rId159" xr:uid="{84FFBBDF-4ED0-4105-9019-C7F41EE490A3}"/>
    <hyperlink ref="G320" r:id="rId160" xr:uid="{B5FCF49D-F44D-4D0B-91EE-0329DA7EB10F}"/>
    <hyperlink ref="G322" r:id="rId161" xr:uid="{5D965DED-83A5-4C90-AF15-0A392BB01FAB}"/>
    <hyperlink ref="G324" r:id="rId162" xr:uid="{3D4407CB-8734-4F8E-98B2-1CAAE1C04DA2}"/>
    <hyperlink ref="G326" r:id="rId163" xr:uid="{6BE34C39-E33F-4894-8885-C09EE928993A}"/>
    <hyperlink ref="G328" r:id="rId164" xr:uid="{AFAD218A-64E4-4971-993B-DE0EBA3474EB}"/>
    <hyperlink ref="G330" r:id="rId165" xr:uid="{504E33CC-5B20-4855-B77C-440B35E71B5C}"/>
    <hyperlink ref="G332" r:id="rId166" xr:uid="{8C008A07-8767-4EB9-AF3E-7BDD14116316}"/>
    <hyperlink ref="G334" r:id="rId167" xr:uid="{DB833723-A164-43FD-A893-824DA81EB9F7}"/>
    <hyperlink ref="G336" r:id="rId168" xr:uid="{A4E3553E-678A-4E3A-AFCC-FF0134500F79}"/>
    <hyperlink ref="G338" r:id="rId169" xr:uid="{DBEEAEFC-3E9D-432D-90E6-D58CF1AD5AF6}"/>
    <hyperlink ref="G340" r:id="rId170" xr:uid="{94B7DAE8-7EFA-402C-9920-35BE2B25D395}"/>
    <hyperlink ref="G342" r:id="rId171" xr:uid="{111B8BAC-6311-4435-9FE5-FCABBCBAE42A}"/>
    <hyperlink ref="G344" r:id="rId172" xr:uid="{DBAADA45-E653-4161-98EC-1C461275F49F}"/>
    <hyperlink ref="G346" r:id="rId173" xr:uid="{319192EB-A1D4-4F55-AF2B-F1A9623B334B}"/>
    <hyperlink ref="G348" r:id="rId174" xr:uid="{40D407B5-60AD-4C20-AA51-2968ED55311E}"/>
    <hyperlink ref="G350" r:id="rId175" xr:uid="{41F55798-3BCC-44AF-B08D-ACF851FA3147}"/>
    <hyperlink ref="G352" r:id="rId176" xr:uid="{61DD2762-B11B-40E8-96F1-C11F4159F6CD}"/>
    <hyperlink ref="G354" r:id="rId177" xr:uid="{9851D59A-8A4E-44EF-9E03-B295139A49DF}"/>
    <hyperlink ref="G356" r:id="rId178" xr:uid="{6DEECDA7-46B9-47CB-8F84-BFF02E2483B1}"/>
    <hyperlink ref="G358" r:id="rId179" xr:uid="{E27A7D92-97D1-4B1A-AC14-BC309A456230}"/>
    <hyperlink ref="G360" r:id="rId180" xr:uid="{79BBD081-4EC5-42DC-8B79-23B512B2FC3E}"/>
    <hyperlink ref="G362" r:id="rId181" xr:uid="{3D2A6A2B-FED4-46BB-918B-EE04ACBB8FD6}"/>
    <hyperlink ref="G364" r:id="rId182" xr:uid="{DEA334B1-820F-4648-97EF-67730EB1BEA5}"/>
    <hyperlink ref="G366" r:id="rId183" xr:uid="{4DEF714B-E48A-41AE-B50E-DEE14CCF4714}"/>
    <hyperlink ref="G368" r:id="rId184" xr:uid="{37B7F737-1F6C-4BDA-84B5-C4AF4169C6A1}"/>
    <hyperlink ref="G370" r:id="rId185" xr:uid="{7971FE92-591C-491F-B163-647F0027525D}"/>
    <hyperlink ref="G372" r:id="rId186" xr:uid="{B828B41A-7AE7-4096-85B1-91C1B0A4D297}"/>
    <hyperlink ref="G374" r:id="rId187" xr:uid="{0BA3086A-62A9-4036-9DED-68402A82A5D4}"/>
    <hyperlink ref="G376" r:id="rId188" xr:uid="{0B832795-9DF7-44E9-BBDC-97F5AD28F009}"/>
    <hyperlink ref="G378" r:id="rId189" xr:uid="{AED4388E-CA00-42B8-8784-ABB5E29C4E8A}"/>
    <hyperlink ref="G380" r:id="rId190" xr:uid="{FA9AFFEC-9556-4E75-8FD8-0AA1BA909603}"/>
    <hyperlink ref="G382" r:id="rId191" xr:uid="{D87D8ACC-6865-4ADB-B603-4EEB65A64C01}"/>
    <hyperlink ref="G384" r:id="rId192" xr:uid="{2C7BC485-7862-4E5D-A519-36ECEA558BA1}"/>
    <hyperlink ref="G386" r:id="rId193" xr:uid="{6E7CF6EE-9299-41D9-B842-7EB0437E48D1}"/>
    <hyperlink ref="G388" r:id="rId194" xr:uid="{CFF6C83C-731F-4469-ACCF-EB21654466D7}"/>
    <hyperlink ref="G7" r:id="rId195" xr:uid="{CBD4F959-FC83-429D-8DE6-6F91B1CF2422}"/>
    <hyperlink ref="G9" r:id="rId196" xr:uid="{4BF30BDB-3A6D-40F0-B019-D623CC001477}"/>
    <hyperlink ref="G11" r:id="rId197" xr:uid="{621D9FA6-F4F2-4685-95A4-B2951AB0C8B0}"/>
    <hyperlink ref="G13" r:id="rId198" xr:uid="{68C7419A-9B57-482F-A5B0-44A00E103001}"/>
    <hyperlink ref="G15" r:id="rId199" xr:uid="{7B245BAB-EEF6-4A67-87CA-91DC8E35C12F}"/>
    <hyperlink ref="G17" r:id="rId200" xr:uid="{C2148038-4718-4B2A-A6BD-973977A7BE8B}"/>
    <hyperlink ref="G19" r:id="rId201" xr:uid="{24B73B49-5F8C-4777-BF18-081FF1E348FE}"/>
    <hyperlink ref="G21" r:id="rId202" xr:uid="{1EC464A6-7703-4ACE-844E-9A149B893778}"/>
    <hyperlink ref="G23" r:id="rId203" xr:uid="{D84AF8E5-9AE1-4419-B85E-F721F26BAB2F}"/>
    <hyperlink ref="G25" r:id="rId204" xr:uid="{4DA5130E-7490-4769-8B7C-2DA347ED1A15}"/>
    <hyperlink ref="G27" r:id="rId205" xr:uid="{BC12CB76-4527-4699-A38D-DCCE34E00533}"/>
    <hyperlink ref="G29" r:id="rId206" xr:uid="{E5F04F7D-EC09-4368-9A8D-EBC11F6FAAA2}"/>
    <hyperlink ref="G31" r:id="rId207" xr:uid="{8F704DAE-8474-473B-8D6A-2F2D250599CE}"/>
    <hyperlink ref="G33" r:id="rId208" xr:uid="{F21CB4E6-1D33-450E-A49A-5A083EE979C1}"/>
    <hyperlink ref="G35" r:id="rId209" xr:uid="{260710AE-D4BB-4443-9B4A-EAD42A2459DB}"/>
    <hyperlink ref="G37" r:id="rId210" xr:uid="{3A3EBC59-DC24-4987-BEF3-25F2BFAAF245}"/>
    <hyperlink ref="G39" r:id="rId211" xr:uid="{52767C67-C875-4D7F-9951-02E02C27A1C3}"/>
    <hyperlink ref="G41" r:id="rId212" xr:uid="{E4A394E2-6399-4E23-A4B7-2A1E1ACAA0FE}"/>
    <hyperlink ref="G43" r:id="rId213" xr:uid="{63F042A5-AB93-47C4-A013-35C60A712452}"/>
    <hyperlink ref="G45" r:id="rId214" xr:uid="{3D580C49-5EF1-4776-A589-A316C637162B}"/>
    <hyperlink ref="G47" r:id="rId215" xr:uid="{F402C28A-7A5D-4C6B-B74B-2F4AEAF9BC9E}"/>
    <hyperlink ref="G49" r:id="rId216" xr:uid="{C150F1BF-33E7-48E2-BD67-6AE146D417BA}"/>
    <hyperlink ref="G51" r:id="rId217" xr:uid="{010CD267-BAD4-4655-A567-11D6B99C6D71}"/>
    <hyperlink ref="G53" r:id="rId218" xr:uid="{942B2319-B543-48A8-A6E1-B351E891E6E1}"/>
    <hyperlink ref="G55" r:id="rId219" xr:uid="{9265C582-1011-460E-91D2-E5BFD4420C5A}"/>
    <hyperlink ref="G57" r:id="rId220" xr:uid="{101831ED-BCA9-4485-9C6E-26F70F501ACC}"/>
    <hyperlink ref="G59" r:id="rId221" xr:uid="{AD94DD26-BD76-408A-8855-571045B58FEB}"/>
    <hyperlink ref="G61" r:id="rId222" xr:uid="{90D23431-7A56-44B3-B699-5A46AC909B3A}"/>
    <hyperlink ref="G63" r:id="rId223" xr:uid="{6188BDB6-9354-48A4-A324-91288257747A}"/>
    <hyperlink ref="G65" r:id="rId224" xr:uid="{778CB89A-EA7E-4E8B-BB18-199749524D93}"/>
    <hyperlink ref="G67" r:id="rId225" xr:uid="{7C33AD4A-665A-4C8D-841A-7E973221F2EA}"/>
    <hyperlink ref="G69" r:id="rId226" xr:uid="{C72B7E78-BD89-4BD2-9C41-3CAD1B80F674}"/>
    <hyperlink ref="G71" r:id="rId227" xr:uid="{A766FB25-C301-495F-863B-CC6D168600B2}"/>
    <hyperlink ref="G73" r:id="rId228" xr:uid="{64E5791E-C146-43A7-9C0D-9055A067F58A}"/>
    <hyperlink ref="G75" r:id="rId229" xr:uid="{9F07AC3B-97AC-433B-A45A-121416A48E3F}"/>
    <hyperlink ref="G77" r:id="rId230" xr:uid="{38215D26-438B-4150-8427-6C2214CD5FFB}"/>
    <hyperlink ref="G79" r:id="rId231" xr:uid="{68CA0A61-FB67-41EF-80E3-F17CEE3EF44E}"/>
    <hyperlink ref="G81" r:id="rId232" xr:uid="{4144F7F2-B73D-4FC3-A671-1BDB7FAA3F82}"/>
    <hyperlink ref="G83" r:id="rId233" xr:uid="{97D8B1B9-7074-4AA4-8EF7-0F9B55064165}"/>
    <hyperlink ref="G85" r:id="rId234" xr:uid="{561741D5-C4B8-455E-8190-CB56D19BCE45}"/>
    <hyperlink ref="G87" r:id="rId235" xr:uid="{5713C7BB-F8AA-4A6B-B80F-9F789B1D9DE0}"/>
    <hyperlink ref="G89" r:id="rId236" xr:uid="{392B64DE-2E1A-41F6-966F-67738D3135FC}"/>
    <hyperlink ref="G91" r:id="rId237" xr:uid="{0DCA11F2-6F06-4168-BD26-13CD4F4F5D72}"/>
    <hyperlink ref="G93" r:id="rId238" xr:uid="{DEBBE663-B6ED-41FD-9E80-75825D3EE54C}"/>
    <hyperlink ref="G95" r:id="rId239" xr:uid="{2D3A506B-9A15-4648-8A2C-DFD828A75A38}"/>
    <hyperlink ref="G97" r:id="rId240" xr:uid="{BF97AC0F-E51C-45A1-AA58-4E85BFD8B062}"/>
    <hyperlink ref="G99" r:id="rId241" xr:uid="{58097699-5022-47A7-94FB-08B7B386ABFF}"/>
    <hyperlink ref="G101" r:id="rId242" xr:uid="{DC808B6D-DEA5-4D5D-93EB-ED9743987FD0}"/>
    <hyperlink ref="G103" r:id="rId243" xr:uid="{0A90A09E-D2C7-486F-B308-FD9C24B09344}"/>
    <hyperlink ref="G105" r:id="rId244" xr:uid="{9AB43104-2545-4020-8075-D58388228E43}"/>
    <hyperlink ref="G107" r:id="rId245" xr:uid="{5B8E1F29-C287-4B20-951F-9645BDBDCB84}"/>
    <hyperlink ref="G109" r:id="rId246" xr:uid="{4E2443D1-EFD0-41C0-A7CB-5705742AD8FB}"/>
    <hyperlink ref="G111" r:id="rId247" xr:uid="{568DD3B0-AE0A-4F10-AE21-80C6B443F4C1}"/>
    <hyperlink ref="G113" r:id="rId248" xr:uid="{27EE83AF-1AE4-4146-906D-66140D5C37E4}"/>
    <hyperlink ref="G115" r:id="rId249" xr:uid="{CA2DDACB-29DE-4E19-AB4E-A76A69628AD3}"/>
    <hyperlink ref="G117" r:id="rId250" xr:uid="{0BF61E88-408B-426D-98A9-7DBC8E12D6C0}"/>
    <hyperlink ref="G119" r:id="rId251" xr:uid="{A28C0D93-B4DD-4183-A0A3-DB657F4A1FF3}"/>
    <hyperlink ref="G121" r:id="rId252" xr:uid="{3A2A8F34-BE00-4EA4-B68A-8A04A88BFFE7}"/>
    <hyperlink ref="G123" r:id="rId253" xr:uid="{E551A17A-F7CD-491A-AF9E-AC27381AD2A1}"/>
    <hyperlink ref="G125" r:id="rId254" xr:uid="{08883521-2972-443E-888D-4F2307F55EA4}"/>
    <hyperlink ref="G127" r:id="rId255" xr:uid="{48ACB7F2-3A96-410E-9558-EBE85D82D2AD}"/>
    <hyperlink ref="G129" r:id="rId256" xr:uid="{50C34A68-7BAE-4819-A1EB-57E697CD47DB}"/>
    <hyperlink ref="G131" r:id="rId257" xr:uid="{242AB1FE-EDA8-48E9-9634-BD099910D8CB}"/>
    <hyperlink ref="G133" r:id="rId258" xr:uid="{4ADDB1F3-4EB3-4C25-8DC4-43B5E25274AA}"/>
    <hyperlink ref="G135" r:id="rId259" xr:uid="{FDD1C63A-4216-4992-A648-7E297C34E0E4}"/>
    <hyperlink ref="G137" r:id="rId260" xr:uid="{CE3F18BA-8983-4D8F-8234-756C1AB62B41}"/>
    <hyperlink ref="G139" r:id="rId261" xr:uid="{F48A12A0-A4E0-484D-AC20-A8638C98C129}"/>
    <hyperlink ref="G141" r:id="rId262" xr:uid="{1DB403CA-4078-4785-9C1C-98C2F442226B}"/>
    <hyperlink ref="G143" r:id="rId263" xr:uid="{CFF13FCC-A3EA-40D9-BB2B-AC7F6282966B}"/>
    <hyperlink ref="G145" r:id="rId264" xr:uid="{335FC1C3-2EF1-4F7D-A09F-75A397BF770D}"/>
    <hyperlink ref="G147" r:id="rId265" xr:uid="{CCC8C497-23B9-428C-9542-4FC7E80DC752}"/>
    <hyperlink ref="G149" r:id="rId266" xr:uid="{B909C3A4-7230-478C-B207-9582F57C22D7}"/>
    <hyperlink ref="G151" r:id="rId267" xr:uid="{15284C53-1246-4C80-A699-50AA6A8165DC}"/>
    <hyperlink ref="G153" r:id="rId268" xr:uid="{F546FAAD-E26F-498D-A825-6048742D8DEC}"/>
    <hyperlink ref="G155" r:id="rId269" xr:uid="{F72069BB-644D-49E0-8A32-940269B465F1}"/>
    <hyperlink ref="G157" r:id="rId270" xr:uid="{B7252216-BA48-4561-8310-A707C1E0ABBC}"/>
    <hyperlink ref="G159" r:id="rId271" xr:uid="{204BE0C9-BDF4-40D7-A842-4A38D38FBF59}"/>
    <hyperlink ref="G161" r:id="rId272" xr:uid="{16D9B377-670F-4269-9259-9099C3A62C1A}"/>
    <hyperlink ref="G163" r:id="rId273" xr:uid="{F0487DA5-EEFC-4377-9308-36DB0B593577}"/>
    <hyperlink ref="G165" r:id="rId274" xr:uid="{9D9465D5-6E36-478F-9037-AE8EE344D1A9}"/>
    <hyperlink ref="G167" r:id="rId275" xr:uid="{BC760E7E-56D5-4E96-AE5B-FEC6C2A2B1B3}"/>
    <hyperlink ref="G169" r:id="rId276" xr:uid="{7CEA6F43-22F9-4950-9729-781732F11CB4}"/>
    <hyperlink ref="G171" r:id="rId277" xr:uid="{07089C7E-E71B-4E32-8B7B-C022FE607DC3}"/>
    <hyperlink ref="G173" r:id="rId278" xr:uid="{41D2DCF5-F6B1-4C87-9C0B-48117F46B7BD}"/>
    <hyperlink ref="G175" r:id="rId279" xr:uid="{0F44F338-E4D6-4096-82CB-27D453241705}"/>
    <hyperlink ref="G177" r:id="rId280" xr:uid="{C18490CF-4CEC-41CD-B767-D11E36D49156}"/>
    <hyperlink ref="G179" r:id="rId281" xr:uid="{F30EFF1F-511A-4883-BCB3-2C100E2E023B}"/>
    <hyperlink ref="G181" r:id="rId282" xr:uid="{DEA81212-8787-435C-90EF-9745DEFF11C8}"/>
    <hyperlink ref="G183" r:id="rId283" xr:uid="{8CE366F9-1716-4D8E-B294-DCAF85296E13}"/>
    <hyperlink ref="G185" r:id="rId284" xr:uid="{B5EB225F-04D1-4444-8574-184CA4BBB66B}"/>
    <hyperlink ref="G187" r:id="rId285" xr:uid="{D7357D43-A887-4867-B7D4-6823E750ADF1}"/>
    <hyperlink ref="G189" r:id="rId286" xr:uid="{4D75EBE0-128C-4F61-8547-AC3B770DAC8E}"/>
    <hyperlink ref="G191" r:id="rId287" xr:uid="{108DD6BF-6555-4AE8-A7D0-1386D9B44A84}"/>
    <hyperlink ref="G193" r:id="rId288" xr:uid="{13B6B56A-20E6-4CDA-ADF3-0056CD35C0DD}"/>
    <hyperlink ref="G195" r:id="rId289" xr:uid="{C27FAC62-59B6-4012-AEC4-1E13B904F44B}"/>
    <hyperlink ref="G197" r:id="rId290" xr:uid="{95FEA60F-427E-40C7-8D56-8AAB4D030B4B}"/>
    <hyperlink ref="G199" r:id="rId291" xr:uid="{231DF70B-B006-4631-8557-D49023E23E23}"/>
    <hyperlink ref="G201" r:id="rId292" xr:uid="{401FF5CA-B464-429F-8764-4E4FFF7B328C}"/>
    <hyperlink ref="G203" r:id="rId293" xr:uid="{F4CD3050-F3EC-4C55-BE31-9B85FCF6116B}"/>
    <hyperlink ref="G205" r:id="rId294" xr:uid="{410E5821-EC2C-4113-A901-0BB8BE7DB2C2}"/>
    <hyperlink ref="G207" r:id="rId295" xr:uid="{C374D57F-6590-4A18-A693-CCF7DB477B14}"/>
    <hyperlink ref="G209" r:id="rId296" xr:uid="{991FB41C-5604-4FC1-938D-9949A3E21504}"/>
    <hyperlink ref="G211" r:id="rId297" xr:uid="{7C8FF3DE-53DA-4B5A-9F32-FE7F9929F142}"/>
    <hyperlink ref="G213" r:id="rId298" xr:uid="{312D93E8-BF6A-4E12-9B2A-9871B08A3F64}"/>
    <hyperlink ref="G215" r:id="rId299" xr:uid="{A778FEF3-7783-47F1-B139-BD2F8155F054}"/>
    <hyperlink ref="G217" r:id="rId300" xr:uid="{6F5BA8E4-8A31-49A5-809E-5A48D56E74E2}"/>
    <hyperlink ref="G219" r:id="rId301" xr:uid="{2200D381-7D0C-4748-BC7C-9FE72F78E953}"/>
    <hyperlink ref="G221" r:id="rId302" xr:uid="{3C0DAFBE-26DC-493C-A0AD-9B94203EF98D}"/>
    <hyperlink ref="G223" r:id="rId303" xr:uid="{27057374-5A8B-46F4-A0F3-E496B2C1DC61}"/>
    <hyperlink ref="G225" r:id="rId304" xr:uid="{408D6994-AF1A-4C24-9689-E3C5FB645E3F}"/>
    <hyperlink ref="G227" r:id="rId305" xr:uid="{F38FE9EC-E184-48BD-AF65-BB857008A514}"/>
    <hyperlink ref="G229" r:id="rId306" xr:uid="{6BC68E6A-03A0-4CB2-A3FE-3EC9988E9A78}"/>
    <hyperlink ref="G231" r:id="rId307" xr:uid="{C670C845-11A0-4E97-A113-9B6571CCD478}"/>
    <hyperlink ref="G233" r:id="rId308" xr:uid="{C2432E9B-9E5F-447D-9DB1-FB6844245EB1}"/>
    <hyperlink ref="G235" r:id="rId309" xr:uid="{91E6D880-882A-4D46-8027-10482B5255D4}"/>
    <hyperlink ref="G237" r:id="rId310" xr:uid="{7AC94FE4-D474-4AE0-9316-543A5E3E7A0C}"/>
    <hyperlink ref="G239" r:id="rId311" xr:uid="{42A2B941-542C-416F-AA90-AA8082FFB91D}"/>
    <hyperlink ref="G241" r:id="rId312" xr:uid="{D199F2AF-9D22-49CF-A0B4-C62B74F293D4}"/>
    <hyperlink ref="G243" r:id="rId313" xr:uid="{A75DF016-0823-4BFD-943C-312CF4CFB806}"/>
    <hyperlink ref="G245" r:id="rId314" xr:uid="{90C3FF07-D185-4FB3-9E17-7B4220C7934C}"/>
    <hyperlink ref="G247" r:id="rId315" xr:uid="{CB1B04FB-3395-4C5F-885E-095AE27ECB67}"/>
    <hyperlink ref="G249" r:id="rId316" xr:uid="{A97C7B5D-65FE-4E29-894B-125B225A6A50}"/>
    <hyperlink ref="G251" r:id="rId317" xr:uid="{B8418118-0D4D-405C-84F4-7693AB197B60}"/>
    <hyperlink ref="G253" r:id="rId318" xr:uid="{78480E16-27FC-40C6-8D42-9D3D83783AE1}"/>
    <hyperlink ref="G255" r:id="rId319" xr:uid="{0724206B-A883-49F7-82A3-A25876E4B0DD}"/>
    <hyperlink ref="G257" r:id="rId320" xr:uid="{6CA9DA20-2116-4C38-9358-EFD1B6037352}"/>
    <hyperlink ref="G259" r:id="rId321" xr:uid="{F4ACA7F2-AE7D-4E85-8971-97672FA2E930}"/>
    <hyperlink ref="G261" r:id="rId322" xr:uid="{D36701E4-7826-4F54-8AED-D55FE7E67851}"/>
    <hyperlink ref="G263" r:id="rId323" xr:uid="{034C60E6-CBBD-4ACA-B48F-133CFBA587ED}"/>
    <hyperlink ref="G265" r:id="rId324" xr:uid="{960FABFD-1741-43A7-B4FE-46C0D34CA80B}"/>
    <hyperlink ref="G267" r:id="rId325" xr:uid="{94F5A0A6-4029-481A-BB4F-648C3E00196A}"/>
    <hyperlink ref="G269" r:id="rId326" xr:uid="{8480DDCF-A8FB-4DDC-937A-9CD324CCDAFB}"/>
    <hyperlink ref="G271" r:id="rId327" xr:uid="{2B35C91A-234C-4B5E-B965-3F0B2E333336}"/>
    <hyperlink ref="G273" r:id="rId328" xr:uid="{2A1327E6-7E9D-4348-81C5-E4DE4B0338DD}"/>
    <hyperlink ref="G275" r:id="rId329" xr:uid="{0CB2BDD1-9A98-47F6-B332-A25BA032F46F}"/>
    <hyperlink ref="G277" r:id="rId330" xr:uid="{09023DBD-AD1F-44EC-B671-7A382BA5FD98}"/>
    <hyperlink ref="G279" r:id="rId331" xr:uid="{97B7E2AE-8A10-42B8-95CD-818086A439FC}"/>
    <hyperlink ref="G281" r:id="rId332" xr:uid="{63453004-1B9A-4A28-9229-741D12C49820}"/>
    <hyperlink ref="G283" r:id="rId333" xr:uid="{61F097FD-2E99-4914-A0F9-6EF4DA8AC741}"/>
    <hyperlink ref="G285" r:id="rId334" xr:uid="{D436154D-5053-4920-BCE6-B13007BF949B}"/>
    <hyperlink ref="G287" r:id="rId335" xr:uid="{CA4A8EC4-187A-4F6C-AB53-B1C1220E2EAB}"/>
    <hyperlink ref="G289" r:id="rId336" xr:uid="{3F25AE7E-A1C5-41F1-AF9F-A79418B6028B}"/>
    <hyperlink ref="G291" r:id="rId337" xr:uid="{D10C6B72-79AB-446F-BE98-16978A3578A1}"/>
    <hyperlink ref="G293" r:id="rId338" xr:uid="{C0E27664-4B20-4CE4-8D90-7B77064B0034}"/>
    <hyperlink ref="G295" r:id="rId339" xr:uid="{B3208FBA-6A9A-4854-8594-DA1DFBCF24BA}"/>
    <hyperlink ref="G297" r:id="rId340" xr:uid="{A059F2B7-6E4C-42BB-9F78-F22D9AC98D1F}"/>
    <hyperlink ref="G299" r:id="rId341" xr:uid="{AA15B86D-6A7E-4A30-9D1B-0F337015B7B9}"/>
    <hyperlink ref="G301" r:id="rId342" xr:uid="{8C51B956-D1DD-4AB8-B2C6-4C91D7D9B5A9}"/>
    <hyperlink ref="G303" r:id="rId343" xr:uid="{C3A9D526-043A-4255-A945-E8F41EE53CE6}"/>
    <hyperlink ref="G305" r:id="rId344" xr:uid="{08557085-7FF0-4610-B819-1630F0300402}"/>
    <hyperlink ref="G307" r:id="rId345" xr:uid="{647F5489-4D5B-485D-9539-F00D81068C41}"/>
    <hyperlink ref="G309" r:id="rId346" xr:uid="{49C9468B-3F65-4144-A7A0-DD8145F1D8CE}"/>
    <hyperlink ref="G311" r:id="rId347" xr:uid="{18AB890E-06DD-467F-809A-E8AD5AA2B0C5}"/>
    <hyperlink ref="G313" r:id="rId348" xr:uid="{E60F3AD2-1C94-4BDD-9D0A-1EBD826590C0}"/>
    <hyperlink ref="G315" r:id="rId349" xr:uid="{050A0044-B1AB-4F67-A2C4-B5846A61CF37}"/>
    <hyperlink ref="G317" r:id="rId350" xr:uid="{9AA1358F-26E3-457F-BC0D-E9920932DCE0}"/>
    <hyperlink ref="G319" r:id="rId351" xr:uid="{F05B7BA8-7E4C-4717-BD3C-90990289CDD2}"/>
    <hyperlink ref="G321" r:id="rId352" xr:uid="{079ADFA0-93AE-45B3-BAED-8AB83BAECD72}"/>
    <hyperlink ref="G323" r:id="rId353" xr:uid="{9973B06F-3B41-42B8-B91F-3F1D5E3E27CC}"/>
    <hyperlink ref="G325" r:id="rId354" xr:uid="{1608C3EE-D414-470B-A9F7-C6A84133500B}"/>
    <hyperlink ref="G327" r:id="rId355" xr:uid="{8A3EEBA3-B7F1-488A-A828-A14467420181}"/>
    <hyperlink ref="G329" r:id="rId356" xr:uid="{E1D3311A-0A07-4BFF-A588-5A2FD5892CB0}"/>
    <hyperlink ref="G331" r:id="rId357" xr:uid="{1A337896-E212-4470-927F-B51D9279DF12}"/>
    <hyperlink ref="G333" r:id="rId358" xr:uid="{2F424071-45A1-4D64-9E7C-AB20A9601FCE}"/>
    <hyperlink ref="G335" r:id="rId359" xr:uid="{83F8EDEF-E842-425D-9EAC-180ACD1CA41F}"/>
    <hyperlink ref="G337" r:id="rId360" xr:uid="{78ECB241-A0EB-41A4-89F9-701F8E2A277F}"/>
    <hyperlink ref="G339" r:id="rId361" xr:uid="{9C7EB4F6-B2E5-4529-83D3-26F790CFE256}"/>
    <hyperlink ref="G341" r:id="rId362" xr:uid="{1F72CC6F-BDD8-4AE0-81E1-3857973BEDD8}"/>
    <hyperlink ref="G343" r:id="rId363" xr:uid="{BA9BA432-9195-42BE-B56A-E0E601C47407}"/>
    <hyperlink ref="G345" r:id="rId364" xr:uid="{32FA169F-B473-4107-840C-F4FAD15FF7C0}"/>
    <hyperlink ref="G347" r:id="rId365" xr:uid="{CAC7B40A-F840-4907-9436-132E0688F6F8}"/>
    <hyperlink ref="G349" r:id="rId366" xr:uid="{3052F953-ED33-4DD6-A94F-BE921DD91B54}"/>
    <hyperlink ref="G351" r:id="rId367" xr:uid="{4BBE6EEE-2A48-4CA4-AB55-ACAEE617257E}"/>
    <hyperlink ref="G353" r:id="rId368" xr:uid="{BC9D6D07-AB53-4564-9FBE-6712DF961329}"/>
    <hyperlink ref="G355" r:id="rId369" xr:uid="{28B50A13-54A4-4BBB-AE86-C73DB0AA80E6}"/>
    <hyperlink ref="G357" r:id="rId370" xr:uid="{C17AAD13-D061-49CF-A8B4-EA91B03AF748}"/>
    <hyperlink ref="G359" r:id="rId371" xr:uid="{4E144908-7A07-4BA0-BD9D-6603602BE81F}"/>
    <hyperlink ref="G361" r:id="rId372" xr:uid="{0F9183DE-08E2-4EBD-AF03-E8F79CAB81E6}"/>
    <hyperlink ref="G363" r:id="rId373" xr:uid="{A7F48C19-9AB7-44C6-90CE-02EE21A63925}"/>
    <hyperlink ref="G365" r:id="rId374" xr:uid="{A5D25572-61C3-4893-B2AF-7DDC21F1F26E}"/>
    <hyperlink ref="G367" r:id="rId375" xr:uid="{288EDE95-9F93-4418-BE0F-6DD99608A9D1}"/>
    <hyperlink ref="G369" r:id="rId376" xr:uid="{A9C3A509-9B6D-43A9-83AA-5B7AF45569A0}"/>
    <hyperlink ref="G371" r:id="rId377" xr:uid="{315A4686-1980-4B58-9F4F-6EE3B4BD4AEF}"/>
    <hyperlink ref="G373" r:id="rId378" xr:uid="{261E81B9-DCCC-4D9D-911C-6AF25EC6080B}"/>
    <hyperlink ref="G375" r:id="rId379" xr:uid="{1E2ACFBD-B0D1-4680-9F5B-68B4C4753551}"/>
    <hyperlink ref="G377" r:id="rId380" xr:uid="{53C77509-786E-48E6-87F9-A9573A55380E}"/>
    <hyperlink ref="G379" r:id="rId381" xr:uid="{05E6C987-E1D1-4EAE-90E0-4250C3631C34}"/>
    <hyperlink ref="G381" r:id="rId382" xr:uid="{80E7BE7B-1FA4-4EA2-B96D-C97B99BC8A28}"/>
    <hyperlink ref="G383" r:id="rId383" xr:uid="{85D471D0-CFD7-4727-8219-51F9CB4A665F}"/>
    <hyperlink ref="G385" r:id="rId384" xr:uid="{AA9DDEFC-A3BF-4A17-900F-0CE08BC9D871}"/>
    <hyperlink ref="G387" r:id="rId385" xr:uid="{EEE68891-54CA-4AA0-AA4C-5A1E80349DFC}"/>
    <hyperlink ref="G390" r:id="rId386" xr:uid="{F39CEB29-C944-4C0B-B43A-D3E1BCF0E6DA}"/>
    <hyperlink ref="G389" r:id="rId387" xr:uid="{20482602-22C4-450F-A1D8-77630F3AFBF0}"/>
    <hyperlink ref="G391" r:id="rId388" xr:uid="{AEFABD4A-64DB-4386-879E-5ADD2FD6DEF7}"/>
    <hyperlink ref="AN4" r:id="rId389" xr:uid="{F5866284-2B04-4270-96AC-51553DC0A78B}"/>
    <hyperlink ref="AN5" r:id="rId390" xr:uid="{D4BCB86A-EC31-45ED-8DF0-F00F83413D3D}"/>
    <hyperlink ref="AN6" r:id="rId391" xr:uid="{7562342A-7CA6-4A1F-A0F7-4BE4A8314ACD}"/>
    <hyperlink ref="AN7" r:id="rId392" xr:uid="{47A8A23D-8F60-4066-A5E3-856F897F0C33}"/>
    <hyperlink ref="AN8" r:id="rId393" xr:uid="{50E8B17A-EA66-4D15-903B-2DC58F623A60}"/>
    <hyperlink ref="AN9" r:id="rId394" xr:uid="{8AF097C5-2FD8-42C4-B4C2-30559E9EA482}"/>
    <hyperlink ref="AN10" r:id="rId395" xr:uid="{2D9346F8-87E6-446C-BD36-446A25703B24}"/>
    <hyperlink ref="AN11" r:id="rId396" xr:uid="{CFBAC802-FF05-4234-92DD-C8AD2E656C95}"/>
    <hyperlink ref="AN12" r:id="rId397" xr:uid="{A4F06231-D143-4D73-BEB2-75852E69F851}"/>
    <hyperlink ref="AN13" r:id="rId398" xr:uid="{B48DCBB9-2B58-47A2-A42F-19E6CB2EA609}"/>
    <hyperlink ref="AN14" r:id="rId399" xr:uid="{A5434EFE-F1D6-46CE-AD0F-E8E82C752D17}"/>
    <hyperlink ref="AN15" r:id="rId400" xr:uid="{4C0B8C88-408E-4621-AB2F-A4385120AB00}"/>
    <hyperlink ref="AN17" r:id="rId401" xr:uid="{80BD9E8B-FD21-42DB-A80D-6D5281CF24AF}"/>
    <hyperlink ref="AN19" r:id="rId402" xr:uid="{275D1A75-8144-4731-A02D-00284F45C197}"/>
    <hyperlink ref="AN20" r:id="rId403" xr:uid="{8B6BCEC1-FAFD-48B5-A814-D9440FAE4A37}"/>
    <hyperlink ref="AN23" r:id="rId404" xr:uid="{00A6D7C4-9F04-4B7E-A215-384E8996F1DC}"/>
    <hyperlink ref="AN25" r:id="rId405" xr:uid="{0BACB9D4-1E4C-4F70-8F56-B36ADD0507FF}"/>
    <hyperlink ref="AN26" r:id="rId406" xr:uid="{11E314E8-3AE8-46C5-8664-4F6E6AABD414}"/>
    <hyperlink ref="AN27" r:id="rId407" xr:uid="{69B77DF9-7234-4CA8-BECD-70089F63EB29}"/>
    <hyperlink ref="AN28" r:id="rId408" xr:uid="{22650336-C821-4478-A13A-828C07734A5D}"/>
    <hyperlink ref="AN31" r:id="rId409" xr:uid="{194DC378-0C61-4C77-B50C-D8D1A9219D6C}"/>
    <hyperlink ref="AN33" r:id="rId410" xr:uid="{BFF26174-D504-4E43-8418-7904DBA2D109}"/>
    <hyperlink ref="AN34" r:id="rId411" xr:uid="{2443DB3B-02D3-491B-8B13-360036AE9C83}"/>
    <hyperlink ref="AN35" r:id="rId412" xr:uid="{32B2BDFE-9C60-4C66-B403-186AFC294EC2}"/>
    <hyperlink ref="AN36" r:id="rId413" xr:uid="{F66A31E6-1DE9-45AA-9FF0-EA97BF6D2BC8}"/>
    <hyperlink ref="AN37" r:id="rId414" xr:uid="{B600515C-25B2-4767-AF0A-F515F39DF1C9}"/>
    <hyperlink ref="AN38" r:id="rId415" xr:uid="{4930895F-0859-4281-A1E4-72EA79B3DF8A}"/>
    <hyperlink ref="AN40" r:id="rId416" xr:uid="{75960A4D-285D-4D72-8A4C-7F6F6F7F39DB}"/>
    <hyperlink ref="AN42" r:id="rId417" xr:uid="{8D664F29-A702-4272-B425-C96297CB1523}"/>
    <hyperlink ref="AN43" r:id="rId418" xr:uid="{B6EB5693-8C27-4410-B95F-E329DA6CC3CD}"/>
    <hyperlink ref="AN44" r:id="rId419" xr:uid="{3014B409-9B80-4566-B17F-AF70B9CC1DCF}"/>
    <hyperlink ref="AN45" r:id="rId420" xr:uid="{6A6F5580-3A5D-4797-BE40-7239C04DFAFB}"/>
    <hyperlink ref="AN46" r:id="rId421" xr:uid="{8844AF70-3C34-4603-8D42-EA54E52CFF43}"/>
    <hyperlink ref="AN47" r:id="rId422" xr:uid="{ECE2C94F-09A1-45AE-95E0-C400F4474287}"/>
    <hyperlink ref="AN48" r:id="rId423" xr:uid="{B654A008-390B-4EBB-9BC4-3DF7F6BD1189}"/>
    <hyperlink ref="AN49" r:id="rId424" xr:uid="{FBC8E463-F9D1-4615-A53E-62B55A9F8294}"/>
    <hyperlink ref="AN50" r:id="rId425" xr:uid="{B31B77D5-50CF-463B-8F73-8D98C6D55D89}"/>
    <hyperlink ref="AN51" r:id="rId426" xr:uid="{A307E8D0-8FC5-4F40-8B6A-530BA3E16513}"/>
    <hyperlink ref="AN52" r:id="rId427" xr:uid="{65F3C0E2-9AC0-4874-AEBD-2C4FD7F80289}"/>
    <hyperlink ref="AN53" r:id="rId428" xr:uid="{7245B3D7-7415-483C-880D-0277F38679C6}"/>
    <hyperlink ref="AN54" r:id="rId429" xr:uid="{8CD2C2F3-76DF-4FC6-B46B-F94D48DB05CB}"/>
    <hyperlink ref="AN55" r:id="rId430" xr:uid="{404250AD-B4F3-4082-95C3-2865E80DA837}"/>
    <hyperlink ref="AN56" r:id="rId431" xr:uid="{3385D14D-1446-445E-B988-C9C2A50945CA}"/>
    <hyperlink ref="AN57" r:id="rId432" xr:uid="{340780A2-A097-4B2E-BDCD-1F639A49623F}"/>
    <hyperlink ref="AN58" r:id="rId433" xr:uid="{42C4834E-BEC1-429A-A762-09DDE31112EE}"/>
    <hyperlink ref="AN59" r:id="rId434" xr:uid="{33567330-8894-4604-AA56-4EC1373BD70C}"/>
    <hyperlink ref="AN60" r:id="rId435" xr:uid="{F93EA191-9337-43C0-AF4E-C9D6597027DC}"/>
    <hyperlink ref="AN61" r:id="rId436" xr:uid="{882561C8-7FFF-4A17-B21A-58F9921E7E33}"/>
    <hyperlink ref="AN64" r:id="rId437" xr:uid="{8B164148-AAAE-44CB-8C81-0094575D29D6}"/>
    <hyperlink ref="AN65" r:id="rId438" xr:uid="{61BBBA95-4C6C-4560-86E1-22BD23CEBE82}"/>
    <hyperlink ref="AN66" r:id="rId439" xr:uid="{5A071E05-855F-423C-A1FF-DC0C1A370243}"/>
    <hyperlink ref="AN69" r:id="rId440" xr:uid="{7267077D-E8C5-44A5-9468-8F2164A207D9}"/>
    <hyperlink ref="AN68" r:id="rId441" xr:uid="{FCAE30BE-24EE-4533-8EC6-51C1F51BBA9B}"/>
    <hyperlink ref="AN70" r:id="rId442" xr:uid="{400DF1ED-7D5B-458F-A730-75FCA66F7509}"/>
    <hyperlink ref="AN71" r:id="rId443" xr:uid="{623F5330-C88E-428D-ABFC-BD5F6B03C362}"/>
    <hyperlink ref="AN72" r:id="rId444" xr:uid="{232354B3-30FD-42D3-8415-D18E6BD530CA}"/>
    <hyperlink ref="AN74" r:id="rId445" xr:uid="{BCB4385E-520E-4E30-AF42-492F147F5C37}"/>
    <hyperlink ref="AN75" r:id="rId446" xr:uid="{19FD431C-95B0-4983-B407-B8E162C4D4B1}"/>
    <hyperlink ref="AN76" r:id="rId447" xr:uid="{0FE0A93B-B196-455C-B1C6-262E3C02B942}"/>
    <hyperlink ref="AN77" r:id="rId448" xr:uid="{504C54BF-3A81-4E88-9417-8DD8300ED3FF}"/>
    <hyperlink ref="AN78" r:id="rId449" xr:uid="{B802737C-12EA-4DBF-900D-48E174C959FF}"/>
    <hyperlink ref="AN79" r:id="rId450" xr:uid="{CD0AA565-DD6A-44FA-9D97-3FC7F2C18661}"/>
    <hyperlink ref="AN80" r:id="rId451" xr:uid="{318C7A4B-73A7-426C-BFC3-280C57164BB6}"/>
    <hyperlink ref="AN81" r:id="rId452" xr:uid="{DFEC6671-3208-47EE-8337-8DBE4D388D2D}"/>
    <hyperlink ref="AN82" r:id="rId453" xr:uid="{32700C5E-08CB-4F2A-9646-88F3B7415AF0}"/>
    <hyperlink ref="AN83" r:id="rId454" xr:uid="{50FAB07E-813D-4D8A-92E9-2978407E1E06}"/>
    <hyperlink ref="AN84" r:id="rId455" xr:uid="{0570582C-15DA-4382-B77B-7DC2D8234E0C}"/>
    <hyperlink ref="AN85" r:id="rId456" xr:uid="{44B4BC89-F0A7-4D99-BD5C-61597D79F85B}"/>
    <hyperlink ref="AN86" r:id="rId457" xr:uid="{DA6A431E-B7CA-4A88-A778-CC093C0CE8F5}"/>
    <hyperlink ref="AN87" r:id="rId458" xr:uid="{682D181F-9AEE-4F08-BA81-33EB7A1DFB6B}"/>
    <hyperlink ref="AN88" r:id="rId459" xr:uid="{96A5368B-5DD3-4714-B79F-D40EE1F92289}"/>
    <hyperlink ref="AN89" r:id="rId460" xr:uid="{504C3922-D62B-4432-98C3-9BC5C6E165B5}"/>
    <hyperlink ref="AN91" r:id="rId461" xr:uid="{200AEE9B-5545-4154-BC17-8AADAB200936}"/>
    <hyperlink ref="AN92" r:id="rId462" xr:uid="{987034DF-26B2-4418-A937-109B731BAB31}"/>
    <hyperlink ref="AN93" r:id="rId463" xr:uid="{95645C88-4D6B-420A-B829-6A9D1CE9CE95}"/>
    <hyperlink ref="AN94" r:id="rId464" xr:uid="{41BFF83C-A4C3-44BE-97C5-E72838F364E0}"/>
    <hyperlink ref="AN95" r:id="rId465" xr:uid="{0775B4DC-5EF0-4291-83F7-413F906F2AA1}"/>
    <hyperlink ref="AN96" r:id="rId466" xr:uid="{98A044DB-D99B-47B9-AAB9-B05420929119}"/>
    <hyperlink ref="AN97" r:id="rId467" xr:uid="{86412525-0530-4E1B-AD5D-45864ABBD55F}"/>
    <hyperlink ref="AN98" r:id="rId468" xr:uid="{9C2AA4C1-4462-4431-83CA-DE06C4FBF0CD}"/>
    <hyperlink ref="AN99" r:id="rId469" xr:uid="{A9C3A433-3137-49CC-B7C8-28DCDA9BB021}"/>
    <hyperlink ref="AN100" r:id="rId470" xr:uid="{37FC1796-4B1E-4176-868D-D256FEC72C11}"/>
    <hyperlink ref="AN101" r:id="rId471" xr:uid="{7CAA6D0B-983A-4019-87B7-5AD55A6F42D5}"/>
    <hyperlink ref="AN103" r:id="rId472" xr:uid="{CD7667EA-E39A-4F2C-B144-8E2C68C8C04D}"/>
    <hyperlink ref="AN102" r:id="rId473" xr:uid="{29B25132-42D3-4495-820C-8DF9B4091903}"/>
    <hyperlink ref="AN104" r:id="rId474" xr:uid="{8B11103B-AD52-4DB2-BA3E-8E3BE407CB9C}"/>
    <hyperlink ref="AN105" r:id="rId475" xr:uid="{D38D118C-BF43-4CEF-A6F3-CDEB77BD5E0B}"/>
    <hyperlink ref="AN106" r:id="rId476" xr:uid="{70ACB48B-CC35-4192-AD05-AD51A8314886}"/>
    <hyperlink ref="AN107" r:id="rId477" xr:uid="{03751E11-06C0-46CE-845A-FF9C21EF0B07}"/>
    <hyperlink ref="AN108" r:id="rId478" xr:uid="{6BAA2DD4-2F58-414D-8664-495037A7AB32}"/>
    <hyperlink ref="AN109" r:id="rId479" xr:uid="{04B7881B-D3F4-42FC-9A4F-EBE7B9CE41C9}"/>
    <hyperlink ref="AN110" r:id="rId480" xr:uid="{90DC69D7-51DB-40F4-A23F-BC799697F8EE}"/>
    <hyperlink ref="AN111" r:id="rId481" xr:uid="{C28B19A3-C9E9-4EC6-B329-A1A7042066AF}"/>
    <hyperlink ref="AN113" r:id="rId482" xr:uid="{FE0DF7D0-4875-418A-870A-8E2BA82D6D84}"/>
    <hyperlink ref="AN114" r:id="rId483" xr:uid="{E82DA0A0-6029-4BC3-AE36-5D3455248999}"/>
    <hyperlink ref="AN116" r:id="rId484" xr:uid="{BC0E30CC-0D7E-4487-A51E-7E726FC671BD}"/>
    <hyperlink ref="AN117" r:id="rId485" xr:uid="{7A02B543-5976-4316-8001-BC12E3849D11}"/>
    <hyperlink ref="AN118" r:id="rId486" xr:uid="{75D1295D-261D-42BD-84F6-AFF0543592D1}"/>
    <hyperlink ref="AN119" r:id="rId487" xr:uid="{AA1156E7-6D69-4E87-BB7F-BE17D3924EEA}"/>
    <hyperlink ref="AN120" r:id="rId488" xr:uid="{EC4D826D-41E4-4249-9E3A-F12EF4EDA558}"/>
    <hyperlink ref="AN122" r:id="rId489" xr:uid="{213A68B8-8546-4E1F-B2B2-E9CB0BB78798}"/>
    <hyperlink ref="AN123" r:id="rId490" xr:uid="{FA9ADBAC-265E-475E-8255-A0B4CCEA4317}"/>
    <hyperlink ref="AN124" r:id="rId491" xr:uid="{34E2FC33-9364-4F1B-8E42-B960233FD794}"/>
    <hyperlink ref="AN125" r:id="rId492" xr:uid="{AE6B297C-C3D4-43CD-8CE7-A18965676AA7}"/>
    <hyperlink ref="AN126" r:id="rId493" xr:uid="{106603EB-67A5-4EC4-9EB4-7DF1A477AC3F}"/>
    <hyperlink ref="AN129" r:id="rId494" xr:uid="{22B63C98-6F71-4ED9-AC8D-24CFFB1433AE}"/>
    <hyperlink ref="AN130" r:id="rId495" xr:uid="{CF7B8361-0E91-4833-BFF8-3877D817F54F}"/>
    <hyperlink ref="AN131" r:id="rId496" xr:uid="{1C70DE3A-4004-4EE6-8DFA-19106960CD9E}"/>
    <hyperlink ref="AN133" r:id="rId497" xr:uid="{3F58BCF9-23E8-49CA-80A6-D52061043146}"/>
    <hyperlink ref="AN134" r:id="rId498" xr:uid="{ACB6D201-CA1E-4694-B3CD-ACCC2BD15D1A}"/>
    <hyperlink ref="AN135" r:id="rId499" xr:uid="{7DED87D6-5661-4ADC-A515-1931ED9B138D}"/>
    <hyperlink ref="AN136" r:id="rId500" xr:uid="{DF81340C-52B6-410A-88BF-1C90586AC77B}"/>
    <hyperlink ref="AN137" r:id="rId501" xr:uid="{01EC65B1-CBB5-4E13-82DB-E2D3AC924664}"/>
    <hyperlink ref="AN139" r:id="rId502" xr:uid="{1949E72A-B6B4-423E-87A4-2BAF6295A389}"/>
    <hyperlink ref="AN140" r:id="rId503" xr:uid="{E89AD3FB-2740-44F8-A55E-70F8B6E09675}"/>
    <hyperlink ref="AN141" r:id="rId504" xr:uid="{76CADC80-0D2D-4F57-9976-7F09A5A90463}"/>
    <hyperlink ref="AN143" r:id="rId505" xr:uid="{32272652-CF3D-4AD5-9C3F-8D61CE86B3AC}"/>
    <hyperlink ref="AN145" r:id="rId506" xr:uid="{AF4B8C8F-ABE7-47F9-BD36-0F3B5DC4C951}"/>
    <hyperlink ref="AN146" r:id="rId507" xr:uid="{AFA93C92-392C-406B-986A-9AA74DDC56E2}"/>
    <hyperlink ref="AN147" r:id="rId508" xr:uid="{C49441DC-CC51-4C63-9D2E-1EE538ED32DD}"/>
    <hyperlink ref="AN149" r:id="rId509" xr:uid="{FD0923A3-B136-48CD-84C5-A270AC164095}"/>
    <hyperlink ref="AN150" r:id="rId510" xr:uid="{60D765CF-6391-46C6-B098-9C6B85D760DD}"/>
    <hyperlink ref="AN151" r:id="rId511" xr:uid="{97A7EC88-3100-4433-8D88-CF672A0F9255}"/>
    <hyperlink ref="AN152" r:id="rId512" xr:uid="{CA4CA7B5-E124-41A7-BBBD-A38C5C53C17C}"/>
    <hyperlink ref="AN154" r:id="rId513" xr:uid="{A04E3D57-FEB3-45FB-B35D-F955D9116E5F}"/>
    <hyperlink ref="AN155" r:id="rId514" xr:uid="{36C6C19C-ABF6-4676-B206-146263C16B0E}"/>
    <hyperlink ref="AN156" r:id="rId515" xr:uid="{A113A74F-5E53-4F8E-9BDC-FBCABA3D9896}"/>
    <hyperlink ref="AN157" r:id="rId516" xr:uid="{CF4B3CEC-C02E-4784-B2B1-F63242ECD041}"/>
    <hyperlink ref="AN158" r:id="rId517" xr:uid="{7B7B0F21-7D79-4612-895F-9EB578247F60}"/>
    <hyperlink ref="AN160" r:id="rId518" xr:uid="{4AEAD73F-3234-4EAD-914D-34B9BF567ECE}"/>
    <hyperlink ref="AN161" r:id="rId519" xr:uid="{42AFE384-03AE-47D7-B359-5F496B39BC25}"/>
    <hyperlink ref="AN162" r:id="rId520" xr:uid="{61B4D75B-3FEA-4B6F-846A-E5B8C7049DE1}"/>
    <hyperlink ref="AN163" r:id="rId521" xr:uid="{D519EEDA-851A-4463-A681-37447B9C6259}"/>
    <hyperlink ref="AN164" r:id="rId522" xr:uid="{87E4199F-4639-481A-92FE-A7297B4955DB}"/>
    <hyperlink ref="AN165" r:id="rId523" xr:uid="{D029D568-C852-457B-839D-AB370F44EBDA}"/>
    <hyperlink ref="AN166" r:id="rId524" xr:uid="{58B89C8D-5A01-46D6-B450-66464FD0D462}"/>
    <hyperlink ref="AN167" r:id="rId525" xr:uid="{66C0BAB9-C416-4EC2-9D3B-455A396F2F0C}"/>
    <hyperlink ref="AN168" r:id="rId526" xr:uid="{971DD750-5269-410A-ABF3-217E9CF6D2FA}"/>
    <hyperlink ref="AN169" r:id="rId527" xr:uid="{7CBD6323-C6E6-48A1-8161-FD81F43BFD9A}"/>
    <hyperlink ref="AN170" r:id="rId528" xr:uid="{9AB25EAA-AF00-48F9-9B3D-3726BCBF7AE1}"/>
    <hyperlink ref="AN171" r:id="rId529" xr:uid="{7FEE6E7B-ECF0-4182-8380-E49BF4F092CE}"/>
    <hyperlink ref="AN172" r:id="rId530" xr:uid="{1BC0AA16-78AE-4937-AB32-2268C6E15019}"/>
    <hyperlink ref="AN176" r:id="rId531" xr:uid="{AD50B287-9CDC-45F5-8405-803D6F2B99B7}"/>
    <hyperlink ref="AN177" r:id="rId532" xr:uid="{97F264A4-6D60-4DA7-AE8D-024D86B465C6}"/>
    <hyperlink ref="AN178" r:id="rId533" xr:uid="{310844FF-9342-4AC4-8611-1570D501F4AB}"/>
    <hyperlink ref="AN179" r:id="rId534" xr:uid="{7DCB4EBB-62AF-4D42-8D52-BD1D626DB4E0}"/>
    <hyperlink ref="AN180" r:id="rId535" xr:uid="{1A4EB01A-A8F7-4EDB-9F1E-B0D6F3BFE754}"/>
    <hyperlink ref="AN183" r:id="rId536" xr:uid="{1E37DF19-BA36-459A-8106-087E6E08DB46}"/>
    <hyperlink ref="AN186" r:id="rId537" xr:uid="{8AD6E3A2-38B6-4CC1-9BE8-2A6F69EBBB31}"/>
    <hyperlink ref="AN188" r:id="rId538" xr:uid="{40618CE8-0975-41E5-9CB9-518B31069BD1}"/>
    <hyperlink ref="AN189" r:id="rId539" xr:uid="{37804E3B-F786-4E6A-A9BF-53A697CE7C5A}"/>
    <hyperlink ref="AN191" r:id="rId540" xr:uid="{C21FCDDA-5DBB-4BD3-A12B-653D51290108}"/>
    <hyperlink ref="AN192" r:id="rId541" xr:uid="{02FF6871-E8F1-4978-80ED-00A7BF5729B1}"/>
    <hyperlink ref="AN194" r:id="rId542" xr:uid="{A60C84D9-0644-4178-9844-AEA833D88E5D}"/>
    <hyperlink ref="AN195" r:id="rId543" xr:uid="{7C553F8E-5346-4387-A4F7-BE451D50A49B}"/>
    <hyperlink ref="AN197" r:id="rId544" xr:uid="{C1596951-7A34-46B0-A12B-035CEE99BC4B}"/>
    <hyperlink ref="AN198" r:id="rId545" xr:uid="{8E220645-4CEB-4CAC-8209-83E52340A2BF}"/>
    <hyperlink ref="AN199" r:id="rId546" xr:uid="{8F43BF11-A629-4067-B46E-8FE54AF30E05}"/>
    <hyperlink ref="AN200" r:id="rId547" xr:uid="{7F958F8E-CAA6-429F-8297-9A5BABF3BD2A}"/>
    <hyperlink ref="AN201" r:id="rId548" xr:uid="{F092A935-AD0F-4E76-BF96-FE0D42E6E5E5}"/>
    <hyperlink ref="AN202" r:id="rId549" xr:uid="{30512F1C-7C6D-4CA6-B382-A1CCB034066B}"/>
    <hyperlink ref="AN203" r:id="rId550" xr:uid="{D94C5AD7-2FA4-47A2-B57B-64FD2AEC7D88}"/>
    <hyperlink ref="AN204" r:id="rId551" xr:uid="{143CD383-2954-4822-8C02-1451C0CFB0A4}"/>
    <hyperlink ref="AN205" r:id="rId552" xr:uid="{79846969-FD42-4F02-9661-6ABB36A3D849}"/>
    <hyperlink ref="AN206" r:id="rId553" xr:uid="{4723B9BD-DBC1-445F-BF28-0074F797257D}"/>
    <hyperlink ref="AN207" r:id="rId554" xr:uid="{9B1E5303-B4D7-4124-84C1-9DE1F16874DB}"/>
    <hyperlink ref="AN208" r:id="rId555" xr:uid="{C0C2D4D4-D82E-490F-8125-43CF7A8A7374}"/>
    <hyperlink ref="AN209" r:id="rId556" xr:uid="{3F56821B-8F37-45A1-B73E-4050BEC1793E}"/>
    <hyperlink ref="AN210" r:id="rId557" xr:uid="{2553AFF9-DE1D-43B4-B9E2-FCB987E2EAD7}"/>
    <hyperlink ref="AN211" r:id="rId558" xr:uid="{932913D3-DA86-44F8-AA3B-DA8AA651FD78}"/>
    <hyperlink ref="AN212" r:id="rId559" xr:uid="{5C4ACCAD-4EEB-4AAD-AC2E-334CBD40455D}"/>
    <hyperlink ref="AN213" r:id="rId560" xr:uid="{84F0B782-4AB7-45EE-8792-DB8B8E4B670F}"/>
    <hyperlink ref="AN214" r:id="rId561" xr:uid="{F9544CF0-CF4A-41FF-8DA7-2D5784E43289}"/>
    <hyperlink ref="AN215" r:id="rId562" xr:uid="{50D32A5F-C107-4EB6-80A0-4F3896E5C7C1}"/>
    <hyperlink ref="AN216" r:id="rId563" xr:uid="{0945C36C-DAB0-4883-86F4-589F00D01231}"/>
    <hyperlink ref="AN217" r:id="rId564" xr:uid="{DA9FA92E-D71A-4877-B552-0A2197FB99CF}"/>
    <hyperlink ref="AN218" r:id="rId565" xr:uid="{E8E9D8A8-B75F-4B38-9E08-9387407D2C10}"/>
    <hyperlink ref="AN219" r:id="rId566" xr:uid="{44724C5A-B17D-446F-9701-DF717540A7F9}"/>
    <hyperlink ref="AN220" r:id="rId567" xr:uid="{ACF1D3F4-F22C-46E0-A9A7-C2EF176AB350}"/>
    <hyperlink ref="AN222" r:id="rId568" xr:uid="{69ACF586-E79E-4E9C-8475-B52CD1ACFE0A}"/>
    <hyperlink ref="AN223" r:id="rId569" xr:uid="{D69F36D2-AFF2-4470-91A4-7695F8007889}"/>
    <hyperlink ref="AN224" r:id="rId570" xr:uid="{AB8DE709-C2A8-4BFB-AB05-93453A065F1E}"/>
    <hyperlink ref="AN226" r:id="rId571" xr:uid="{EBAB31D5-E1D4-4C10-8836-A1FB34E0243A}"/>
    <hyperlink ref="AN227" r:id="rId572" xr:uid="{49FF580A-1C19-4616-9BD4-0A4EE8973884}"/>
    <hyperlink ref="AN228" r:id="rId573" xr:uid="{5B3BA561-1EB0-4CD2-BE7C-6C294A6D10FF}"/>
    <hyperlink ref="AN230" r:id="rId574" xr:uid="{666B9271-E191-477C-B1E1-D06934632934}"/>
    <hyperlink ref="AN231" r:id="rId575" xr:uid="{ECB9D98D-D1DD-4AA4-B968-9233EAE0BD5D}"/>
    <hyperlink ref="AN232" r:id="rId576" xr:uid="{9A499DA2-C607-4983-BD76-12421D80669E}"/>
    <hyperlink ref="AN234" r:id="rId577" xr:uid="{C6173502-ACBF-401B-9CCA-61A5E7794E88}"/>
    <hyperlink ref="AN235" r:id="rId578" xr:uid="{2106700E-D7F8-45DF-AE5D-3D5A40C1E71F}"/>
    <hyperlink ref="AN236" r:id="rId579" xr:uid="{4E633467-20C9-4305-8C99-4B38BEE0FE0E}"/>
    <hyperlink ref="AN237" r:id="rId580" xr:uid="{DB8CD059-3908-49FD-95EB-F23C1183F435}"/>
    <hyperlink ref="AN240" r:id="rId581" xr:uid="{735B9339-3334-4308-8970-4E8C7A41C1DB}"/>
    <hyperlink ref="AN238" r:id="rId582" xr:uid="{CD05BAF8-4E08-43AC-8735-17B3E0BEB0DE}"/>
    <hyperlink ref="AN239" r:id="rId583" xr:uid="{0126EB3D-74F3-4777-98C7-538C62A851EC}"/>
    <hyperlink ref="AN241" r:id="rId584" xr:uid="{985D168C-B85E-41E8-9AC1-0FA674B501E9}"/>
    <hyperlink ref="AN243" r:id="rId585" xr:uid="{593C4F9B-9A8E-41FE-ABB2-EA937BBB6485}"/>
    <hyperlink ref="AN244" r:id="rId586" xr:uid="{82424985-9A91-48B9-AE81-E9736AAC222F}"/>
    <hyperlink ref="AN246" r:id="rId587" xr:uid="{0D4D2887-8512-442D-9248-848E3C2EA8FC}"/>
    <hyperlink ref="AN247" r:id="rId588" xr:uid="{1643C911-003F-4A4E-82FC-3B1A2A747F3D}"/>
    <hyperlink ref="AN248" r:id="rId589" xr:uid="{9318685B-6C8F-4BA7-91E9-88245B314B3C}"/>
    <hyperlink ref="AN249" r:id="rId590" xr:uid="{E515E4FC-4671-472F-9998-92236F80724D}"/>
    <hyperlink ref="AN251" r:id="rId591" xr:uid="{618BE44C-1EDF-4AFD-889A-7F25A3F46840}"/>
    <hyperlink ref="AN252" r:id="rId592" xr:uid="{4F8515A4-E3A9-4E60-874A-7E3F452D0D7C}"/>
    <hyperlink ref="AN253" r:id="rId593" xr:uid="{70EE9239-0216-4C6F-8694-EBD7045A1987}"/>
    <hyperlink ref="AN254" r:id="rId594" xr:uid="{B9F711BC-C840-4352-B1AA-2880CCCB9C49}"/>
    <hyperlink ref="AN255" r:id="rId595" xr:uid="{EA44678F-A4B9-48FD-99DD-11B31A28B3C4}"/>
    <hyperlink ref="AN256" r:id="rId596" xr:uid="{6490EA1F-7B2B-4651-8DF3-FF87D381A26D}"/>
    <hyperlink ref="AN257" r:id="rId597" xr:uid="{C4B144E5-F627-4FD1-8E65-5716F02921BA}"/>
    <hyperlink ref="AN259" r:id="rId598" xr:uid="{640D739E-BCE1-4006-B0FC-0BAD0063CD4A}"/>
    <hyperlink ref="AN260" r:id="rId599" xr:uid="{798ACBF5-C506-4BA0-B590-6E146B9084C8}"/>
    <hyperlink ref="AN261" r:id="rId600" xr:uid="{B7C76196-1451-4FCC-BC7C-EAEAE6854467}"/>
    <hyperlink ref="AN262" r:id="rId601" xr:uid="{7478BF9E-E210-4B34-BE38-D5EF370E65E4}"/>
    <hyperlink ref="AN263" r:id="rId602" xr:uid="{F32D9B4A-CA05-425D-8CE7-4C9347AF6CFC}"/>
    <hyperlink ref="AN264" r:id="rId603" xr:uid="{30054D3F-68B1-4899-ADA8-1BAD665862A6}"/>
    <hyperlink ref="AN265" r:id="rId604" xr:uid="{283FCE9C-9243-4B33-A6B9-13E1C072BCF9}"/>
    <hyperlink ref="AN266" r:id="rId605" xr:uid="{D740DEFD-2DB3-427B-808F-168F916B68EF}"/>
    <hyperlink ref="AN267" r:id="rId606" xr:uid="{2794AE42-E52C-4E67-A39D-18C469F311CD}"/>
    <hyperlink ref="AN270" r:id="rId607" xr:uid="{2B4120C6-AD87-4ED5-8CE0-8B618454C350}"/>
    <hyperlink ref="AN271" r:id="rId608" xr:uid="{58587398-8608-4AFB-AD37-776C54D988EF}"/>
    <hyperlink ref="AN273" r:id="rId609" xr:uid="{6F42E17C-D3B6-46C0-BCA4-78263246849C}"/>
    <hyperlink ref="AN275" r:id="rId610" xr:uid="{6E67A7BE-0C0F-49A9-BD20-FE192113BEEA}"/>
    <hyperlink ref="AN276" r:id="rId611" xr:uid="{AACF8710-8651-41CE-B12B-9530BCDCACD4}"/>
    <hyperlink ref="AN277" r:id="rId612" xr:uid="{A70E2000-7B87-4C48-B648-37B3DADD7072}"/>
    <hyperlink ref="AN278" r:id="rId613" xr:uid="{7EF017F0-4CF7-4E64-8CFC-BAEDFD83090A}"/>
    <hyperlink ref="AN279" r:id="rId614" xr:uid="{ED84AE99-8EB4-494C-81E6-F7BE33DE2FEE}"/>
    <hyperlink ref="AN280" r:id="rId615" xr:uid="{C29C6DC2-D107-4782-BFC1-E93CF336EE9E}"/>
    <hyperlink ref="AN281" r:id="rId616" xr:uid="{757B00B6-88A7-4D10-A8CE-9E6A68514A4C}"/>
    <hyperlink ref="AN283" r:id="rId617" xr:uid="{871A2190-8587-445F-ACE3-F59D45A62BE3}"/>
    <hyperlink ref="AN284" r:id="rId618" xr:uid="{A55F594E-8215-410A-AAAA-0EB8F83F3EAB}"/>
    <hyperlink ref="AN287" r:id="rId619" xr:uid="{178CB125-1A1E-441D-BA64-1B99D458C3B9}"/>
    <hyperlink ref="AN285" r:id="rId620" xr:uid="{FBD4A110-8593-456A-B5D3-FD414F8DB88B}"/>
    <hyperlink ref="AN286" r:id="rId621" xr:uid="{863E048D-AE75-4E87-B3A2-F6C75FA1B7D6}"/>
    <hyperlink ref="AN288" r:id="rId622" xr:uid="{64B37F8D-97CB-4DFF-B13F-1DBD8707F93B}"/>
    <hyperlink ref="AN289" r:id="rId623" xr:uid="{85194C59-ECD9-4B05-83DF-A7463606ADBD}"/>
    <hyperlink ref="AN290" r:id="rId624" xr:uid="{B009A2D3-0079-4096-BC1C-EA3BC17BA2F9}"/>
    <hyperlink ref="AN291" r:id="rId625" xr:uid="{9D128181-CB9A-409C-B056-649A5D8746BB}"/>
    <hyperlink ref="AN292" r:id="rId626" xr:uid="{3973C1ED-48CD-4928-B1C6-BBED8B5F64AE}"/>
    <hyperlink ref="AN293" r:id="rId627" xr:uid="{F52EE72F-0006-4D69-9FDC-591000117842}"/>
    <hyperlink ref="AN294" r:id="rId628" xr:uid="{E7D420B8-F2FC-437B-8339-20495DC0731E}"/>
    <hyperlink ref="AN295" r:id="rId629" xr:uid="{97AC6232-E87E-4B9A-9935-792535A465F0}"/>
    <hyperlink ref="AN296" r:id="rId630" xr:uid="{7132CF55-512C-4722-B654-75068F33C86A}"/>
    <hyperlink ref="AN297" r:id="rId631" xr:uid="{EFE787DF-0989-48E6-A43D-41DF2C091D50}"/>
    <hyperlink ref="AN298" r:id="rId632" xr:uid="{DA7FB12C-07F6-4084-829D-B3AC70E71DDC}"/>
    <hyperlink ref="AN299" r:id="rId633" xr:uid="{3FD5F60C-0C68-4C99-838E-39EF18BBEB70}"/>
    <hyperlink ref="AN300" r:id="rId634" xr:uid="{88349604-1FBB-4FDC-8F27-E9330ED767F2}"/>
    <hyperlink ref="AN301" r:id="rId635" xr:uid="{52D78578-565D-45EF-9BF4-927724A095DA}"/>
    <hyperlink ref="AN305" r:id="rId636" xr:uid="{AF2E6765-3327-44FB-8278-5360B0561F86}"/>
    <hyperlink ref="AN306" r:id="rId637" xr:uid="{9E56E3BF-5620-47E6-B521-41FE2140BF4C}"/>
    <hyperlink ref="AN307" r:id="rId638" xr:uid="{CA0208D9-685F-475B-90B7-011215069C3C}"/>
    <hyperlink ref="AN308" r:id="rId639" xr:uid="{28D5BB4F-168C-43C9-839D-F13DCCE76331}"/>
    <hyperlink ref="AN309" r:id="rId640" xr:uid="{1C841E4A-0404-4D50-A7A4-1BFBF442C120}"/>
    <hyperlink ref="AN311" r:id="rId641" xr:uid="{F8DC043A-9802-4962-BA28-7495F43B5F55}"/>
    <hyperlink ref="AN313" r:id="rId642" xr:uid="{D14FB2AE-FBAD-4359-9979-92BBC1642FAA}"/>
    <hyperlink ref="AN314" r:id="rId643" xr:uid="{2701A1BF-5E76-41D8-BE70-C99CCE1181C8}"/>
    <hyperlink ref="AN315" r:id="rId644" xr:uid="{4A60EA81-7B26-427A-9E96-38F3030D8E81}"/>
    <hyperlink ref="AN316" r:id="rId645" xr:uid="{72D499F1-EF14-4C0A-9E34-85F2849D31B6}"/>
    <hyperlink ref="AN317" r:id="rId646" xr:uid="{CBC81CAC-B547-46B6-AA94-642CB7894C33}"/>
    <hyperlink ref="AN318" r:id="rId647" xr:uid="{00DBD6F2-6063-4C26-9D4E-217635F3904F}"/>
    <hyperlink ref="AN319" r:id="rId648" xr:uid="{FFE2785F-C2AB-4E4A-8E38-D7175C5A18E7}"/>
    <hyperlink ref="AN322" r:id="rId649" xr:uid="{D50D7222-63B4-48DA-AD09-8E5410AEE162}"/>
    <hyperlink ref="AN324" r:id="rId650" xr:uid="{4104DA3C-EB6F-4538-B1BC-1920F04D127E}"/>
    <hyperlink ref="AN326" r:id="rId651" xr:uid="{6D8E4745-0495-4801-BA13-85E76450A535}"/>
    <hyperlink ref="AN327" r:id="rId652" xr:uid="{31B9521C-D4DB-4AEA-BB41-67689FC0042F}"/>
    <hyperlink ref="AN328" r:id="rId653" xr:uid="{8763CCAD-DE93-4E17-8287-21BD136A6A88}"/>
    <hyperlink ref="AN329" r:id="rId654" xr:uid="{012E4325-5CEB-4E39-B35D-75C87F28326A}"/>
    <hyperlink ref="AN331" r:id="rId655" xr:uid="{571AEA5E-4593-44D6-A65D-E9C00DB423A2}"/>
    <hyperlink ref="AN332" r:id="rId656" xr:uid="{1730E53A-879D-452B-AFC6-275E5B45CE7B}"/>
    <hyperlink ref="AN333" r:id="rId657" xr:uid="{B22B8EE3-CC0A-4611-B1D9-ACA9852F57BF}"/>
    <hyperlink ref="AN334" r:id="rId658" xr:uid="{EF4CE91E-5BD7-458B-9CC8-AC76CB414C7E}"/>
    <hyperlink ref="AN335" r:id="rId659" xr:uid="{10C0F8FF-D8BF-4F7B-B9E6-4D8597E33480}"/>
    <hyperlink ref="AN336" r:id="rId660" xr:uid="{034D6DBC-B4B7-4E7B-BCE2-EF2CB7F65FD2}"/>
    <hyperlink ref="AN338" r:id="rId661" xr:uid="{ECBB5DA7-C3A1-4B84-846E-D984D0589381}"/>
    <hyperlink ref="AN340" r:id="rId662" xr:uid="{4F4C5D60-82F5-4516-B138-D4D4BB0CAFDC}"/>
    <hyperlink ref="AN342" r:id="rId663" xr:uid="{DF28F56E-14F0-4552-AA0C-DB4A25283749}"/>
    <hyperlink ref="AN345" r:id="rId664" xr:uid="{B5045102-F8F4-4B6D-AA7B-C7841A702A6C}"/>
    <hyperlink ref="AN347" r:id="rId665" xr:uid="{C943A229-D0AB-4B11-B07A-F5F36A82C857}"/>
    <hyperlink ref="AN349" r:id="rId666" xr:uid="{AFBCF504-6463-43F5-83C4-641A8E49BB50}"/>
    <hyperlink ref="AN350" r:id="rId667" xr:uid="{E41CF4EF-5F24-4200-870E-D2E40C58511B}"/>
    <hyperlink ref="AN352" r:id="rId668" xr:uid="{37FE4547-8A81-45B5-A69B-A73D3F79EA88}"/>
    <hyperlink ref="AN353" r:id="rId669" xr:uid="{E50120FE-B5F5-4070-870B-3AC4B4FA198D}"/>
    <hyperlink ref="AN356" r:id="rId670" xr:uid="{2C06250F-B926-4E2C-AD5E-76AF9EC2AD55}"/>
    <hyperlink ref="AN358" r:id="rId671" xr:uid="{247EEEFD-3DA9-453E-831D-59A7C275B228}"/>
    <hyperlink ref="AN360" r:id="rId672" xr:uid="{4B092BDA-EC05-499B-89A5-0D3508E9CEA5}"/>
    <hyperlink ref="AN361" r:id="rId673" xr:uid="{B9A383AF-C892-4CCF-BC5F-9FBC0C2D97BC}"/>
    <hyperlink ref="AN362" r:id="rId674" xr:uid="{1E67D1B3-34F2-4D55-8DFA-0A5D03698668}"/>
    <hyperlink ref="AN364" r:id="rId675" xr:uid="{AD593188-7FAF-4451-9780-64AF7A6C12C7}"/>
    <hyperlink ref="AN365" r:id="rId676" xr:uid="{7B19219F-6C75-422C-8EB6-DC7DCB390C04}"/>
    <hyperlink ref="AN366" r:id="rId677" xr:uid="{BA2FC2FF-C09B-42E2-86AB-78AE3339C8B2}"/>
    <hyperlink ref="AN367" r:id="rId678" xr:uid="{9A982CC7-0A13-4547-BDFB-2AED582E1C49}"/>
    <hyperlink ref="AN368" r:id="rId679" xr:uid="{10D08CF7-7B14-4577-AAFF-9C9138F7327E}"/>
    <hyperlink ref="AN373" r:id="rId680" xr:uid="{0BDE4467-E8DB-420D-9071-F3851909DC3D}"/>
    <hyperlink ref="AN375" r:id="rId681" xr:uid="{61FABDDE-77A7-4201-A8B9-025FDA4FE6A3}"/>
    <hyperlink ref="AN376" r:id="rId682" xr:uid="{CB603C7C-C67F-4D9A-B91C-DB1778B60940}"/>
    <hyperlink ref="AN377" r:id="rId683" xr:uid="{4AA0E961-A3DB-4F43-B5F8-4263BD230B5F}"/>
    <hyperlink ref="AN379" r:id="rId684" xr:uid="{2AF1A555-12D5-49F3-9D89-2E25C16E68A1}"/>
    <hyperlink ref="AN380" r:id="rId685" xr:uid="{57106B6A-91CF-4E1F-9276-EA14B8D82822}"/>
    <hyperlink ref="AN386" r:id="rId686" xr:uid="{85EA06A7-EAE5-452B-8788-0AE76C5FA1EA}"/>
    <hyperlink ref="AN388" r:id="rId687" xr:uid="{DA55B89C-64FA-4981-922B-8352F9CD1B71}"/>
    <hyperlink ref="AN389" r:id="rId688" xr:uid="{50AFBDEC-8FE6-4497-A57D-38F654E0ACFE}"/>
    <hyperlink ref="AN390" r:id="rId689" xr:uid="{819C973E-7678-493E-A5E4-B81F42AD9E87}"/>
    <hyperlink ref="AN391" r:id="rId690" xr:uid="{80FCB82E-FEEC-4068-9FB2-DB8D374C78C4}"/>
  </hyperlinks>
  <pageMargins left="0.69930555555555596" right="0.69930555555555596" top="0.75" bottom="0.75" header="0" footer="0"/>
  <pageSetup orientation="landscape" r:id="rId69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OTC Listing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Lavanya arora</cp:lastModifiedBy>
  <dcterms:created xsi:type="dcterms:W3CDTF">2023-12-05T11:29:05Z</dcterms:created>
  <dcterms:modified xsi:type="dcterms:W3CDTF">2026-02-27T07:29:46Z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
  </property>
  <property fmtid="{D5CDD505-2E9C-101B-9397-08002B2CF9AE}" pid="3" name="KSOProductBuildVer">
    <vt:lpwstr>1033-11.1.0.11698</vt:lpwstr>
  </property>
</Properties>
</file>