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02"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oulinspharmaceuticalspvtli-my.sharepoint.com/personal/purchase_moulinspharma_com/Documents/MOULINS/PURCHASE ORDER/"/>
    </mc:Choice>
  </mc:AlternateContent>
  <xr:revisionPtr revIDLastSave="0" documentId="8_{FB40F964-1B53-432A-8B38-3281221EF5ED}" xr6:coauthVersionLast="47" xr6:coauthVersionMax="47" xr10:uidLastSave="{00000000-0000-0000-0000-000000000000}"/>
  <bookViews>
    <workbookView xWindow="-120" yWindow="-120" windowWidth="29040" windowHeight="15720" firstSheet="2" activeTab="2" xr2:uid="{00000000-000D-0000-FFFF-FFFF00000000}"/>
  </bookViews>
  <sheets>
    <sheet name="Sheet1" sheetId="3" r:id="rId1"/>
    <sheet name="Moulins (2)" sheetId="4" state="hidden" r:id="rId2"/>
    <sheet name="Moulins" sheetId="1" r:id="rId3"/>
    <sheet name="3rd Party Performa Details" sheetId="6" r:id="rId4"/>
    <sheet name="List" sheetId="2" r:id="rId5"/>
  </sheets>
  <definedNames>
    <definedName name="_xlnm._FilterDatabase" localSheetId="2" hidden="1">Moulins!$D$1:$D$1</definedName>
    <definedName name="_xlnm._FilterDatabase" localSheetId="1" hidden="1">'Moulins (2)'!$A$1:$R$322</definedName>
    <definedName name="_xlnm._FilterDatabase" localSheetId="3" hidden="1">'3rd Party Performa Details'!$A$1:$M$117</definedName>
  </definedNames>
  <calcPr calcId="191028"/>
  <pivotCaches>
    <pivotCache cacheId="1112"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166" i="1" l="1"/>
  <c r="H1206" i="1"/>
  <c r="H1156" i="1"/>
  <c r="H1179" i="1"/>
  <c r="H1165" i="1"/>
  <c r="H1164" i="1"/>
  <c r="H1205" i="1"/>
  <c r="H1053" i="1"/>
  <c r="H1175" i="1"/>
  <c r="H1201" i="1"/>
  <c r="Q1174" i="1"/>
  <c r="H1174" i="1"/>
  <c r="H1173" i="1"/>
  <c r="H1172" i="1"/>
  <c r="H1199" i="1"/>
  <c r="H1171" i="1"/>
  <c r="H1170" i="1"/>
  <c r="H1169" i="1"/>
  <c r="H1168" i="1"/>
  <c r="H1167" i="1"/>
  <c r="H1188" i="1"/>
  <c r="H1187" i="1"/>
  <c r="H1162" i="1"/>
  <c r="H1186" i="1"/>
  <c r="H1161" i="1"/>
  <c r="H1185" i="1"/>
  <c r="H1160" i="1"/>
  <c r="H1159" i="1"/>
  <c r="H1204" i="1"/>
  <c r="H1183" i="1"/>
  <c r="H1182" i="1"/>
  <c r="H1158" i="1"/>
  <c r="H1157" i="1"/>
  <c r="H1155" i="1"/>
  <c r="H1154" i="1"/>
  <c r="H1153" i="1"/>
  <c r="H1203"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A1204" i="1"/>
  <c r="C1204" i="1" s="1"/>
  <c r="A1205" i="1"/>
  <c r="C1205" i="1" s="1"/>
  <c r="A1206" i="1"/>
  <c r="C1206" i="1" s="1"/>
  <c r="A1207" i="1"/>
  <c r="C1207" i="1" s="1"/>
  <c r="A1208" i="1"/>
  <c r="C1208" i="1" s="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03" i="1"/>
  <c r="C1203" i="1" s="1"/>
  <c r="A1184" i="1"/>
  <c r="A1185" i="1"/>
  <c r="A1186" i="1"/>
  <c r="A1187" i="1"/>
  <c r="A1188" i="1"/>
  <c r="A1189" i="1"/>
  <c r="A1190" i="1"/>
  <c r="A1191" i="1"/>
  <c r="A1192" i="1"/>
  <c r="A1193" i="1"/>
  <c r="A1194" i="1"/>
  <c r="A1195" i="1"/>
  <c r="A1196" i="1"/>
  <c r="A1197" i="1"/>
  <c r="A1198" i="1"/>
  <c r="A1199" i="1"/>
  <c r="C1199" i="1" s="1"/>
  <c r="A1200" i="1"/>
  <c r="A1201" i="1"/>
  <c r="A1202" i="1"/>
  <c r="C1184" i="1"/>
  <c r="C1185" i="1"/>
  <c r="C1186" i="1"/>
  <c r="C1187" i="1"/>
  <c r="C1188" i="1"/>
  <c r="C1189" i="1"/>
  <c r="C1190" i="1"/>
  <c r="C1191" i="1"/>
  <c r="C1192" i="1"/>
  <c r="C1193" i="1"/>
  <c r="C1194" i="1"/>
  <c r="C1195" i="1"/>
  <c r="C1196" i="1"/>
  <c r="C1197" i="1"/>
  <c r="C1198" i="1"/>
  <c r="C1200" i="1"/>
  <c r="C1201" i="1"/>
  <c r="C1202" i="1"/>
  <c r="H1152" i="1"/>
  <c r="H1151" i="1"/>
  <c r="H1144" i="1"/>
  <c r="Q1144" i="1"/>
  <c r="H1148" i="1"/>
  <c r="H1150" i="1"/>
  <c r="A102" i="6"/>
  <c r="A103" i="6"/>
  <c r="A104" i="6"/>
  <c r="A105" i="6"/>
  <c r="A106" i="6"/>
  <c r="A107" i="6"/>
  <c r="A108" i="6"/>
  <c r="A109" i="6"/>
  <c r="A110" i="6"/>
  <c r="A111" i="6"/>
  <c r="A112" i="6"/>
  <c r="A113" i="6"/>
  <c r="A114" i="6"/>
  <c r="A115" i="6"/>
  <c r="A116" i="6"/>
  <c r="A117" i="6"/>
  <c r="A98" i="6"/>
  <c r="A99" i="6"/>
  <c r="A100" i="6"/>
  <c r="A101" i="6"/>
  <c r="H1146" i="1"/>
  <c r="H1147" i="1"/>
  <c r="H1149" i="1"/>
  <c r="H1145" i="1"/>
  <c r="H1143" i="1"/>
  <c r="H1142" i="1"/>
  <c r="H1134" i="1"/>
  <c r="H1135" i="1"/>
  <c r="H1136" i="1"/>
  <c r="H1137" i="1"/>
  <c r="H1138" i="1"/>
  <c r="H1139" i="1"/>
  <c r="H1140" i="1"/>
  <c r="H1141" i="1"/>
  <c r="H1132" i="1"/>
  <c r="H1133" i="1"/>
  <c r="H1131" i="1"/>
  <c r="H1130" i="1"/>
  <c r="H1129" i="1"/>
  <c r="A1140" i="1"/>
  <c r="A1141" i="1"/>
  <c r="C1141" i="1" s="1"/>
  <c r="A1142" i="1"/>
  <c r="C1142" i="1" s="1"/>
  <c r="A1143" i="1"/>
  <c r="C1143" i="1" s="1"/>
  <c r="A1144" i="1"/>
  <c r="C1144" i="1" s="1"/>
  <c r="A1145" i="1"/>
  <c r="C1145" i="1" s="1"/>
  <c r="A1146" i="1"/>
  <c r="C1146" i="1" s="1"/>
  <c r="A1147" i="1"/>
  <c r="C1147" i="1" s="1"/>
  <c r="A1148" i="1"/>
  <c r="C1148" i="1" s="1"/>
  <c r="A1149" i="1"/>
  <c r="C1149" i="1" s="1"/>
  <c r="A1150" i="1"/>
  <c r="C1150" i="1" s="1"/>
  <c r="A1151" i="1"/>
  <c r="C1151" i="1" s="1"/>
  <c r="A1152" i="1"/>
  <c r="C1152" i="1" s="1"/>
  <c r="A1153" i="1"/>
  <c r="C1153" i="1" s="1"/>
  <c r="A1154" i="1"/>
  <c r="C1154" i="1" s="1"/>
  <c r="A1155" i="1"/>
  <c r="C1155" i="1" s="1"/>
  <c r="A1156" i="1"/>
  <c r="C1156" i="1" s="1"/>
  <c r="A1157" i="1"/>
  <c r="C1157" i="1" s="1"/>
  <c r="A1158" i="1"/>
  <c r="C1158" i="1" s="1"/>
  <c r="A1159" i="1"/>
  <c r="C1159" i="1" s="1"/>
  <c r="A1160" i="1"/>
  <c r="C1160" i="1" s="1"/>
  <c r="A1161" i="1"/>
  <c r="C1161" i="1" s="1"/>
  <c r="A1162" i="1"/>
  <c r="C1162" i="1" s="1"/>
  <c r="A1163" i="1"/>
  <c r="C1163" i="1" s="1"/>
  <c r="A1164" i="1"/>
  <c r="C1164" i="1" s="1"/>
  <c r="A1165" i="1"/>
  <c r="C1165" i="1" s="1"/>
  <c r="A1166" i="1"/>
  <c r="C1166" i="1" s="1"/>
  <c r="A1167" i="1"/>
  <c r="C1167" i="1" s="1"/>
  <c r="A1168" i="1"/>
  <c r="C1168" i="1" s="1"/>
  <c r="A1169" i="1"/>
  <c r="C1169" i="1" s="1"/>
  <c r="A1170" i="1"/>
  <c r="C1170" i="1" s="1"/>
  <c r="A1171" i="1"/>
  <c r="C1171" i="1" s="1"/>
  <c r="A1172" i="1"/>
  <c r="C1172" i="1" s="1"/>
  <c r="A1173" i="1"/>
  <c r="C1173" i="1" s="1"/>
  <c r="A1174" i="1"/>
  <c r="C1174" i="1" s="1"/>
  <c r="A1175" i="1"/>
  <c r="C1175" i="1" s="1"/>
  <c r="A1176" i="1"/>
  <c r="C1176" i="1" s="1"/>
  <c r="A1177" i="1"/>
  <c r="C1177" i="1" s="1"/>
  <c r="A1178" i="1"/>
  <c r="C1178" i="1" s="1"/>
  <c r="A1179" i="1"/>
  <c r="C1179" i="1" s="1"/>
  <c r="A1180" i="1"/>
  <c r="C1180" i="1" s="1"/>
  <c r="A1181" i="1"/>
  <c r="C1181" i="1" s="1"/>
  <c r="A1182" i="1"/>
  <c r="C1182" i="1" s="1"/>
  <c r="A1183" i="1"/>
  <c r="C1183" i="1" s="1"/>
  <c r="C1140" i="1"/>
  <c r="A93" i="6"/>
  <c r="A94" i="6"/>
  <c r="A95" i="6"/>
  <c r="A96" i="6"/>
  <c r="A97" i="6"/>
  <c r="H1125" i="1"/>
  <c r="H1128" i="1"/>
  <c r="H1127" i="1"/>
  <c r="H1126" i="1"/>
  <c r="H1124" i="1"/>
  <c r="H1122" i="1"/>
  <c r="H1123" i="1"/>
  <c r="H1121" i="1"/>
  <c r="A92" i="6"/>
  <c r="H1120" i="1"/>
  <c r="Q1119" i="1"/>
  <c r="H1119" i="1"/>
  <c r="H1116" i="1"/>
  <c r="H1115" i="1"/>
  <c r="H1114" i="1"/>
  <c r="H1113" i="1"/>
  <c r="H1111" i="1"/>
  <c r="H1110" i="1"/>
  <c r="H1109" i="1"/>
  <c r="H1108" i="1"/>
  <c r="H1107" i="1"/>
  <c r="H1106" i="1"/>
  <c r="H1105" i="1"/>
  <c r="H1104" i="1"/>
  <c r="H1103" i="1"/>
  <c r="H1102" i="1"/>
  <c r="H1101" i="1"/>
  <c r="H1100" i="1"/>
  <c r="H1099" i="1"/>
  <c r="H1098" i="1"/>
  <c r="H1097" i="1"/>
  <c r="H1096" i="1"/>
  <c r="H1095" i="1"/>
  <c r="H1094" i="1"/>
  <c r="H1093" i="1"/>
  <c r="H1112" i="1"/>
  <c r="H1118" i="1"/>
  <c r="A1118" i="1"/>
  <c r="C1118" i="1" s="1"/>
  <c r="A1119" i="1"/>
  <c r="C1119" i="1" s="1"/>
  <c r="A1120" i="1"/>
  <c r="C1120" i="1" s="1"/>
  <c r="A1121" i="1"/>
  <c r="C1121" i="1" s="1"/>
  <c r="A1122" i="1"/>
  <c r="C1122" i="1" s="1"/>
  <c r="A1123" i="1"/>
  <c r="C1123" i="1" s="1"/>
  <c r="A1124" i="1"/>
  <c r="C1124" i="1" s="1"/>
  <c r="A1125" i="1"/>
  <c r="C1125" i="1" s="1"/>
  <c r="A1126" i="1"/>
  <c r="C1126" i="1" s="1"/>
  <c r="A1127" i="1"/>
  <c r="C1127" i="1" s="1"/>
  <c r="A1128" i="1"/>
  <c r="C1128" i="1" s="1"/>
  <c r="A1129" i="1"/>
  <c r="C1129" i="1" s="1"/>
  <c r="A1130" i="1"/>
  <c r="C1130" i="1" s="1"/>
  <c r="A1131" i="1"/>
  <c r="C1131" i="1" s="1"/>
  <c r="A1132" i="1"/>
  <c r="C1132" i="1" s="1"/>
  <c r="A1133" i="1"/>
  <c r="C1133" i="1" s="1"/>
  <c r="A1134" i="1"/>
  <c r="C1134" i="1" s="1"/>
  <c r="A1135" i="1"/>
  <c r="C1135" i="1" s="1"/>
  <c r="A1136" i="1"/>
  <c r="C1136" i="1" s="1"/>
  <c r="A1137" i="1"/>
  <c r="C1137" i="1" s="1"/>
  <c r="A1138" i="1"/>
  <c r="C1138" i="1" s="1"/>
  <c r="A1139" i="1"/>
  <c r="C1139" i="1" s="1"/>
  <c r="A87" i="6"/>
  <c r="A88" i="6"/>
  <c r="A89" i="6"/>
  <c r="A90" i="6"/>
  <c r="A91" i="6"/>
  <c r="H1117" i="1"/>
  <c r="A1117" i="1"/>
  <c r="C1117" i="1" s="1"/>
  <c r="A1112" i="1"/>
  <c r="C1112" i="1" s="1"/>
  <c r="A1113" i="1"/>
  <c r="C1113" i="1" s="1"/>
  <c r="A1114" i="1"/>
  <c r="C1114" i="1" s="1"/>
  <c r="A1115" i="1"/>
  <c r="C1115" i="1" s="1"/>
  <c r="A1116" i="1"/>
  <c r="C1116" i="1" s="1"/>
  <c r="H1076" i="1"/>
  <c r="H1077" i="1"/>
  <c r="H1092" i="1"/>
  <c r="H1091" i="1"/>
  <c r="H1090" i="1"/>
  <c r="H1058" i="1"/>
  <c r="H1089" i="1"/>
  <c r="A86" i="6"/>
  <c r="A85" i="6"/>
  <c r="H1088" i="1"/>
  <c r="H1087" i="1"/>
  <c r="H1086" i="1"/>
  <c r="A84" i="6"/>
  <c r="H1055" i="1"/>
  <c r="H1054" i="1"/>
  <c r="H1052" i="1"/>
  <c r="H1051" i="1"/>
  <c r="H1050" i="1"/>
  <c r="H1049" i="1"/>
  <c r="H1048" i="1"/>
  <c r="H1046" i="1"/>
  <c r="H1045" i="1"/>
  <c r="H1044" i="1"/>
  <c r="H1043" i="1"/>
  <c r="H1042" i="1"/>
  <c r="H1040" i="1"/>
  <c r="H1039" i="1"/>
  <c r="H1038" i="1"/>
  <c r="Q1036" i="1"/>
  <c r="H1036" i="1"/>
  <c r="H1033" i="1"/>
  <c r="Q1032" i="1"/>
  <c r="H1032" i="1"/>
  <c r="L1069" i="1"/>
  <c r="A83" i="6"/>
  <c r="H1084" i="1"/>
  <c r="H1083" i="1"/>
  <c r="H1031" i="1"/>
  <c r="H1082" i="1"/>
  <c r="H1030" i="1"/>
  <c r="H1029" i="1"/>
  <c r="Q1027" i="1"/>
  <c r="H1027" i="1"/>
  <c r="H1026" i="1"/>
  <c r="H1080" i="1"/>
  <c r="H1079" i="1"/>
  <c r="A1080" i="1"/>
  <c r="C1080" i="1" s="1"/>
  <c r="A1081" i="1"/>
  <c r="C1081" i="1" s="1"/>
  <c r="A1082" i="1"/>
  <c r="C1082" i="1" s="1"/>
  <c r="A1083" i="1"/>
  <c r="C1083" i="1" s="1"/>
  <c r="A1084" i="1"/>
  <c r="C1084" i="1" s="1"/>
  <c r="A1085" i="1"/>
  <c r="C1085" i="1" s="1"/>
  <c r="A1086" i="1"/>
  <c r="C1086" i="1" s="1"/>
  <c r="A1087" i="1"/>
  <c r="C1087" i="1" s="1"/>
  <c r="A1088" i="1"/>
  <c r="C1088" i="1" s="1"/>
  <c r="A1089" i="1"/>
  <c r="C1089" i="1" s="1"/>
  <c r="A1090" i="1"/>
  <c r="C1090" i="1" s="1"/>
  <c r="A1091" i="1"/>
  <c r="C1091" i="1" s="1"/>
  <c r="A1092" i="1"/>
  <c r="C1092" i="1" s="1"/>
  <c r="A1093" i="1"/>
  <c r="C1093" i="1" s="1"/>
  <c r="A1094" i="1"/>
  <c r="C1094" i="1" s="1"/>
  <c r="A1095" i="1"/>
  <c r="C1095" i="1" s="1"/>
  <c r="A1096" i="1"/>
  <c r="C1096" i="1" s="1"/>
  <c r="A1097" i="1"/>
  <c r="C1097" i="1" s="1"/>
  <c r="A1098" i="1"/>
  <c r="C1098" i="1" s="1"/>
  <c r="A1099" i="1"/>
  <c r="C1099" i="1" s="1"/>
  <c r="A1100" i="1"/>
  <c r="C1100" i="1" s="1"/>
  <c r="A1101" i="1"/>
  <c r="C1101" i="1" s="1"/>
  <c r="A1102" i="1"/>
  <c r="C1102" i="1" s="1"/>
  <c r="A1103" i="1"/>
  <c r="C1103" i="1" s="1"/>
  <c r="A1104" i="1"/>
  <c r="C1104" i="1" s="1"/>
  <c r="A1105" i="1"/>
  <c r="C1105" i="1" s="1"/>
  <c r="A1106" i="1"/>
  <c r="C1106" i="1" s="1"/>
  <c r="A1107" i="1"/>
  <c r="C1107" i="1" s="1"/>
  <c r="A1108" i="1"/>
  <c r="C1108" i="1" s="1"/>
  <c r="A1109" i="1"/>
  <c r="C1109" i="1" s="1"/>
  <c r="A1110" i="1"/>
  <c r="C1110" i="1" s="1"/>
  <c r="A1111" i="1"/>
  <c r="C1111" i="1" s="1"/>
  <c r="A1079" i="1"/>
  <c r="C1079" i="1" s="1"/>
  <c r="A1078" i="1"/>
  <c r="C1078" i="1" s="1"/>
  <c r="H1078" i="1"/>
  <c r="H1025" i="1"/>
  <c r="H1024" i="1"/>
  <c r="H1023" i="1"/>
  <c r="H1022" i="1"/>
  <c r="Q1021" i="1"/>
  <c r="H1021" i="1"/>
  <c r="A66" i="6"/>
  <c r="A67" i="6"/>
  <c r="A68" i="6"/>
  <c r="A69" i="6"/>
  <c r="A70" i="6"/>
  <c r="A71" i="6"/>
  <c r="A72" i="6"/>
  <c r="A73" i="6"/>
  <c r="A74" i="6"/>
  <c r="A75" i="6"/>
  <c r="A76" i="6"/>
  <c r="A77" i="6"/>
  <c r="A78" i="6"/>
  <c r="A79" i="6"/>
  <c r="A80" i="6"/>
  <c r="A81" i="6"/>
  <c r="A82" i="6"/>
  <c r="H1057" i="1"/>
  <c r="H1085" i="1"/>
  <c r="H1059" i="1"/>
  <c r="H1060" i="1"/>
  <c r="H1061" i="1"/>
  <c r="H1062" i="1"/>
  <c r="H1063" i="1"/>
  <c r="H1064" i="1"/>
  <c r="H1065" i="1"/>
  <c r="H1066" i="1"/>
  <c r="H1067" i="1"/>
  <c r="H1068" i="1"/>
  <c r="H1069" i="1"/>
  <c r="H1070" i="1"/>
  <c r="H1071" i="1"/>
  <c r="H1072" i="1"/>
  <c r="H1073" i="1"/>
  <c r="H1074" i="1"/>
  <c r="H1075" i="1"/>
  <c r="A1074" i="1"/>
  <c r="C1074" i="1" s="1"/>
  <c r="A1075" i="1"/>
  <c r="C1075" i="1" s="1"/>
  <c r="A1076" i="1"/>
  <c r="A1077" i="1"/>
  <c r="C1076" i="1"/>
  <c r="C1077" i="1"/>
  <c r="H1056" i="1"/>
  <c r="H1020" i="1"/>
  <c r="H1019" i="1"/>
  <c r="H1018" i="1"/>
  <c r="H1017" i="1"/>
  <c r="H1016" i="1"/>
  <c r="H1015" i="1"/>
  <c r="A1044" i="1"/>
  <c r="C1044" i="1" s="1"/>
  <c r="A1045" i="1"/>
  <c r="C1045" i="1" s="1"/>
  <c r="A1046" i="1"/>
  <c r="C1046" i="1" s="1"/>
  <c r="A1047" i="1"/>
  <c r="C1047" i="1" s="1"/>
  <c r="A1048" i="1"/>
  <c r="C1048" i="1" s="1"/>
  <c r="A1049" i="1"/>
  <c r="C1049" i="1" s="1"/>
  <c r="A1050" i="1"/>
  <c r="C1050" i="1" s="1"/>
  <c r="A1051" i="1"/>
  <c r="C1051" i="1" s="1"/>
  <c r="A1052" i="1"/>
  <c r="C1052" i="1" s="1"/>
  <c r="A1053" i="1"/>
  <c r="C1053" i="1" s="1"/>
  <c r="A1054" i="1"/>
  <c r="C1054" i="1" s="1"/>
  <c r="A1055" i="1"/>
  <c r="C1055" i="1" s="1"/>
  <c r="A1056" i="1"/>
  <c r="C1056" i="1" s="1"/>
  <c r="A1057" i="1"/>
  <c r="C1057" i="1" s="1"/>
  <c r="A1058" i="1"/>
  <c r="C1058" i="1" s="1"/>
  <c r="A1059" i="1"/>
  <c r="C1059" i="1" s="1"/>
  <c r="A1060" i="1"/>
  <c r="C1060" i="1" s="1"/>
  <c r="A1061" i="1"/>
  <c r="C1061" i="1" s="1"/>
  <c r="A1062" i="1"/>
  <c r="C1062" i="1" s="1"/>
  <c r="A1063" i="1"/>
  <c r="C1063" i="1" s="1"/>
  <c r="A1064" i="1"/>
  <c r="C1064" i="1" s="1"/>
  <c r="A1065" i="1"/>
  <c r="C1065" i="1" s="1"/>
  <c r="A1066" i="1"/>
  <c r="C1066" i="1" s="1"/>
  <c r="A1067" i="1"/>
  <c r="C1067" i="1" s="1"/>
  <c r="A1068" i="1"/>
  <c r="C1068" i="1" s="1"/>
  <c r="A1069" i="1"/>
  <c r="C1069" i="1" s="1"/>
  <c r="A1070" i="1"/>
  <c r="C1070" i="1" s="1"/>
  <c r="A1071" i="1"/>
  <c r="C1071" i="1" s="1"/>
  <c r="A1072" i="1"/>
  <c r="C1072" i="1" s="1"/>
  <c r="A1073" i="1"/>
  <c r="C1073" i="1" s="1"/>
  <c r="H1034" i="1"/>
  <c r="A1016" i="1"/>
  <c r="C1016" i="1" s="1"/>
  <c r="A1017" i="1"/>
  <c r="C1017" i="1" s="1"/>
  <c r="A1018" i="1"/>
  <c r="C1018" i="1" s="1"/>
  <c r="A1019" i="1"/>
  <c r="C1019" i="1" s="1"/>
  <c r="A1020" i="1"/>
  <c r="C1020" i="1" s="1"/>
  <c r="A1021" i="1"/>
  <c r="C1021" i="1" s="1"/>
  <c r="A1022" i="1"/>
  <c r="C1022" i="1" s="1"/>
  <c r="A1023" i="1"/>
  <c r="C1023" i="1" s="1"/>
  <c r="A1024" i="1"/>
  <c r="C1024" i="1" s="1"/>
  <c r="A1025" i="1"/>
  <c r="C1025" i="1" s="1"/>
  <c r="A1026" i="1"/>
  <c r="C1026" i="1" s="1"/>
  <c r="A1027" i="1"/>
  <c r="C1027" i="1" s="1"/>
  <c r="A1028" i="1"/>
  <c r="C1028" i="1" s="1"/>
  <c r="A1029" i="1"/>
  <c r="C1029" i="1" s="1"/>
  <c r="A1030" i="1"/>
  <c r="C1030" i="1" s="1"/>
  <c r="A1031" i="1"/>
  <c r="C1031" i="1" s="1"/>
  <c r="A1032" i="1"/>
  <c r="C1032" i="1" s="1"/>
  <c r="A1033" i="1"/>
  <c r="C1033" i="1" s="1"/>
  <c r="A1034" i="1"/>
  <c r="C1034" i="1" s="1"/>
  <c r="A1035" i="1"/>
  <c r="C1035" i="1" s="1"/>
  <c r="A1036" i="1"/>
  <c r="C1036" i="1" s="1"/>
  <c r="A1037" i="1"/>
  <c r="C1037" i="1" s="1"/>
  <c r="A1038" i="1"/>
  <c r="C1038" i="1" s="1"/>
  <c r="A1039" i="1"/>
  <c r="C1039" i="1" s="1"/>
  <c r="A1040" i="1"/>
  <c r="C1040" i="1" s="1"/>
  <c r="A1041" i="1"/>
  <c r="C1041" i="1" s="1"/>
  <c r="A1042" i="1"/>
  <c r="C1042" i="1" s="1"/>
  <c r="A1043" i="1"/>
  <c r="C1043" i="1" s="1"/>
  <c r="A63" i="6"/>
  <c r="A64" i="6"/>
  <c r="A65" i="6"/>
  <c r="H1013" i="1"/>
  <c r="H1014" i="1"/>
  <c r="H1028" i="1"/>
  <c r="H1005" i="1"/>
  <c r="A62" i="6"/>
  <c r="A61" i="6"/>
  <c r="H1000" i="1"/>
  <c r="H996" i="1"/>
  <c r="H998" i="1"/>
  <c r="Q997" i="1"/>
  <c r="H997" i="1"/>
  <c r="A997" i="1"/>
  <c r="C997" i="1" s="1"/>
  <c r="A998" i="1"/>
  <c r="C998" i="1" s="1"/>
  <c r="A999" i="1"/>
  <c r="C999" i="1" s="1"/>
  <c r="A1000" i="1"/>
  <c r="C1000" i="1" s="1"/>
  <c r="A1001" i="1"/>
  <c r="C1001" i="1" s="1"/>
  <c r="A1002" i="1"/>
  <c r="C1002" i="1" s="1"/>
  <c r="A1003" i="1"/>
  <c r="C1003" i="1" s="1"/>
  <c r="A1004" i="1"/>
  <c r="C1004" i="1" s="1"/>
  <c r="A1005" i="1"/>
  <c r="C1005" i="1" s="1"/>
  <c r="A1006" i="1"/>
  <c r="A1007" i="1"/>
  <c r="C1007" i="1" s="1"/>
  <c r="A1008" i="1"/>
  <c r="C1008" i="1" s="1"/>
  <c r="A1009" i="1"/>
  <c r="C1009" i="1" s="1"/>
  <c r="A1010" i="1"/>
  <c r="C1010" i="1" s="1"/>
  <c r="A1011" i="1"/>
  <c r="A1012" i="1"/>
  <c r="A1013" i="1"/>
  <c r="C1013" i="1" s="1"/>
  <c r="A1014" i="1"/>
  <c r="C1014" i="1" s="1"/>
  <c r="A1015" i="1"/>
  <c r="C1015" i="1" s="1"/>
  <c r="H1001" i="1"/>
  <c r="H1002" i="1"/>
  <c r="H1003" i="1"/>
  <c r="H1004" i="1"/>
  <c r="H1006" i="1"/>
  <c r="H1007" i="1"/>
  <c r="H1008" i="1"/>
  <c r="H1009" i="1"/>
  <c r="H1010" i="1"/>
  <c r="H1011" i="1"/>
  <c r="H1012" i="1"/>
  <c r="H995" i="1"/>
  <c r="H994" i="1"/>
  <c r="A60" i="6"/>
  <c r="A59" i="6"/>
  <c r="H993" i="1"/>
  <c r="H992" i="1"/>
  <c r="H991" i="1"/>
  <c r="H988" i="1"/>
  <c r="H987" i="1"/>
  <c r="H986" i="1"/>
  <c r="H985" i="1"/>
  <c r="H990" i="1"/>
  <c r="H989" i="1"/>
  <c r="H984" i="1"/>
  <c r="H983" i="1"/>
  <c r="H982" i="1"/>
  <c r="H978" i="1"/>
  <c r="H979" i="1"/>
  <c r="H980" i="1"/>
  <c r="H981" i="1"/>
  <c r="A55" i="6"/>
  <c r="A56" i="6"/>
  <c r="A57" i="6"/>
  <c r="A58" i="6"/>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A54" i="6"/>
  <c r="H976" i="1"/>
  <c r="H975" i="1"/>
  <c r="H974" i="1"/>
  <c r="H973" i="1"/>
  <c r="H972" i="1"/>
  <c r="H970" i="1"/>
  <c r="H971" i="1"/>
  <c r="H969" i="1"/>
  <c r="H968" i="1"/>
  <c r="H967" i="1"/>
  <c r="H966" i="1"/>
  <c r="H965" i="1"/>
  <c r="G964" i="1"/>
  <c r="H964" i="1"/>
  <c r="H963" i="1"/>
  <c r="A983" i="1"/>
  <c r="C983" i="1" s="1"/>
  <c r="A984" i="1"/>
  <c r="C984" i="1" s="1"/>
  <c r="A985" i="1"/>
  <c r="C985" i="1" s="1"/>
  <c r="A986" i="1"/>
  <c r="C986" i="1" s="1"/>
  <c r="A987" i="1"/>
  <c r="C987" i="1" s="1"/>
  <c r="A988" i="1"/>
  <c r="C988" i="1" s="1"/>
  <c r="A989" i="1"/>
  <c r="C989" i="1" s="1"/>
  <c r="A990" i="1"/>
  <c r="C990" i="1" s="1"/>
  <c r="A991" i="1"/>
  <c r="C991" i="1" s="1"/>
  <c r="A992" i="1"/>
  <c r="C992" i="1" s="1"/>
  <c r="A993" i="1"/>
  <c r="C993" i="1" s="1"/>
  <c r="A994" i="1"/>
  <c r="C994" i="1" s="1"/>
  <c r="A995" i="1"/>
  <c r="C995" i="1" s="1"/>
  <c r="A996" i="1"/>
  <c r="C996" i="1" s="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1" i="1"/>
  <c r="A182" i="1"/>
  <c r="A183" i="1"/>
  <c r="A184" i="1"/>
  <c r="C184" i="1" s="1"/>
  <c r="A185" i="1"/>
  <c r="A189" i="1"/>
  <c r="A199" i="1"/>
  <c r="A200" i="1"/>
  <c r="A201" i="1"/>
  <c r="A202" i="1"/>
  <c r="A203" i="1"/>
  <c r="A204" i="1"/>
  <c r="C204" i="1" s="1"/>
  <c r="A205" i="1"/>
  <c r="A206" i="1"/>
  <c r="A207" i="1"/>
  <c r="A208" i="1"/>
  <c r="C208" i="1" s="1"/>
  <c r="A210" i="1"/>
  <c r="A211" i="1"/>
  <c r="A212" i="1"/>
  <c r="A213" i="1"/>
  <c r="C213" i="1" s="1"/>
  <c r="A214" i="1"/>
  <c r="A215" i="1"/>
  <c r="A216" i="1"/>
  <c r="A217" i="1"/>
  <c r="C217" i="1" s="1"/>
  <c r="A218" i="1"/>
  <c r="A219" i="1"/>
  <c r="A220" i="1"/>
  <c r="A221" i="1"/>
  <c r="C221" i="1" s="1"/>
  <c r="A222" i="1"/>
  <c r="A223" i="1"/>
  <c r="A224" i="1"/>
  <c r="A225" i="1"/>
  <c r="C225" i="1" s="1"/>
  <c r="A226" i="1"/>
  <c r="A227" i="1"/>
  <c r="A228" i="1"/>
  <c r="A229" i="1"/>
  <c r="C229" i="1" s="1"/>
  <c r="A230" i="1"/>
  <c r="A231" i="1"/>
  <c r="A232" i="1"/>
  <c r="A234" i="1"/>
  <c r="A236" i="1"/>
  <c r="A237" i="1"/>
  <c r="A238" i="1"/>
  <c r="A240" i="1"/>
  <c r="C240" i="1" s="1"/>
  <c r="A241" i="1"/>
  <c r="A242" i="1"/>
  <c r="A243" i="1"/>
  <c r="A244" i="1"/>
  <c r="A245" i="1"/>
  <c r="A246" i="1"/>
  <c r="A247" i="1"/>
  <c r="A248" i="1"/>
  <c r="C248" i="1" s="1"/>
  <c r="A249" i="1"/>
  <c r="A250" i="1"/>
  <c r="A251" i="1"/>
  <c r="A252" i="1"/>
  <c r="C252" i="1" s="1"/>
  <c r="A253" i="1"/>
  <c r="A254" i="1"/>
  <c r="A255" i="1"/>
  <c r="A256" i="1"/>
  <c r="C256" i="1" s="1"/>
  <c r="A257" i="1"/>
  <c r="A258" i="1"/>
  <c r="A259" i="1"/>
  <c r="A260" i="1"/>
  <c r="A261" i="1"/>
  <c r="A262" i="1"/>
  <c r="A263" i="1"/>
  <c r="A264" i="1"/>
  <c r="C264" i="1" s="1"/>
  <c r="A265" i="1"/>
  <c r="A266" i="1"/>
  <c r="A267" i="1"/>
  <c r="A268" i="1"/>
  <c r="A269" i="1"/>
  <c r="A270" i="1"/>
  <c r="A271" i="1"/>
  <c r="A272" i="1"/>
  <c r="C272" i="1" s="1"/>
  <c r="A273" i="1"/>
  <c r="A274" i="1"/>
  <c r="A275" i="1"/>
  <c r="A276" i="1"/>
  <c r="A277" i="1"/>
  <c r="A278" i="1"/>
  <c r="A279" i="1"/>
  <c r="A280" i="1"/>
  <c r="A281" i="1"/>
  <c r="A282" i="1"/>
  <c r="A283" i="1"/>
  <c r="A284" i="1"/>
  <c r="A285" i="1"/>
  <c r="A286" i="1"/>
  <c r="A287" i="1"/>
  <c r="A288" i="1"/>
  <c r="A289" i="1"/>
  <c r="A290" i="1"/>
  <c r="A291" i="1"/>
  <c r="A292" i="1"/>
  <c r="A293" i="1"/>
  <c r="A294" i="1"/>
  <c r="A295" i="1"/>
  <c r="A296" i="1"/>
  <c r="C296" i="1" s="1"/>
  <c r="A297" i="1"/>
  <c r="A298" i="1"/>
  <c r="A299" i="1"/>
  <c r="A300" i="1"/>
  <c r="C300" i="1" s="1"/>
  <c r="A301" i="1"/>
  <c r="A302" i="1"/>
  <c r="A303" i="1"/>
  <c r="A304" i="1"/>
  <c r="C304" i="1" s="1"/>
  <c r="A305" i="1"/>
  <c r="A306" i="1"/>
  <c r="A307" i="1"/>
  <c r="A308" i="1"/>
  <c r="C308" i="1" s="1"/>
  <c r="A309" i="1"/>
  <c r="A310" i="1"/>
  <c r="A313" i="1"/>
  <c r="A319" i="1"/>
  <c r="A320" i="1"/>
  <c r="A321" i="1"/>
  <c r="A322" i="1"/>
  <c r="A323" i="1"/>
  <c r="C323" i="1" s="1"/>
  <c r="A324" i="1"/>
  <c r="A325" i="1"/>
  <c r="A326" i="1"/>
  <c r="A327" i="1"/>
  <c r="C327" i="1" s="1"/>
  <c r="A328" i="1"/>
  <c r="A329" i="1"/>
  <c r="A330" i="1"/>
  <c r="A331" i="1"/>
  <c r="C331" i="1" s="1"/>
  <c r="A332" i="1"/>
  <c r="A333" i="1"/>
  <c r="A334" i="1"/>
  <c r="A335" i="1"/>
  <c r="C335" i="1" s="1"/>
  <c r="A336" i="1"/>
  <c r="A337" i="1"/>
  <c r="A338" i="1"/>
  <c r="A339" i="1"/>
  <c r="C339" i="1" s="1"/>
  <c r="A340" i="1"/>
  <c r="A341" i="1"/>
  <c r="A342" i="1"/>
  <c r="A343" i="1"/>
  <c r="C343" i="1" s="1"/>
  <c r="A344" i="1"/>
  <c r="A345" i="1"/>
  <c r="A346" i="1"/>
  <c r="A347" i="1"/>
  <c r="C347" i="1" s="1"/>
  <c r="A348" i="1"/>
  <c r="A349" i="1"/>
  <c r="A350" i="1"/>
  <c r="A351" i="1"/>
  <c r="C351" i="1" s="1"/>
  <c r="A352" i="1"/>
  <c r="A353" i="1"/>
  <c r="A354" i="1"/>
  <c r="A355" i="1"/>
  <c r="C355" i="1" s="1"/>
  <c r="A356" i="1"/>
  <c r="A357" i="1"/>
  <c r="A358" i="1"/>
  <c r="A359" i="1"/>
  <c r="C359" i="1" s="1"/>
  <c r="A360" i="1"/>
  <c r="A361" i="1"/>
  <c r="A362" i="1"/>
  <c r="A363" i="1"/>
  <c r="C363" i="1" s="1"/>
  <c r="A364" i="1"/>
  <c r="A365" i="1"/>
  <c r="A366" i="1"/>
  <c r="A367" i="1"/>
  <c r="C367" i="1" s="1"/>
  <c r="A368" i="1"/>
  <c r="A369" i="1"/>
  <c r="A370" i="1"/>
  <c r="A371" i="1"/>
  <c r="C371" i="1" s="1"/>
  <c r="A372" i="1"/>
  <c r="A373" i="1"/>
  <c r="A374" i="1"/>
  <c r="A375" i="1"/>
  <c r="C375" i="1" s="1"/>
  <c r="A376" i="1"/>
  <c r="A377" i="1"/>
  <c r="A378" i="1"/>
  <c r="A379" i="1"/>
  <c r="C379" i="1" s="1"/>
  <c r="A380" i="1"/>
  <c r="A381" i="1"/>
  <c r="A382" i="1"/>
  <c r="A383" i="1"/>
  <c r="C383" i="1" s="1"/>
  <c r="A384" i="1"/>
  <c r="A385" i="1"/>
  <c r="A386" i="1"/>
  <c r="A387" i="1"/>
  <c r="C387" i="1" s="1"/>
  <c r="A388" i="1"/>
  <c r="A389" i="1"/>
  <c r="A390" i="1"/>
  <c r="A391" i="1"/>
  <c r="C391" i="1" s="1"/>
  <c r="A392" i="1"/>
  <c r="A393" i="1"/>
  <c r="A394" i="1"/>
  <c r="A395" i="1"/>
  <c r="A396" i="1"/>
  <c r="A397" i="1"/>
  <c r="A398" i="1"/>
  <c r="A399" i="1"/>
  <c r="C399" i="1" s="1"/>
  <c r="A400" i="1"/>
  <c r="A401" i="1"/>
  <c r="A402" i="1"/>
  <c r="A403" i="1"/>
  <c r="C403" i="1" s="1"/>
  <c r="A404" i="1"/>
  <c r="A405" i="1"/>
  <c r="A406" i="1"/>
  <c r="A407" i="1"/>
  <c r="C407" i="1" s="1"/>
  <c r="A408" i="1"/>
  <c r="A409" i="1"/>
  <c r="A410" i="1"/>
  <c r="A411" i="1"/>
  <c r="C411" i="1" s="1"/>
  <c r="A412" i="1"/>
  <c r="A413" i="1"/>
  <c r="A414" i="1"/>
  <c r="A415" i="1"/>
  <c r="C415" i="1" s="1"/>
  <c r="A416" i="1"/>
  <c r="A417" i="1"/>
  <c r="A418" i="1"/>
  <c r="A419" i="1"/>
  <c r="C419" i="1" s="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C467" i="1" s="1"/>
  <c r="A468" i="1"/>
  <c r="A469" i="1"/>
  <c r="A470" i="1"/>
  <c r="A471" i="1"/>
  <c r="C471" i="1" s="1"/>
  <c r="A472" i="1"/>
  <c r="A473" i="1"/>
  <c r="A474" i="1"/>
  <c r="A475" i="1"/>
  <c r="C475" i="1" s="1"/>
  <c r="A476" i="1"/>
  <c r="A477" i="1"/>
  <c r="A478" i="1"/>
  <c r="A479" i="1"/>
  <c r="C479" i="1" s="1"/>
  <c r="A480" i="1"/>
  <c r="A481" i="1"/>
  <c r="A482" i="1"/>
  <c r="A483" i="1"/>
  <c r="C483" i="1" s="1"/>
  <c r="A484" i="1"/>
  <c r="A485" i="1"/>
  <c r="A486" i="1"/>
  <c r="A487" i="1"/>
  <c r="C487" i="1" s="1"/>
  <c r="A488" i="1"/>
  <c r="A489" i="1"/>
  <c r="A490" i="1"/>
  <c r="A491" i="1"/>
  <c r="C491" i="1" s="1"/>
  <c r="A492" i="1"/>
  <c r="A493" i="1"/>
  <c r="A494" i="1"/>
  <c r="A495" i="1"/>
  <c r="C495" i="1" s="1"/>
  <c r="A496" i="1"/>
  <c r="A497" i="1"/>
  <c r="A498" i="1"/>
  <c r="A499" i="1"/>
  <c r="C499" i="1" s="1"/>
  <c r="A500" i="1"/>
  <c r="A501" i="1"/>
  <c r="A502" i="1"/>
  <c r="A503" i="1"/>
  <c r="C503" i="1" s="1"/>
  <c r="A504" i="1"/>
  <c r="A505" i="1"/>
  <c r="A506" i="1"/>
  <c r="A507" i="1"/>
  <c r="C507" i="1" s="1"/>
  <c r="A508" i="1"/>
  <c r="A509" i="1"/>
  <c r="A510" i="1"/>
  <c r="A511" i="1"/>
  <c r="C511" i="1" s="1"/>
  <c r="A512" i="1"/>
  <c r="A513" i="1"/>
  <c r="A514" i="1"/>
  <c r="A515" i="1"/>
  <c r="C515" i="1" s="1"/>
  <c r="A516" i="1"/>
  <c r="A517" i="1"/>
  <c r="A518" i="1"/>
  <c r="A519" i="1"/>
  <c r="C519" i="1" s="1"/>
  <c r="A520" i="1"/>
  <c r="A521" i="1"/>
  <c r="A522" i="1"/>
  <c r="A523" i="1"/>
  <c r="C523" i="1" s="1"/>
  <c r="A524" i="1"/>
  <c r="A525" i="1"/>
  <c r="A526" i="1"/>
  <c r="A527" i="1"/>
  <c r="C527" i="1" s="1"/>
  <c r="A528" i="1"/>
  <c r="A529" i="1"/>
  <c r="A530" i="1"/>
  <c r="A531" i="1"/>
  <c r="C531" i="1" s="1"/>
  <c r="A532" i="1"/>
  <c r="A533" i="1"/>
  <c r="A534" i="1"/>
  <c r="A535" i="1"/>
  <c r="C535" i="1" s="1"/>
  <c r="A536" i="1"/>
  <c r="A537" i="1"/>
  <c r="A538" i="1"/>
  <c r="A539" i="1"/>
  <c r="C539" i="1" s="1"/>
  <c r="A540" i="1"/>
  <c r="A541" i="1"/>
  <c r="A542" i="1"/>
  <c r="A543" i="1"/>
  <c r="C543" i="1" s="1"/>
  <c r="A544" i="1"/>
  <c r="A545" i="1"/>
  <c r="A546" i="1"/>
  <c r="A547" i="1"/>
  <c r="C547" i="1" s="1"/>
  <c r="A548" i="1"/>
  <c r="A549" i="1"/>
  <c r="A550" i="1"/>
  <c r="A551" i="1"/>
  <c r="C551" i="1" s="1"/>
  <c r="A552" i="1"/>
  <c r="A553" i="1"/>
  <c r="A554" i="1"/>
  <c r="A555" i="1"/>
  <c r="C555" i="1" s="1"/>
  <c r="A556" i="1"/>
  <c r="A557" i="1"/>
  <c r="A558" i="1"/>
  <c r="A559" i="1"/>
  <c r="C559" i="1" s="1"/>
  <c r="A560" i="1"/>
  <c r="A561" i="1"/>
  <c r="A562" i="1"/>
  <c r="A563" i="1"/>
  <c r="C563" i="1" s="1"/>
  <c r="A564" i="1"/>
  <c r="A565" i="1"/>
  <c r="A566" i="1"/>
  <c r="A567" i="1"/>
  <c r="C567" i="1" s="1"/>
  <c r="A568" i="1"/>
  <c r="A569" i="1"/>
  <c r="A570" i="1"/>
  <c r="A571" i="1"/>
  <c r="C571" i="1" s="1"/>
  <c r="A572" i="1"/>
  <c r="A573" i="1"/>
  <c r="A574" i="1"/>
  <c r="A575" i="1"/>
  <c r="C575" i="1" s="1"/>
  <c r="A576" i="1"/>
  <c r="A577" i="1"/>
  <c r="A578" i="1"/>
  <c r="A579" i="1"/>
  <c r="C579" i="1" s="1"/>
  <c r="A580" i="1"/>
  <c r="A581" i="1"/>
  <c r="A582" i="1"/>
  <c r="A583" i="1"/>
  <c r="C583" i="1" s="1"/>
  <c r="A584" i="1"/>
  <c r="A585" i="1"/>
  <c r="A586" i="1"/>
  <c r="A587" i="1"/>
  <c r="C587" i="1" s="1"/>
  <c r="A588" i="1"/>
  <c r="A589" i="1"/>
  <c r="A590" i="1"/>
  <c r="A591" i="1"/>
  <c r="C591" i="1" s="1"/>
  <c r="A592" i="1"/>
  <c r="A593" i="1"/>
  <c r="A594" i="1"/>
  <c r="A595" i="1"/>
  <c r="C595" i="1" s="1"/>
  <c r="A596" i="1"/>
  <c r="A597" i="1"/>
  <c r="A598" i="1"/>
  <c r="A599" i="1"/>
  <c r="C599" i="1" s="1"/>
  <c r="A600" i="1"/>
  <c r="A601" i="1"/>
  <c r="A602" i="1"/>
  <c r="A603" i="1"/>
  <c r="C603" i="1" s="1"/>
  <c r="A604" i="1"/>
  <c r="A605" i="1"/>
  <c r="A606" i="1"/>
  <c r="A607" i="1"/>
  <c r="C607" i="1" s="1"/>
  <c r="A608" i="1"/>
  <c r="A609" i="1"/>
  <c r="A610" i="1"/>
  <c r="A611" i="1"/>
  <c r="C611" i="1" s="1"/>
  <c r="A612" i="1"/>
  <c r="A613" i="1"/>
  <c r="A614" i="1"/>
  <c r="A615" i="1"/>
  <c r="C615" i="1" s="1"/>
  <c r="A616" i="1"/>
  <c r="A617" i="1"/>
  <c r="A618" i="1"/>
  <c r="A619" i="1"/>
  <c r="C619" i="1" s="1"/>
  <c r="A620" i="1"/>
  <c r="A621" i="1"/>
  <c r="A622" i="1"/>
  <c r="A623" i="1"/>
  <c r="C623" i="1" s="1"/>
  <c r="A624" i="1"/>
  <c r="A625" i="1"/>
  <c r="A626" i="1"/>
  <c r="A627" i="1"/>
  <c r="C627" i="1" s="1"/>
  <c r="A628" i="1"/>
  <c r="A629" i="1"/>
  <c r="A630" i="1"/>
  <c r="A631" i="1"/>
  <c r="C631" i="1" s="1"/>
  <c r="A632" i="1"/>
  <c r="A633" i="1"/>
  <c r="A634" i="1"/>
  <c r="A635" i="1"/>
  <c r="C635" i="1" s="1"/>
  <c r="A636" i="1"/>
  <c r="A637" i="1"/>
  <c r="A638" i="1"/>
  <c r="A639" i="1"/>
  <c r="C639" i="1" s="1"/>
  <c r="A640" i="1"/>
  <c r="A641" i="1"/>
  <c r="A642" i="1"/>
  <c r="A643" i="1"/>
  <c r="C643" i="1" s="1"/>
  <c r="A644" i="1"/>
  <c r="A645" i="1"/>
  <c r="A646" i="1"/>
  <c r="A647" i="1"/>
  <c r="C647" i="1" s="1"/>
  <c r="A648" i="1"/>
  <c r="A649" i="1"/>
  <c r="A650" i="1"/>
  <c r="A651" i="1"/>
  <c r="A652" i="1"/>
  <c r="A653" i="1"/>
  <c r="A654" i="1"/>
  <c r="A655" i="1"/>
  <c r="A656" i="1"/>
  <c r="A657" i="1"/>
  <c r="A658" i="1"/>
  <c r="A659" i="1"/>
  <c r="A660" i="1"/>
  <c r="A661" i="1"/>
  <c r="A662" i="1"/>
  <c r="A663" i="1"/>
  <c r="C663" i="1" s="1"/>
  <c r="A664" i="1"/>
  <c r="A665" i="1"/>
  <c r="A666" i="1"/>
  <c r="A667" i="1"/>
  <c r="C667" i="1" s="1"/>
  <c r="A668" i="1"/>
  <c r="A669" i="1"/>
  <c r="A670" i="1"/>
  <c r="A671" i="1"/>
  <c r="C671" i="1" s="1"/>
  <c r="A672" i="1"/>
  <c r="A673" i="1"/>
  <c r="A674" i="1"/>
  <c r="A675" i="1"/>
  <c r="C675" i="1" s="1"/>
  <c r="A676" i="1"/>
  <c r="A677" i="1"/>
  <c r="A678" i="1"/>
  <c r="A679" i="1"/>
  <c r="C679" i="1" s="1"/>
  <c r="A680" i="1"/>
  <c r="A681" i="1"/>
  <c r="A682" i="1"/>
  <c r="A683" i="1"/>
  <c r="C683" i="1" s="1"/>
  <c r="A684" i="1"/>
  <c r="A685" i="1"/>
  <c r="A686" i="1"/>
  <c r="A687" i="1"/>
  <c r="C687" i="1" s="1"/>
  <c r="A688" i="1"/>
  <c r="A689" i="1"/>
  <c r="A690" i="1"/>
  <c r="A691" i="1"/>
  <c r="C691" i="1" s="1"/>
  <c r="A692" i="1"/>
  <c r="A693" i="1"/>
  <c r="A694" i="1"/>
  <c r="A695" i="1"/>
  <c r="C695" i="1" s="1"/>
  <c r="A696" i="1"/>
  <c r="A697" i="1"/>
  <c r="A698" i="1"/>
  <c r="A699" i="1"/>
  <c r="C699" i="1" s="1"/>
  <c r="A700" i="1"/>
  <c r="A701" i="1"/>
  <c r="A702" i="1"/>
  <c r="A703" i="1"/>
  <c r="C703" i="1" s="1"/>
  <c r="A704" i="1"/>
  <c r="A705" i="1"/>
  <c r="A706" i="1"/>
  <c r="A707" i="1"/>
  <c r="C707" i="1" s="1"/>
  <c r="A708" i="1"/>
  <c r="A709" i="1"/>
  <c r="A710" i="1"/>
  <c r="A711" i="1"/>
  <c r="C711" i="1" s="1"/>
  <c r="A712" i="1"/>
  <c r="A714" i="1"/>
  <c r="A715" i="1"/>
  <c r="A716" i="1"/>
  <c r="A717" i="1"/>
  <c r="A718" i="1"/>
  <c r="A719" i="1"/>
  <c r="A720" i="1"/>
  <c r="A721" i="1"/>
  <c r="A722" i="1"/>
  <c r="A723" i="1"/>
  <c r="A724" i="1"/>
  <c r="C724" i="1" s="1"/>
  <c r="A725" i="1"/>
  <c r="A726" i="1"/>
  <c r="A727" i="1"/>
  <c r="A728" i="1"/>
  <c r="C728" i="1" s="1"/>
  <c r="A729" i="1"/>
  <c r="C729" i="1" s="1"/>
  <c r="A730" i="1"/>
  <c r="A731" i="1"/>
  <c r="A732" i="1"/>
  <c r="C732" i="1" s="1"/>
  <c r="A733" i="1"/>
  <c r="A734" i="1"/>
  <c r="A735" i="1"/>
  <c r="A736" i="1"/>
  <c r="C736" i="1" s="1"/>
  <c r="A737" i="1"/>
  <c r="C737" i="1" s="1"/>
  <c r="A738" i="1"/>
  <c r="A739" i="1"/>
  <c r="A740" i="1"/>
  <c r="C740" i="1" s="1"/>
  <c r="A741" i="1"/>
  <c r="A742" i="1"/>
  <c r="A743" i="1"/>
  <c r="A744" i="1"/>
  <c r="C744" i="1" s="1"/>
  <c r="A745" i="1"/>
  <c r="C745" i="1" s="1"/>
  <c r="A746" i="1"/>
  <c r="A747" i="1"/>
  <c r="A748" i="1"/>
  <c r="C748" i="1" s="1"/>
  <c r="A749" i="1"/>
  <c r="A750" i="1"/>
  <c r="A751" i="1"/>
  <c r="A752" i="1"/>
  <c r="C752" i="1" s="1"/>
  <c r="A753" i="1"/>
  <c r="C753" i="1" s="1"/>
  <c r="A754" i="1"/>
  <c r="A755" i="1"/>
  <c r="A756" i="1"/>
  <c r="C756" i="1" s="1"/>
  <c r="A757" i="1"/>
  <c r="A758" i="1"/>
  <c r="A759" i="1"/>
  <c r="A760" i="1"/>
  <c r="C760" i="1" s="1"/>
  <c r="A761" i="1"/>
  <c r="C761" i="1" s="1"/>
  <c r="A762" i="1"/>
  <c r="A763" i="1"/>
  <c r="A764" i="1"/>
  <c r="A765" i="1"/>
  <c r="A766" i="1"/>
  <c r="A767" i="1"/>
  <c r="A768" i="1"/>
  <c r="C768" i="1" s="1"/>
  <c r="A769" i="1"/>
  <c r="A770" i="1"/>
  <c r="A771" i="1"/>
  <c r="A772" i="1"/>
  <c r="C772" i="1" s="1"/>
  <c r="A773" i="1"/>
  <c r="A774" i="1"/>
  <c r="A775" i="1"/>
  <c r="A776" i="1"/>
  <c r="C776" i="1" s="1"/>
  <c r="A777" i="1"/>
  <c r="A778" i="1"/>
  <c r="A779" i="1"/>
  <c r="A780" i="1"/>
  <c r="C780" i="1" s="1"/>
  <c r="A781" i="1"/>
  <c r="A782" i="1"/>
  <c r="A783" i="1"/>
  <c r="A784" i="1"/>
  <c r="C784" i="1" s="1"/>
  <c r="A785" i="1"/>
  <c r="A786" i="1"/>
  <c r="A787" i="1"/>
  <c r="A788" i="1"/>
  <c r="C788" i="1" s="1"/>
  <c r="A789" i="1"/>
  <c r="A790" i="1"/>
  <c r="A791" i="1"/>
  <c r="A792" i="1"/>
  <c r="C792" i="1" s="1"/>
  <c r="A793" i="1"/>
  <c r="C793" i="1" s="1"/>
  <c r="A794" i="1"/>
  <c r="A795" i="1"/>
  <c r="A796" i="1"/>
  <c r="C796" i="1" s="1"/>
  <c r="A797" i="1"/>
  <c r="A798" i="1"/>
  <c r="A799" i="1"/>
  <c r="A800" i="1"/>
  <c r="C800" i="1" s="1"/>
  <c r="A801" i="1"/>
  <c r="A802" i="1"/>
  <c r="A803" i="1"/>
  <c r="A804" i="1"/>
  <c r="C804" i="1" s="1"/>
  <c r="A805" i="1"/>
  <c r="A806" i="1"/>
  <c r="A807" i="1"/>
  <c r="A808" i="1"/>
  <c r="C808" i="1" s="1"/>
  <c r="A809" i="1"/>
  <c r="C809" i="1" s="1"/>
  <c r="A810" i="1"/>
  <c r="A811" i="1"/>
  <c r="A812" i="1"/>
  <c r="C812" i="1" s="1"/>
  <c r="A813" i="1"/>
  <c r="A814" i="1"/>
  <c r="A815" i="1"/>
  <c r="A816" i="1"/>
  <c r="C816" i="1" s="1"/>
  <c r="A817" i="1"/>
  <c r="C817" i="1" s="1"/>
  <c r="A818" i="1"/>
  <c r="A819" i="1"/>
  <c r="A820" i="1"/>
  <c r="C820" i="1" s="1"/>
  <c r="A821" i="1"/>
  <c r="A822" i="1"/>
  <c r="A823" i="1"/>
  <c r="A824" i="1"/>
  <c r="C824" i="1" s="1"/>
  <c r="A825" i="1"/>
  <c r="C825" i="1" s="1"/>
  <c r="A826" i="1"/>
  <c r="A827" i="1"/>
  <c r="A828" i="1"/>
  <c r="C828" i="1" s="1"/>
  <c r="A829" i="1"/>
  <c r="A830" i="1"/>
  <c r="A831" i="1"/>
  <c r="A832" i="1"/>
  <c r="C832" i="1" s="1"/>
  <c r="A833" i="1"/>
  <c r="C833" i="1" s="1"/>
  <c r="A834" i="1"/>
  <c r="A835" i="1"/>
  <c r="A836" i="1"/>
  <c r="C836" i="1" s="1"/>
  <c r="A837" i="1"/>
  <c r="A838" i="1"/>
  <c r="A839" i="1"/>
  <c r="A840" i="1"/>
  <c r="C840" i="1" s="1"/>
  <c r="A841" i="1"/>
  <c r="C841" i="1" s="1"/>
  <c r="A842" i="1"/>
  <c r="A843" i="1"/>
  <c r="A844" i="1"/>
  <c r="C844" i="1" s="1"/>
  <c r="A845" i="1"/>
  <c r="A846" i="1"/>
  <c r="A847" i="1"/>
  <c r="A848" i="1"/>
  <c r="C848" i="1" s="1"/>
  <c r="A849" i="1"/>
  <c r="C849" i="1" s="1"/>
  <c r="A850" i="1"/>
  <c r="A851" i="1"/>
  <c r="A852" i="1"/>
  <c r="C852" i="1" s="1"/>
  <c r="A853" i="1"/>
  <c r="A854" i="1"/>
  <c r="A855" i="1"/>
  <c r="A856" i="1"/>
  <c r="C856" i="1" s="1"/>
  <c r="A857" i="1"/>
  <c r="C857" i="1" s="1"/>
  <c r="A858" i="1"/>
  <c r="A859" i="1"/>
  <c r="A860" i="1"/>
  <c r="C860" i="1" s="1"/>
  <c r="A861" i="1"/>
  <c r="A862" i="1"/>
  <c r="A863" i="1"/>
  <c r="A864" i="1"/>
  <c r="C864" i="1" s="1"/>
  <c r="A865" i="1"/>
  <c r="C865" i="1" s="1"/>
  <c r="A866" i="1"/>
  <c r="A867" i="1"/>
  <c r="A868" i="1"/>
  <c r="C868" i="1" s="1"/>
  <c r="A869" i="1"/>
  <c r="A870" i="1"/>
  <c r="A871" i="1"/>
  <c r="A872" i="1"/>
  <c r="C872" i="1" s="1"/>
  <c r="A873" i="1"/>
  <c r="C873" i="1" s="1"/>
  <c r="A874" i="1"/>
  <c r="A875" i="1"/>
  <c r="A876" i="1"/>
  <c r="C876" i="1" s="1"/>
  <c r="A877" i="1"/>
  <c r="A878" i="1"/>
  <c r="A879" i="1"/>
  <c r="A880" i="1"/>
  <c r="C880" i="1" s="1"/>
  <c r="A881" i="1"/>
  <c r="C881" i="1" s="1"/>
  <c r="A882" i="1"/>
  <c r="A883" i="1"/>
  <c r="A884" i="1"/>
  <c r="C884" i="1" s="1"/>
  <c r="A885" i="1"/>
  <c r="A886" i="1"/>
  <c r="A887" i="1"/>
  <c r="A888" i="1"/>
  <c r="C888" i="1" s="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C923" i="1" s="1"/>
  <c r="A924" i="1"/>
  <c r="C924" i="1" s="1"/>
  <c r="A925" i="1"/>
  <c r="A926" i="1"/>
  <c r="A927" i="1"/>
  <c r="A928" i="1"/>
  <c r="C928" i="1" s="1"/>
  <c r="A929" i="1"/>
  <c r="A930" i="1"/>
  <c r="A931" i="1"/>
  <c r="C931" i="1" s="1"/>
  <c r="A932" i="1"/>
  <c r="C932" i="1" s="1"/>
  <c r="A933" i="1"/>
  <c r="A934" i="1"/>
  <c r="A935" i="1"/>
  <c r="A936" i="1"/>
  <c r="C936" i="1" s="1"/>
  <c r="A937" i="1"/>
  <c r="A938" i="1"/>
  <c r="A939" i="1"/>
  <c r="A940" i="1"/>
  <c r="C940" i="1" s="1"/>
  <c r="A941" i="1"/>
  <c r="A942" i="1"/>
  <c r="A943" i="1"/>
  <c r="A944" i="1"/>
  <c r="C944" i="1" s="1"/>
  <c r="A945" i="1"/>
  <c r="A946" i="1"/>
  <c r="A947" i="1"/>
  <c r="A948" i="1"/>
  <c r="C948" i="1" s="1"/>
  <c r="A949" i="1"/>
  <c r="A950" i="1"/>
  <c r="A951" i="1"/>
  <c r="A952" i="1"/>
  <c r="C952" i="1" s="1"/>
  <c r="A953" i="1"/>
  <c r="A954" i="1"/>
  <c r="A955" i="1"/>
  <c r="A956" i="1"/>
  <c r="C956" i="1" s="1"/>
  <c r="A957" i="1"/>
  <c r="A958" i="1"/>
  <c r="A959" i="1"/>
  <c r="A960" i="1"/>
  <c r="C960" i="1" s="1"/>
  <c r="A961" i="1"/>
  <c r="C961" i="1" s="1"/>
  <c r="A962" i="1"/>
  <c r="A963" i="1"/>
  <c r="A964" i="1"/>
  <c r="C964" i="1" s="1"/>
  <c r="A965" i="1"/>
  <c r="A966" i="1"/>
  <c r="A967" i="1"/>
  <c r="A968" i="1"/>
  <c r="C968" i="1" s="1"/>
  <c r="A969" i="1"/>
  <c r="C969" i="1" s="1"/>
  <c r="A970" i="1"/>
  <c r="A971" i="1"/>
  <c r="A972" i="1"/>
  <c r="C972" i="1" s="1"/>
  <c r="A973" i="1"/>
  <c r="C973" i="1" s="1"/>
  <c r="C962" i="1"/>
  <c r="C963" i="1"/>
  <c r="C965" i="1"/>
  <c r="C966" i="1"/>
  <c r="C967" i="1"/>
  <c r="C970" i="1"/>
  <c r="C971" i="1"/>
  <c r="A974" i="1"/>
  <c r="C974" i="1" s="1"/>
  <c r="A975" i="1"/>
  <c r="C975" i="1" s="1"/>
  <c r="A976" i="1"/>
  <c r="C976" i="1" s="1"/>
  <c r="A977" i="1"/>
  <c r="C977" i="1" s="1"/>
  <c r="A978" i="1"/>
  <c r="C978" i="1" s="1"/>
  <c r="A979" i="1"/>
  <c r="C979" i="1" s="1"/>
  <c r="A980" i="1"/>
  <c r="C980" i="1" s="1"/>
  <c r="A981" i="1"/>
  <c r="C981" i="1" s="1"/>
  <c r="A982" i="1"/>
  <c r="C982" i="1" s="1"/>
  <c r="H962" i="1"/>
  <c r="H961" i="1"/>
  <c r="H960" i="1"/>
  <c r="A53" i="6"/>
  <c r="A52" i="6"/>
  <c r="A51" i="6"/>
  <c r="H957" i="1"/>
  <c r="Q947"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H946" i="1"/>
  <c r="H943" i="1"/>
  <c r="H898" i="1"/>
  <c r="A41" i="6"/>
  <c r="A42" i="6"/>
  <c r="A43" i="6"/>
  <c r="A44" i="6"/>
  <c r="A45" i="6"/>
  <c r="A46" i="6"/>
  <c r="A47" i="6"/>
  <c r="A48" i="6"/>
  <c r="A49" i="6"/>
  <c r="A50" i="6"/>
  <c r="A40" i="6"/>
  <c r="H945" i="1"/>
  <c r="H942" i="1"/>
  <c r="H940" i="1"/>
  <c r="H938" i="1"/>
  <c r="H941" i="1"/>
  <c r="H939" i="1"/>
  <c r="H932" i="1"/>
  <c r="H936" i="1"/>
  <c r="H937" i="1"/>
  <c r="H944" i="1"/>
  <c r="H947" i="1"/>
  <c r="H949" i="1"/>
  <c r="H950" i="1"/>
  <c r="H951" i="1"/>
  <c r="H952" i="1"/>
  <c r="H953" i="1"/>
  <c r="H954" i="1"/>
  <c r="H955" i="1"/>
  <c r="H956" i="1"/>
  <c r="H935" i="1"/>
  <c r="A39" i="6"/>
  <c r="A38" i="6"/>
  <c r="H928" i="1"/>
  <c r="H930" i="1"/>
  <c r="H929" i="1"/>
  <c r="H927" i="1"/>
  <c r="A37" i="6"/>
  <c r="H761" i="1"/>
  <c r="H920" i="1"/>
  <c r="H919" i="1"/>
  <c r="H918" i="1"/>
  <c r="C922" i="1"/>
  <c r="C925" i="1"/>
  <c r="C926" i="1"/>
  <c r="C927" i="1"/>
  <c r="C929" i="1"/>
  <c r="C930" i="1"/>
  <c r="C933" i="1"/>
  <c r="C934" i="1"/>
  <c r="C935" i="1"/>
  <c r="C937" i="1"/>
  <c r="C938" i="1"/>
  <c r="C939" i="1"/>
  <c r="C941" i="1"/>
  <c r="C942" i="1"/>
  <c r="C943" i="1"/>
  <c r="C945" i="1"/>
  <c r="C946" i="1"/>
  <c r="C947" i="1"/>
  <c r="C949" i="1"/>
  <c r="C950" i="1"/>
  <c r="C951" i="1"/>
  <c r="C953" i="1"/>
  <c r="C954" i="1"/>
  <c r="C955" i="1"/>
  <c r="C957" i="1"/>
  <c r="C958" i="1"/>
  <c r="C959" i="1"/>
  <c r="H917" i="1"/>
  <c r="H916" i="1"/>
  <c r="H913" i="1"/>
  <c r="H911" i="1"/>
  <c r="H910" i="1"/>
  <c r="H908" i="1"/>
  <c r="H912" i="1"/>
  <c r="H914" i="1"/>
  <c r="H915" i="1"/>
  <c r="H921" i="1"/>
  <c r="H922" i="1"/>
  <c r="H923" i="1"/>
  <c r="H924" i="1"/>
  <c r="H925" i="1"/>
  <c r="H931" i="1"/>
  <c r="H933" i="1"/>
  <c r="H934" i="1"/>
  <c r="H907" i="1"/>
  <c r="H906" i="1"/>
  <c r="H903" i="1"/>
  <c r="H905" i="1"/>
  <c r="H902" i="1"/>
  <c r="C901" i="1"/>
  <c r="C902" i="1"/>
  <c r="C903" i="1"/>
  <c r="C904" i="1"/>
  <c r="C905" i="1"/>
  <c r="C906" i="1"/>
  <c r="C907" i="1"/>
  <c r="C908" i="1"/>
  <c r="C909" i="1"/>
  <c r="C910" i="1"/>
  <c r="C911" i="1"/>
  <c r="C912" i="1"/>
  <c r="C913" i="1"/>
  <c r="C914" i="1"/>
  <c r="C915" i="1"/>
  <c r="C916" i="1"/>
  <c r="C917" i="1"/>
  <c r="C918" i="1"/>
  <c r="C919" i="1"/>
  <c r="C920" i="1"/>
  <c r="C921" i="1"/>
  <c r="A14" i="6"/>
  <c r="A15" i="6"/>
  <c r="A16" i="6"/>
  <c r="A17" i="6"/>
  <c r="A18" i="6"/>
  <c r="A19" i="6"/>
  <c r="A20" i="6"/>
  <c r="A21" i="6"/>
  <c r="A22" i="6"/>
  <c r="A23" i="6"/>
  <c r="A24" i="6"/>
  <c r="A25" i="6"/>
  <c r="A26" i="6"/>
  <c r="A27" i="6"/>
  <c r="A28" i="6"/>
  <c r="A29" i="6"/>
  <c r="A30" i="6"/>
  <c r="A31" i="6"/>
  <c r="A32" i="6"/>
  <c r="A33" i="6"/>
  <c r="A34" i="6"/>
  <c r="A35" i="6"/>
  <c r="A36" i="6"/>
  <c r="H885" i="1"/>
  <c r="H899" i="1"/>
  <c r="H900" i="1"/>
  <c r="H901" i="1"/>
  <c r="H887" i="1"/>
  <c r="H888" i="1"/>
  <c r="H889" i="1"/>
  <c r="H890" i="1"/>
  <c r="H891" i="1"/>
  <c r="H892" i="1"/>
  <c r="H893" i="1"/>
  <c r="H894" i="1"/>
  <c r="H895" i="1"/>
  <c r="H896" i="1"/>
  <c r="H897" i="1"/>
  <c r="H886" i="1"/>
  <c r="C889" i="1"/>
  <c r="C890" i="1"/>
  <c r="C891" i="1"/>
  <c r="C892" i="1"/>
  <c r="C893" i="1"/>
  <c r="C894" i="1"/>
  <c r="C895" i="1"/>
  <c r="C896" i="1"/>
  <c r="C897" i="1"/>
  <c r="C898" i="1"/>
  <c r="C899" i="1"/>
  <c r="C900" i="1"/>
  <c r="A3" i="6"/>
  <c r="A4" i="6"/>
  <c r="A5" i="6"/>
  <c r="A6" i="6"/>
  <c r="A7" i="6"/>
  <c r="A8" i="6"/>
  <c r="A9" i="6"/>
  <c r="A10" i="6"/>
  <c r="A11" i="6"/>
  <c r="A12" i="6"/>
  <c r="A13" i="6"/>
  <c r="A2" i="6"/>
  <c r="H884" i="1"/>
  <c r="H807"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09" i="1"/>
  <c r="Q810" i="1"/>
  <c r="Q811" i="1"/>
  <c r="Q812" i="1"/>
  <c r="Q813"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H878" i="1"/>
  <c r="H877" i="1"/>
  <c r="H876" i="1"/>
  <c r="H875" i="1"/>
  <c r="H873" i="1"/>
  <c r="H874" i="1"/>
  <c r="H872" i="1"/>
  <c r="H871" i="1"/>
  <c r="H865" i="1"/>
  <c r="H863" i="1"/>
  <c r="H862" i="1"/>
  <c r="H857" i="1"/>
  <c r="H855" i="1"/>
  <c r="C814" i="1"/>
  <c r="H814" i="1"/>
  <c r="H853" i="1"/>
  <c r="H854" i="1"/>
  <c r="H856" i="1"/>
  <c r="H858" i="1"/>
  <c r="H859" i="1"/>
  <c r="H860" i="1"/>
  <c r="H861" i="1"/>
  <c r="H864" i="1"/>
  <c r="H866" i="1"/>
  <c r="H867" i="1"/>
  <c r="H868" i="1"/>
  <c r="H869" i="1"/>
  <c r="H870" i="1"/>
  <c r="H879" i="1"/>
  <c r="H880" i="1"/>
  <c r="H881" i="1"/>
  <c r="H882" i="1"/>
  <c r="H883" i="1"/>
  <c r="H850" i="1"/>
  <c r="H851" i="1"/>
  <c r="H849" i="1"/>
  <c r="H848" i="1"/>
  <c r="H847" i="1"/>
  <c r="H846" i="1"/>
  <c r="H845" i="1"/>
  <c r="H844" i="1"/>
  <c r="H836" i="1"/>
  <c r="H843" i="1"/>
  <c r="C853" i="1"/>
  <c r="C854" i="1"/>
  <c r="C855" i="1"/>
  <c r="C858" i="1"/>
  <c r="C859" i="1"/>
  <c r="C861" i="1"/>
  <c r="C862" i="1"/>
  <c r="C863" i="1"/>
  <c r="C866" i="1"/>
  <c r="C867" i="1"/>
  <c r="C869" i="1"/>
  <c r="C870" i="1"/>
  <c r="C871" i="1"/>
  <c r="C874" i="1"/>
  <c r="C875" i="1"/>
  <c r="C877" i="1"/>
  <c r="C878" i="1"/>
  <c r="C879" i="1"/>
  <c r="C882" i="1"/>
  <c r="C883" i="1"/>
  <c r="C885" i="1"/>
  <c r="C886" i="1"/>
  <c r="C887" i="1"/>
  <c r="H841" i="1"/>
  <c r="H840" i="1"/>
  <c r="H839" i="1"/>
  <c r="H832" i="1"/>
  <c r="H830" i="1"/>
  <c r="H833" i="1"/>
  <c r="H826" i="1"/>
  <c r="H825" i="1"/>
  <c r="H822" i="1"/>
  <c r="H823" i="1"/>
  <c r="H817" i="1"/>
  <c r="H816" i="1"/>
  <c r="H818" i="1"/>
  <c r="H815" i="1"/>
  <c r="H819" i="1"/>
  <c r="C818" i="1"/>
  <c r="C819" i="1"/>
  <c r="C821" i="1"/>
  <c r="C822" i="1"/>
  <c r="C823" i="1"/>
  <c r="C826" i="1"/>
  <c r="C827" i="1"/>
  <c r="C829" i="1"/>
  <c r="C830" i="1"/>
  <c r="C831" i="1"/>
  <c r="C834" i="1"/>
  <c r="C835" i="1"/>
  <c r="C837" i="1"/>
  <c r="C838" i="1"/>
  <c r="C839" i="1"/>
  <c r="C842" i="1"/>
  <c r="C843" i="1"/>
  <c r="C845" i="1"/>
  <c r="C846" i="1"/>
  <c r="C847" i="1"/>
  <c r="C850" i="1"/>
  <c r="C851" i="1"/>
  <c r="H782" i="1"/>
  <c r="H813" i="1"/>
  <c r="H820" i="1"/>
  <c r="H821" i="1"/>
  <c r="H824" i="1"/>
  <c r="H827" i="1"/>
  <c r="H828" i="1"/>
  <c r="H831" i="1"/>
  <c r="H834" i="1"/>
  <c r="H837" i="1"/>
  <c r="H812" i="1"/>
  <c r="H810" i="1"/>
  <c r="H811" i="1"/>
  <c r="H809" i="1"/>
  <c r="H808" i="1"/>
  <c r="H806" i="1"/>
  <c r="H805" i="1"/>
  <c r="H798" i="1"/>
  <c r="H799" i="1"/>
  <c r="H800" i="1"/>
  <c r="H801" i="1"/>
  <c r="H802" i="1"/>
  <c r="H803" i="1"/>
  <c r="H804" i="1"/>
  <c r="H797" i="1"/>
  <c r="H792" i="1"/>
  <c r="H791" i="1"/>
  <c r="H789" i="1"/>
  <c r="H788" i="1"/>
  <c r="H787" i="1"/>
  <c r="H786" i="1"/>
  <c r="H785" i="1"/>
  <c r="H783" i="1"/>
  <c r="H781" i="1"/>
  <c r="H796" i="1"/>
  <c r="H780" i="1"/>
  <c r="H784" i="1"/>
  <c r="H779" i="1"/>
  <c r="H778" i="1"/>
  <c r="H795" i="1"/>
  <c r="C813" i="1"/>
  <c r="C815" i="1"/>
  <c r="C798" i="1"/>
  <c r="C799" i="1"/>
  <c r="C801" i="1"/>
  <c r="C802" i="1"/>
  <c r="C803" i="1"/>
  <c r="C805" i="1"/>
  <c r="C806" i="1"/>
  <c r="C807" i="1"/>
  <c r="C810" i="1"/>
  <c r="C811" i="1"/>
  <c r="H777" i="1"/>
  <c r="H776" i="1"/>
  <c r="G773" i="1"/>
  <c r="H774" i="1"/>
  <c r="H775" i="1"/>
  <c r="H794" i="1"/>
  <c r="H773" i="1"/>
  <c r="H772" i="1"/>
  <c r="C769" i="1"/>
  <c r="C770" i="1"/>
  <c r="C771" i="1"/>
  <c r="C773" i="1"/>
  <c r="C774" i="1"/>
  <c r="C775" i="1"/>
  <c r="C777" i="1"/>
  <c r="C778" i="1"/>
  <c r="C779" i="1"/>
  <c r="C781" i="1"/>
  <c r="C782" i="1"/>
  <c r="C783" i="1"/>
  <c r="C785" i="1"/>
  <c r="C786" i="1"/>
  <c r="C787" i="1"/>
  <c r="C789" i="1"/>
  <c r="C790" i="1"/>
  <c r="C791" i="1"/>
  <c r="C794" i="1"/>
  <c r="C795" i="1"/>
  <c r="C797" i="1"/>
  <c r="H768" i="1"/>
  <c r="H765" i="1"/>
  <c r="H764" i="1"/>
  <c r="H763" i="1"/>
  <c r="H762" i="1"/>
  <c r="C762" i="1"/>
  <c r="H755" i="1"/>
  <c r="H754" i="1"/>
  <c r="C751" i="1"/>
  <c r="C754" i="1"/>
  <c r="C755" i="1"/>
  <c r="C757" i="1"/>
  <c r="C758" i="1"/>
  <c r="C759" i="1"/>
  <c r="C763" i="1"/>
  <c r="C764" i="1"/>
  <c r="C765" i="1"/>
  <c r="C766" i="1"/>
  <c r="C767" i="1"/>
  <c r="H771" i="1"/>
  <c r="H770" i="1"/>
  <c r="H769" i="1"/>
  <c r="H767" i="1"/>
  <c r="H766" i="1"/>
  <c r="H760" i="1"/>
  <c r="H758" i="1"/>
  <c r="H757" i="1"/>
  <c r="H756" i="1"/>
  <c r="H753" i="1"/>
  <c r="H752" i="1"/>
  <c r="H751" i="1"/>
  <c r="H750" i="1"/>
  <c r="H749" i="1"/>
  <c r="C750" i="1"/>
  <c r="H748" i="1"/>
  <c r="H744" i="1"/>
  <c r="H737" i="1"/>
  <c r="H738" i="1"/>
  <c r="H736" i="1"/>
  <c r="H734" i="1"/>
  <c r="H733" i="1"/>
  <c r="H732" i="1"/>
  <c r="H397" i="1"/>
  <c r="H721" i="1"/>
  <c r="H726" i="1"/>
  <c r="H725" i="1"/>
  <c r="H724" i="1"/>
  <c r="H727" i="1"/>
  <c r="H728" i="1"/>
  <c r="H729" i="1"/>
  <c r="H730" i="1"/>
  <c r="H731" i="1"/>
  <c r="H735" i="1"/>
  <c r="H739" i="1"/>
  <c r="H740" i="1"/>
  <c r="H742" i="1"/>
  <c r="H743" i="1"/>
  <c r="H745" i="1"/>
  <c r="H746" i="1"/>
  <c r="H747" i="1"/>
  <c r="H722" i="1"/>
  <c r="H723" i="1"/>
  <c r="C722" i="1"/>
  <c r="C723" i="1"/>
  <c r="C725" i="1"/>
  <c r="C726" i="1"/>
  <c r="C727" i="1"/>
  <c r="C730" i="1"/>
  <c r="C731" i="1"/>
  <c r="C733" i="1"/>
  <c r="C734" i="1"/>
  <c r="C735" i="1"/>
  <c r="C738" i="1"/>
  <c r="C739" i="1"/>
  <c r="C741" i="1"/>
  <c r="C742" i="1"/>
  <c r="C743" i="1"/>
  <c r="C746" i="1"/>
  <c r="C747" i="1"/>
  <c r="C749" i="1"/>
  <c r="C721" i="1"/>
  <c r="C720" i="1"/>
  <c r="H719" i="1"/>
  <c r="H718" i="1"/>
  <c r="H717" i="1"/>
  <c r="H716" i="1"/>
  <c r="H705" i="1"/>
  <c r="H715" i="1"/>
  <c r="H712" i="1"/>
  <c r="H711" i="1"/>
  <c r="H713" i="1"/>
  <c r="H714" i="1"/>
  <c r="H686" i="1"/>
  <c r="H709" i="1"/>
  <c r="H710" i="1"/>
  <c r="H708" i="1"/>
  <c r="H707" i="1"/>
  <c r="H706" i="1"/>
  <c r="H704" i="1"/>
  <c r="H703" i="1"/>
  <c r="H702" i="1"/>
  <c r="H701" i="1"/>
  <c r="H700" i="1"/>
  <c r="H699" i="1"/>
  <c r="H698" i="1"/>
  <c r="H697" i="1"/>
  <c r="H696" i="1"/>
  <c r="H694" i="1"/>
  <c r="H693" i="1"/>
  <c r="H692" i="1"/>
  <c r="H691" i="1"/>
  <c r="H689" i="1"/>
  <c r="H688" i="1"/>
  <c r="H687" i="1"/>
  <c r="H685" i="1"/>
  <c r="H684" i="1"/>
  <c r="H683" i="1"/>
  <c r="H682" i="1"/>
  <c r="H681" i="1"/>
  <c r="H680" i="1"/>
  <c r="H607" i="1"/>
  <c r="C688" i="1"/>
  <c r="C689" i="1"/>
  <c r="C690" i="1"/>
  <c r="C692" i="1"/>
  <c r="C693" i="1"/>
  <c r="C694" i="1"/>
  <c r="C696" i="1"/>
  <c r="C697" i="1"/>
  <c r="C698" i="1"/>
  <c r="C700" i="1"/>
  <c r="C701" i="1"/>
  <c r="C702" i="1"/>
  <c r="C704" i="1"/>
  <c r="C705" i="1"/>
  <c r="C706" i="1"/>
  <c r="C708" i="1"/>
  <c r="C709" i="1"/>
  <c r="C710" i="1"/>
  <c r="C712" i="1"/>
  <c r="C713" i="1"/>
  <c r="C714" i="1"/>
  <c r="C715" i="1"/>
  <c r="C716" i="1"/>
  <c r="C717" i="1"/>
  <c r="C718" i="1"/>
  <c r="C719" i="1"/>
  <c r="Q599" i="1"/>
  <c r="H599" i="1"/>
  <c r="H592" i="1"/>
  <c r="H591" i="1"/>
  <c r="H590" i="1"/>
  <c r="H589" i="1"/>
  <c r="H677" i="1"/>
  <c r="H674" i="1"/>
  <c r="C674" i="1"/>
  <c r="H577" i="1"/>
  <c r="H574" i="1"/>
  <c r="Q572" i="1"/>
  <c r="H572" i="1"/>
  <c r="H594" i="1"/>
  <c r="H593" i="1"/>
  <c r="H596" i="1"/>
  <c r="H595" i="1"/>
  <c r="H570" i="1"/>
  <c r="H576" i="1"/>
  <c r="Q560" i="1"/>
  <c r="Q561" i="1"/>
  <c r="Q562" i="1"/>
  <c r="Q563" i="1"/>
  <c r="Q564" i="1"/>
  <c r="Q565" i="1"/>
  <c r="Q566" i="1"/>
  <c r="Q567" i="1"/>
  <c r="Q568" i="1"/>
  <c r="Q569" i="1"/>
  <c r="Q570" i="1"/>
  <c r="Q571"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600" i="1"/>
  <c r="Q601" i="1"/>
  <c r="Q602" i="1"/>
  <c r="Q603" i="1"/>
  <c r="Q604" i="1"/>
  <c r="Q605" i="1"/>
  <c r="Q606" i="1"/>
  <c r="Q607" i="1"/>
  <c r="Q608" i="1"/>
  <c r="Q609" i="1"/>
  <c r="Q610" i="1"/>
  <c r="Q611" i="1"/>
  <c r="Q612" i="1"/>
  <c r="H669" i="1"/>
  <c r="H664" i="1"/>
  <c r="H663" i="1"/>
  <c r="H617" i="1"/>
  <c r="H652" i="1"/>
  <c r="H662" i="1"/>
  <c r="H665" i="1"/>
  <c r="H666" i="1"/>
  <c r="H667" i="1"/>
  <c r="H668" i="1"/>
  <c r="H670" i="1"/>
  <c r="H671" i="1"/>
  <c r="H672" i="1"/>
  <c r="H673" i="1"/>
  <c r="H678" i="1"/>
  <c r="H679" i="1"/>
  <c r="H661" i="1"/>
  <c r="Q615" i="1"/>
  <c r="H615" i="1"/>
  <c r="Q614" i="1"/>
  <c r="H614" i="1"/>
  <c r="C614" i="1"/>
  <c r="Q613" i="1"/>
  <c r="H613" i="1"/>
  <c r="H612" i="1"/>
  <c r="H653" i="1"/>
  <c r="H654" i="1"/>
  <c r="H655" i="1"/>
  <c r="H656" i="1"/>
  <c r="H657" i="1"/>
  <c r="H658" i="1"/>
  <c r="H659" i="1"/>
  <c r="H660" i="1"/>
  <c r="H651" i="1"/>
  <c r="H648" i="1"/>
  <c r="H649" i="1"/>
  <c r="H650" i="1"/>
  <c r="H647" i="1"/>
  <c r="H645" i="1"/>
  <c r="H643" i="1"/>
  <c r="H642" i="1"/>
  <c r="H640" i="1"/>
  <c r="H639" i="1"/>
  <c r="H638" i="1"/>
  <c r="H637" i="1"/>
  <c r="C651" i="1"/>
  <c r="C652" i="1"/>
  <c r="C653" i="1"/>
  <c r="C654" i="1"/>
  <c r="C655" i="1"/>
  <c r="C656" i="1"/>
  <c r="C657" i="1"/>
  <c r="C658" i="1"/>
  <c r="C659" i="1"/>
  <c r="C660" i="1"/>
  <c r="C661" i="1"/>
  <c r="C662" i="1"/>
  <c r="C664" i="1"/>
  <c r="C665" i="1"/>
  <c r="C666" i="1"/>
  <c r="C668" i="1"/>
  <c r="C669" i="1"/>
  <c r="C670" i="1"/>
  <c r="C672" i="1"/>
  <c r="C673" i="1"/>
  <c r="C676" i="1"/>
  <c r="C677" i="1"/>
  <c r="C678" i="1"/>
  <c r="C680" i="1"/>
  <c r="C681" i="1"/>
  <c r="C682" i="1"/>
  <c r="C684" i="1"/>
  <c r="C685" i="1"/>
  <c r="C686" i="1"/>
  <c r="H646" i="1"/>
  <c r="H644" i="1"/>
  <c r="H562" i="1"/>
  <c r="H563" i="1"/>
  <c r="H564" i="1"/>
  <c r="H565" i="1"/>
  <c r="H566" i="1"/>
  <c r="H567" i="1"/>
  <c r="H568" i="1"/>
  <c r="H569" i="1"/>
  <c r="H571" i="1"/>
  <c r="H573" i="1"/>
  <c r="H575" i="1"/>
  <c r="H579" i="1"/>
  <c r="H580" i="1"/>
  <c r="H581" i="1"/>
  <c r="H582" i="1"/>
  <c r="H584" i="1"/>
  <c r="H585" i="1"/>
  <c r="H587" i="1"/>
  <c r="H588" i="1"/>
  <c r="H597" i="1"/>
  <c r="H598" i="1"/>
  <c r="H600" i="1"/>
  <c r="H601" i="1"/>
  <c r="H602" i="1"/>
  <c r="H603" i="1"/>
  <c r="H604" i="1"/>
  <c r="H605" i="1"/>
  <c r="H606" i="1"/>
  <c r="H608" i="1"/>
  <c r="H609" i="1"/>
  <c r="H610" i="1"/>
  <c r="H611" i="1"/>
  <c r="H618" i="1"/>
  <c r="H619" i="1"/>
  <c r="H620" i="1"/>
  <c r="H621" i="1"/>
  <c r="H622" i="1"/>
  <c r="H623" i="1"/>
  <c r="H624" i="1"/>
  <c r="H625" i="1"/>
  <c r="H626" i="1"/>
  <c r="H627" i="1"/>
  <c r="H628" i="1"/>
  <c r="H629" i="1"/>
  <c r="H630" i="1"/>
  <c r="H631" i="1"/>
  <c r="H632" i="1"/>
  <c r="H633" i="1"/>
  <c r="H634" i="1"/>
  <c r="H635" i="1"/>
  <c r="H636" i="1"/>
  <c r="H641" i="1"/>
  <c r="C637" i="1"/>
  <c r="C638" i="1"/>
  <c r="C640" i="1"/>
  <c r="C641" i="1"/>
  <c r="C642" i="1"/>
  <c r="C644" i="1"/>
  <c r="C645" i="1"/>
  <c r="C646" i="1"/>
  <c r="C648" i="1"/>
  <c r="C649" i="1"/>
  <c r="C650" i="1"/>
  <c r="C526" i="1"/>
  <c r="C561" i="1"/>
  <c r="C562" i="1"/>
  <c r="C564" i="1"/>
  <c r="C565" i="1"/>
  <c r="C566" i="1"/>
  <c r="C568" i="1"/>
  <c r="C569" i="1"/>
  <c r="C570" i="1"/>
  <c r="C572" i="1"/>
  <c r="C573" i="1"/>
  <c r="C574" i="1"/>
  <c r="C576" i="1"/>
  <c r="C577" i="1"/>
  <c r="C578" i="1"/>
  <c r="C580" i="1"/>
  <c r="C581" i="1"/>
  <c r="C582" i="1"/>
  <c r="C584" i="1"/>
  <c r="C585" i="1"/>
  <c r="C586" i="1"/>
  <c r="C588" i="1"/>
  <c r="C589" i="1"/>
  <c r="C590" i="1"/>
  <c r="C592" i="1"/>
  <c r="C593" i="1"/>
  <c r="C594" i="1"/>
  <c r="C596" i="1"/>
  <c r="C597" i="1"/>
  <c r="C598" i="1"/>
  <c r="C600" i="1"/>
  <c r="C601" i="1"/>
  <c r="C602" i="1"/>
  <c r="C604" i="1"/>
  <c r="C605" i="1"/>
  <c r="C606" i="1"/>
  <c r="C608" i="1"/>
  <c r="C609" i="1"/>
  <c r="C610" i="1"/>
  <c r="C612" i="1"/>
  <c r="C613" i="1"/>
  <c r="C616" i="1"/>
  <c r="C617" i="1"/>
  <c r="C618" i="1"/>
  <c r="C620" i="1"/>
  <c r="C621" i="1"/>
  <c r="C622" i="1"/>
  <c r="C624" i="1"/>
  <c r="C625" i="1"/>
  <c r="C626" i="1"/>
  <c r="C628" i="1"/>
  <c r="C629" i="1"/>
  <c r="C630" i="1"/>
  <c r="C632" i="1"/>
  <c r="C633" i="1"/>
  <c r="C634" i="1"/>
  <c r="C636" i="1"/>
  <c r="C524" i="1"/>
  <c r="H517" i="1"/>
  <c r="H518" i="1"/>
  <c r="H519" i="1"/>
  <c r="H520" i="1"/>
  <c r="H521" i="1"/>
  <c r="H522" i="1"/>
  <c r="H523" i="1"/>
  <c r="H525" i="1"/>
  <c r="H526" i="1"/>
  <c r="H527" i="1"/>
  <c r="H528" i="1"/>
  <c r="H529" i="1"/>
  <c r="H530" i="1"/>
  <c r="H532" i="1"/>
  <c r="H533" i="1"/>
  <c r="H534" i="1"/>
  <c r="H535" i="1"/>
  <c r="H536" i="1"/>
  <c r="H542" i="1"/>
  <c r="H543" i="1"/>
  <c r="H544" i="1"/>
  <c r="H545" i="1"/>
  <c r="H546" i="1"/>
  <c r="H547" i="1"/>
  <c r="H548" i="1"/>
  <c r="H550" i="1"/>
  <c r="H552" i="1"/>
  <c r="H553" i="1"/>
  <c r="H554" i="1"/>
  <c r="H555" i="1"/>
  <c r="H556" i="1"/>
  <c r="H557" i="1"/>
  <c r="H559" i="1"/>
  <c r="H516" i="1"/>
  <c r="H508" i="1"/>
  <c r="H509" i="1"/>
  <c r="H510" i="1"/>
  <c r="H511" i="1"/>
  <c r="H512" i="1"/>
  <c r="H513" i="1"/>
  <c r="H514" i="1"/>
  <c r="H507" i="1"/>
  <c r="C560" i="1"/>
  <c r="H442" i="1"/>
  <c r="C558" i="1"/>
  <c r="C557" i="1"/>
  <c r="C556" i="1"/>
  <c r="C554" i="1"/>
  <c r="C553" i="1"/>
  <c r="C552" i="1"/>
  <c r="C550" i="1"/>
  <c r="C549" i="1"/>
  <c r="C548" i="1"/>
  <c r="C546" i="1"/>
  <c r="C545" i="1"/>
  <c r="C544" i="1"/>
  <c r="C542" i="1"/>
  <c r="Q540" i="1"/>
  <c r="Q541" i="1"/>
  <c r="Q542" i="1"/>
  <c r="Q543" i="1"/>
  <c r="Q544" i="1"/>
  <c r="Q545" i="1"/>
  <c r="Q546" i="1"/>
  <c r="Q547" i="1"/>
  <c r="Q548" i="1"/>
  <c r="Q549" i="1"/>
  <c r="Q550" i="1"/>
  <c r="Q551" i="1"/>
  <c r="Q552" i="1"/>
  <c r="Q553" i="1"/>
  <c r="Q554" i="1"/>
  <c r="Q555" i="1"/>
  <c r="Q556" i="1"/>
  <c r="Q557" i="1"/>
  <c r="Q558" i="1"/>
  <c r="Q559" i="1"/>
  <c r="C541" i="1"/>
  <c r="C540" i="1"/>
  <c r="C538" i="1"/>
  <c r="C537" i="1"/>
  <c r="C536" i="1"/>
  <c r="C534" i="1"/>
  <c r="C533" i="1"/>
  <c r="Q515" i="1"/>
  <c r="H515" i="1"/>
  <c r="C516" i="1"/>
  <c r="C517" i="1"/>
  <c r="C518" i="1"/>
  <c r="C520" i="1"/>
  <c r="C521" i="1"/>
  <c r="C525" i="1"/>
  <c r="C528" i="1"/>
  <c r="C529" i="1"/>
  <c r="C530" i="1"/>
  <c r="C532" i="1"/>
  <c r="C508" i="1"/>
  <c r="C509" i="1"/>
  <c r="C510" i="1"/>
  <c r="C512" i="1"/>
  <c r="C513" i="1"/>
  <c r="C514" i="1"/>
  <c r="C506" i="1"/>
  <c r="Q505" i="1"/>
  <c r="H505" i="1"/>
  <c r="Q504" i="1"/>
  <c r="H504" i="1"/>
  <c r="Q503" i="1"/>
  <c r="H503" i="1"/>
  <c r="Q502" i="1"/>
  <c r="H500" i="1"/>
  <c r="H495" i="1"/>
  <c r="H496" i="1"/>
  <c r="H497" i="1"/>
  <c r="H498" i="1"/>
  <c r="H499" i="1"/>
  <c r="H501" i="1"/>
  <c r="H493" i="1"/>
  <c r="H494" i="1"/>
  <c r="C505" i="1"/>
  <c r="C488" i="1"/>
  <c r="C489" i="1"/>
  <c r="C490" i="1"/>
  <c r="C492" i="1"/>
  <c r="C493" i="1"/>
  <c r="C494" i="1"/>
  <c r="C496" i="1"/>
  <c r="C497" i="1"/>
  <c r="C498" i="1"/>
  <c r="C500" i="1"/>
  <c r="C501" i="1"/>
  <c r="C502" i="1"/>
  <c r="C504" i="1"/>
  <c r="C486" i="1"/>
  <c r="Q485" i="1"/>
  <c r="H485" i="1"/>
  <c r="Q484" i="1"/>
  <c r="H484" i="1"/>
  <c r="Q483" i="1"/>
  <c r="H483" i="1"/>
  <c r="H486" i="1"/>
  <c r="H487" i="1"/>
  <c r="H488" i="1"/>
  <c r="H489" i="1"/>
  <c r="H490" i="1"/>
  <c r="H491" i="1"/>
  <c r="H492" i="1"/>
  <c r="H380" i="1"/>
  <c r="H381" i="1"/>
  <c r="H382" i="1"/>
  <c r="H383" i="1"/>
  <c r="H384" i="1"/>
  <c r="H385" i="1"/>
  <c r="Q479" i="1"/>
  <c r="H479" i="1"/>
  <c r="Q475" i="1"/>
  <c r="H475" i="1"/>
  <c r="Q476" i="1"/>
  <c r="Q477" i="1"/>
  <c r="Q478" i="1"/>
  <c r="Q480" i="1"/>
  <c r="Q481" i="1"/>
  <c r="Q482" i="1"/>
  <c r="Q486" i="1"/>
  <c r="Q487" i="1"/>
  <c r="Q488" i="1"/>
  <c r="Q489" i="1"/>
  <c r="Q490" i="1"/>
  <c r="Q491" i="1"/>
  <c r="Q492" i="1"/>
  <c r="Q493" i="1"/>
  <c r="Q494" i="1"/>
  <c r="Q495" i="1"/>
  <c r="Q496" i="1"/>
  <c r="Q497" i="1"/>
  <c r="Q498" i="1"/>
  <c r="Q499" i="1"/>
  <c r="Q500" i="1"/>
  <c r="Q501" i="1"/>
  <c r="Q507" i="1"/>
  <c r="Q508" i="1"/>
  <c r="Q509" i="1"/>
  <c r="Q510" i="1"/>
  <c r="Q511" i="1"/>
  <c r="Q512" i="1"/>
  <c r="Q513" i="1"/>
  <c r="Q514" i="1"/>
  <c r="Q516" i="1"/>
  <c r="Q517" i="1"/>
  <c r="Q518" i="1"/>
  <c r="Q519" i="1"/>
  <c r="Q520" i="1"/>
  <c r="Q521" i="1"/>
  <c r="Q522" i="1"/>
  <c r="Q523" i="1"/>
  <c r="Q525" i="1"/>
  <c r="Q526" i="1"/>
  <c r="Q527" i="1"/>
  <c r="Q528" i="1"/>
  <c r="Q529" i="1"/>
  <c r="Q530" i="1"/>
  <c r="Q531" i="1"/>
  <c r="Q532" i="1"/>
  <c r="Q533" i="1"/>
  <c r="Q534" i="1"/>
  <c r="Q535" i="1"/>
  <c r="Q536" i="1"/>
  <c r="Q537" i="1"/>
  <c r="Q538" i="1"/>
  <c r="Q539" i="1"/>
  <c r="Q474" i="1"/>
  <c r="H476" i="1"/>
  <c r="H477" i="1"/>
  <c r="H478" i="1"/>
  <c r="H480" i="1"/>
  <c r="H481" i="1"/>
  <c r="H482" i="1"/>
  <c r="H474" i="1"/>
  <c r="Q473" i="1"/>
  <c r="H473" i="1"/>
  <c r="Q469" i="1"/>
  <c r="H469" i="1"/>
  <c r="Q472" i="1"/>
  <c r="H472" i="1"/>
  <c r="Q471" i="1"/>
  <c r="H471" i="1"/>
  <c r="Q470" i="1"/>
  <c r="H470" i="1"/>
  <c r="Q468" i="1"/>
  <c r="H468" i="1"/>
  <c r="Q467" i="1"/>
  <c r="H467" i="1"/>
  <c r="Q465" i="1"/>
  <c r="H465" i="1"/>
  <c r="C465" i="1"/>
  <c r="C466" i="1"/>
  <c r="C468" i="1"/>
  <c r="C469" i="1"/>
  <c r="C470" i="1"/>
  <c r="C472" i="1"/>
  <c r="C473" i="1"/>
  <c r="C474" i="1"/>
  <c r="C476" i="1"/>
  <c r="C477" i="1"/>
  <c r="C478" i="1"/>
  <c r="C480" i="1"/>
  <c r="C481" i="1"/>
  <c r="C482" i="1"/>
  <c r="C484" i="1"/>
  <c r="C485" i="1"/>
  <c r="H461" i="1"/>
  <c r="H462" i="1"/>
  <c r="H463" i="1"/>
  <c r="H466" i="1"/>
  <c r="Q457" i="1"/>
  <c r="H457" i="1"/>
  <c r="H456" i="1"/>
  <c r="Q455" i="1"/>
  <c r="H455" i="1"/>
  <c r="Q447" i="1"/>
  <c r="H447" i="1"/>
  <c r="Q446" i="1"/>
  <c r="H446" i="1"/>
  <c r="Q438" i="1"/>
  <c r="H438" i="1"/>
  <c r="Q443" i="1"/>
  <c r="H443" i="1"/>
  <c r="Q440" i="1"/>
  <c r="H440" i="1"/>
  <c r="Q439" i="1"/>
  <c r="H439" i="1"/>
  <c r="Q434" i="1"/>
  <c r="H434" i="1"/>
  <c r="Q432" i="1"/>
  <c r="H432" i="1"/>
  <c r="H431" i="1"/>
  <c r="Q431" i="1"/>
  <c r="H425" i="1"/>
  <c r="H427" i="1"/>
  <c r="H428" i="1"/>
  <c r="H429" i="1"/>
  <c r="H430" i="1"/>
  <c r="H433" i="1"/>
  <c r="H435" i="1"/>
  <c r="H436" i="1"/>
  <c r="H437" i="1"/>
  <c r="H441" i="1"/>
  <c r="H444" i="1"/>
  <c r="H445" i="1"/>
  <c r="H448" i="1"/>
  <c r="H449" i="1"/>
  <c r="H450" i="1"/>
  <c r="H451" i="1"/>
  <c r="H452" i="1"/>
  <c r="H453" i="1"/>
  <c r="H454" i="1"/>
  <c r="H459" i="1"/>
  <c r="H460" i="1"/>
  <c r="Q424" i="1"/>
  <c r="Q425" i="1"/>
  <c r="Q426" i="1"/>
  <c r="Q427" i="1"/>
  <c r="Q428" i="1"/>
  <c r="Q429" i="1"/>
  <c r="Q430" i="1"/>
  <c r="Q433" i="1"/>
  <c r="Q435" i="1"/>
  <c r="Q436" i="1"/>
  <c r="Q437" i="1"/>
  <c r="Q441" i="1"/>
  <c r="Q442" i="1"/>
  <c r="Q444" i="1"/>
  <c r="Q445" i="1"/>
  <c r="Q448" i="1"/>
  <c r="Q449" i="1"/>
  <c r="Q450" i="1"/>
  <c r="Q451" i="1"/>
  <c r="Q452" i="1"/>
  <c r="Q453" i="1"/>
  <c r="Q454" i="1"/>
  <c r="Q456" i="1"/>
  <c r="Q458" i="1"/>
  <c r="Q459" i="1"/>
  <c r="Q460" i="1"/>
  <c r="Q461" i="1"/>
  <c r="Q462" i="1"/>
  <c r="Q463" i="1"/>
  <c r="Q464" i="1"/>
  <c r="Q466" i="1"/>
  <c r="Q423" i="1"/>
  <c r="Q422"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H418" i="1"/>
  <c r="H419" i="1"/>
  <c r="H420" i="1"/>
  <c r="H423" i="1"/>
  <c r="H424" i="1"/>
  <c r="Q415" i="1"/>
  <c r="Q416" i="1"/>
  <c r="Q417" i="1"/>
  <c r="Q418" i="1"/>
  <c r="Q419" i="1"/>
  <c r="Q420" i="1"/>
  <c r="Q421" i="1"/>
  <c r="H413" i="1"/>
  <c r="Q414" i="1"/>
  <c r="Q413" i="1"/>
  <c r="Q412" i="1"/>
  <c r="H412" i="1"/>
  <c r="Q411" i="1"/>
  <c r="H411" i="1"/>
  <c r="Q410" i="1"/>
  <c r="H410" i="1"/>
  <c r="Q409" i="1"/>
  <c r="Q408" i="1"/>
  <c r="H408" i="1"/>
  <c r="Q407" i="1"/>
  <c r="H407" i="1"/>
  <c r="Q406" i="1"/>
  <c r="H406" i="1"/>
  <c r="Q405" i="1"/>
  <c r="H405" i="1"/>
  <c r="Q404" i="1"/>
  <c r="H404" i="1"/>
  <c r="Q403" i="1"/>
  <c r="H403" i="1"/>
  <c r="Q402" i="1"/>
  <c r="Q399" i="1"/>
  <c r="Q400" i="1"/>
  <c r="Q401" i="1"/>
  <c r="Q398" i="1"/>
  <c r="H398" i="1"/>
  <c r="Q397" i="1"/>
  <c r="Q396" i="1"/>
  <c r="C395" i="1"/>
  <c r="Q395" i="1"/>
  <c r="Q394" i="1"/>
  <c r="Q393" i="1"/>
  <c r="Q392" i="1"/>
  <c r="Q391" i="1"/>
  <c r="Q390" i="1"/>
  <c r="Q389" i="1"/>
  <c r="Q388" i="1"/>
  <c r="H388" i="1"/>
  <c r="Q386" i="1"/>
  <c r="H386" i="1"/>
  <c r="Q387" i="1"/>
  <c r="H387" i="1"/>
  <c r="Q385" i="1"/>
  <c r="Q384" i="1"/>
  <c r="Q383" i="1"/>
  <c r="Q382" i="1"/>
  <c r="C396" i="1"/>
  <c r="C397" i="1"/>
  <c r="C398" i="1"/>
  <c r="C400" i="1"/>
  <c r="C401" i="1"/>
  <c r="C402" i="1"/>
  <c r="C404" i="1"/>
  <c r="C405" i="1"/>
  <c r="C406" i="1"/>
  <c r="C408" i="1"/>
  <c r="C409" i="1"/>
  <c r="C410" i="1"/>
  <c r="C412" i="1"/>
  <c r="C413" i="1"/>
  <c r="C414" i="1"/>
  <c r="C416" i="1"/>
  <c r="C417" i="1"/>
  <c r="C418" i="1"/>
  <c r="C420" i="1"/>
  <c r="C421" i="1"/>
  <c r="H389" i="1"/>
  <c r="H390" i="1"/>
  <c r="H391" i="1"/>
  <c r="H392" i="1"/>
  <c r="H394" i="1"/>
  <c r="H395" i="1"/>
  <c r="H396" i="1"/>
  <c r="H399" i="1"/>
  <c r="H400" i="1"/>
  <c r="H401" i="1"/>
  <c r="H402" i="1"/>
  <c r="H414" i="1"/>
  <c r="H415" i="1"/>
  <c r="H416" i="1"/>
  <c r="Q381" i="1"/>
  <c r="Q380" i="1"/>
  <c r="Q379" i="1"/>
  <c r="H379" i="1"/>
  <c r="Q378" i="1"/>
  <c r="H378" i="1"/>
  <c r="Q377" i="1"/>
  <c r="H377" i="1"/>
  <c r="Q376" i="1"/>
  <c r="Q374" i="1"/>
  <c r="Q375" i="1"/>
  <c r="H375" i="1"/>
  <c r="Q373" i="1"/>
  <c r="H373" i="1"/>
  <c r="Q372" i="1"/>
  <c r="H372" i="1"/>
  <c r="H371" i="1"/>
  <c r="Q371" i="1"/>
  <c r="Q370" i="1"/>
  <c r="H370" i="1"/>
  <c r="Q369" i="1"/>
  <c r="H369" i="1"/>
  <c r="Q368" i="1"/>
  <c r="H368" i="1"/>
  <c r="Q367" i="1"/>
  <c r="H367" i="1"/>
  <c r="Q366" i="1"/>
  <c r="H366" i="1"/>
  <c r="Q365" i="1"/>
  <c r="H216" i="1"/>
  <c r="C365" i="1"/>
  <c r="C366" i="1"/>
  <c r="C368" i="1"/>
  <c r="C369" i="1"/>
  <c r="C370" i="1"/>
  <c r="C372" i="1"/>
  <c r="C373" i="1"/>
  <c r="C374" i="1"/>
  <c r="C376" i="1"/>
  <c r="C377" i="1"/>
  <c r="C378" i="1"/>
  <c r="C380" i="1"/>
  <c r="C381" i="1"/>
  <c r="C382" i="1"/>
  <c r="C384" i="1"/>
  <c r="C385" i="1"/>
  <c r="C386" i="1"/>
  <c r="C388" i="1"/>
  <c r="C389" i="1"/>
  <c r="C390" i="1"/>
  <c r="C392" i="1"/>
  <c r="C393" i="1"/>
  <c r="C394" i="1"/>
  <c r="Q364" i="1"/>
  <c r="Q363" i="1"/>
  <c r="H364" i="1"/>
  <c r="H365" i="1"/>
  <c r="H374" i="1"/>
  <c r="Q361" i="1"/>
  <c r="Q362" i="1"/>
  <c r="Q360" i="1"/>
  <c r="Q358" i="1"/>
  <c r="Q359" i="1"/>
  <c r="Q357" i="1"/>
  <c r="Q356" i="1"/>
  <c r="Q355" i="1"/>
  <c r="Q354" i="1"/>
  <c r="C354" i="1"/>
  <c r="C356" i="1"/>
  <c r="C357" i="1"/>
  <c r="C358" i="1"/>
  <c r="C360" i="1"/>
  <c r="C361" i="1"/>
  <c r="C362" i="1"/>
  <c r="C364" i="1"/>
  <c r="Q353" i="1"/>
  <c r="Q352" i="1"/>
  <c r="Q351" i="1"/>
  <c r="Q350" i="1"/>
  <c r="Q349" i="1"/>
  <c r="Q348" i="1"/>
  <c r="Q347" i="1"/>
  <c r="Q346" i="1"/>
  <c r="Q345" i="1"/>
  <c r="Q344" i="1"/>
  <c r="Q343" i="1"/>
  <c r="Q342" i="1"/>
  <c r="Q341" i="1"/>
  <c r="Q340" i="1"/>
  <c r="H342" i="1"/>
  <c r="H343" i="1"/>
  <c r="H344" i="1"/>
  <c r="H345" i="1"/>
  <c r="H346" i="1"/>
  <c r="H347" i="1"/>
  <c r="H348" i="1"/>
  <c r="H349" i="1"/>
  <c r="H350" i="1"/>
  <c r="H351" i="1"/>
  <c r="H352" i="1"/>
  <c r="H353" i="1"/>
  <c r="H355" i="1"/>
  <c r="H356" i="1"/>
  <c r="H357" i="1"/>
  <c r="H358" i="1"/>
  <c r="H359" i="1"/>
  <c r="H360" i="1"/>
  <c r="H339" i="1"/>
  <c r="H340" i="1"/>
  <c r="Q339" i="1"/>
  <c r="Q338" i="1"/>
  <c r="Q337" i="1"/>
  <c r="Q336" i="1"/>
  <c r="Q335" i="1"/>
  <c r="Q334" i="1"/>
  <c r="Q333" i="1"/>
  <c r="Q332" i="1"/>
  <c r="C332" i="1"/>
  <c r="Q331" i="1"/>
  <c r="C333" i="1"/>
  <c r="C334" i="1"/>
  <c r="C336" i="1"/>
  <c r="C337" i="1"/>
  <c r="C338" i="1"/>
  <c r="C340" i="1"/>
  <c r="C341" i="1"/>
  <c r="C342" i="1"/>
  <c r="C344" i="1"/>
  <c r="C345" i="1"/>
  <c r="C346" i="1"/>
  <c r="C348" i="1"/>
  <c r="C349" i="1"/>
  <c r="C350" i="1"/>
  <c r="C352" i="1"/>
  <c r="C353" i="1"/>
  <c r="C330" i="1"/>
  <c r="Q330" i="1"/>
  <c r="H330" i="1"/>
  <c r="Q329" i="1"/>
  <c r="H329" i="1"/>
  <c r="Q328" i="1"/>
  <c r="H328" i="1"/>
  <c r="Q327" i="1"/>
  <c r="H327" i="1"/>
  <c r="Q325" i="1"/>
  <c r="Q326" i="1"/>
  <c r="Q324" i="1"/>
  <c r="Q323" i="1"/>
  <c r="Q322" i="1"/>
  <c r="H323" i="1"/>
  <c r="H324" i="1"/>
  <c r="H325" i="1"/>
  <c r="H326" i="1"/>
  <c r="H331" i="1"/>
  <c r="H332" i="1"/>
  <c r="H333" i="1"/>
  <c r="H334" i="1"/>
  <c r="H335" i="1"/>
  <c r="H337" i="1"/>
  <c r="H338" i="1"/>
  <c r="H322" i="1"/>
  <c r="Q317" i="1"/>
  <c r="Q318" i="1"/>
  <c r="Q319" i="1"/>
  <c r="Q320" i="1"/>
  <c r="Q321" i="1"/>
  <c r="H321" i="1"/>
  <c r="H320" i="1"/>
  <c r="H318" i="1"/>
  <c r="H319" i="1"/>
  <c r="Q316" i="1"/>
  <c r="Q315" i="1"/>
  <c r="Q314" i="1"/>
  <c r="H317" i="1"/>
  <c r="H316" i="1"/>
  <c r="H315" i="1"/>
  <c r="H314" i="1"/>
  <c r="Q313" i="1"/>
  <c r="H313" i="1"/>
  <c r="C313" i="1"/>
  <c r="Q312" i="1"/>
  <c r="Q311" i="1"/>
  <c r="Q310" i="1"/>
  <c r="Q309" i="1"/>
  <c r="C273" i="1"/>
  <c r="C279" i="1"/>
  <c r="C280" i="1"/>
  <c r="C281" i="1"/>
  <c r="C282" i="1"/>
  <c r="C283" i="1"/>
  <c r="C284" i="1"/>
  <c r="C294" i="1"/>
  <c r="C295" i="1"/>
  <c r="C297" i="1"/>
  <c r="C298" i="1"/>
  <c r="C299" i="1"/>
  <c r="C301" i="1"/>
  <c r="C302" i="1"/>
  <c r="C303" i="1"/>
  <c r="C305" i="1"/>
  <c r="C306" i="1"/>
  <c r="C307" i="1"/>
  <c r="C309" i="1"/>
  <c r="C310" i="1"/>
  <c r="C320" i="1"/>
  <c r="C321" i="1"/>
  <c r="C322" i="1"/>
  <c r="C324" i="1"/>
  <c r="C325" i="1"/>
  <c r="C326" i="1"/>
  <c r="C328" i="1"/>
  <c r="C329" i="1"/>
  <c r="Q307" i="1"/>
  <c r="Q308" i="1"/>
  <c r="Q299" i="1"/>
  <c r="Q300" i="1"/>
  <c r="Q301" i="1"/>
  <c r="Q302" i="1"/>
  <c r="Q303" i="1"/>
  <c r="Q304" i="1"/>
  <c r="Q305" i="1"/>
  <c r="Q306" i="1"/>
  <c r="Q296" i="1"/>
  <c r="Q298" i="1"/>
  <c r="Q297" i="1"/>
  <c r="Q295" i="1"/>
  <c r="Q294" i="1"/>
  <c r="Q279" i="1"/>
  <c r="Q280" i="1"/>
  <c r="Q281" i="1"/>
  <c r="Q282" i="1"/>
  <c r="Q283" i="1"/>
  <c r="Q284" i="1"/>
  <c r="Q285" i="1"/>
  <c r="Q286" i="1"/>
  <c r="Q287" i="1"/>
  <c r="Q288" i="1"/>
  <c r="Q289" i="1"/>
  <c r="Q290" i="1"/>
  <c r="Q291" i="1"/>
  <c r="Q292" i="1"/>
  <c r="Q293" i="1"/>
  <c r="H312" i="1"/>
  <c r="H311" i="1"/>
  <c r="H310" i="1"/>
  <c r="H309" i="1"/>
  <c r="H308" i="1"/>
  <c r="H307" i="1"/>
  <c r="H306" i="1"/>
  <c r="H305" i="1"/>
  <c r="H304" i="1"/>
  <c r="H303" i="1"/>
  <c r="H302" i="1"/>
  <c r="H301" i="1"/>
  <c r="H300" i="1"/>
  <c r="H298" i="1"/>
  <c r="H292" i="1"/>
  <c r="Q276" i="1"/>
  <c r="Q277" i="1"/>
  <c r="Q278" i="1"/>
  <c r="Q275" i="1"/>
  <c r="Q274" i="1"/>
  <c r="H253" i="1"/>
  <c r="Q273" i="1"/>
  <c r="Q271" i="1"/>
  <c r="Q272" i="1"/>
  <c r="Q270" i="1"/>
  <c r="Q263" i="1"/>
  <c r="Q264" i="1"/>
  <c r="Q265" i="1"/>
  <c r="Q266" i="1"/>
  <c r="Q267" i="1"/>
  <c r="Q268" i="1"/>
  <c r="Q269" i="1"/>
  <c r="Q262" i="1"/>
  <c r="Q253" i="1"/>
  <c r="Q254" i="1"/>
  <c r="Q255" i="1"/>
  <c r="Q256" i="1"/>
  <c r="Q257" i="1"/>
  <c r="Q258" i="1"/>
  <c r="Q259" i="1"/>
  <c r="Q260" i="1"/>
  <c r="Q261" i="1"/>
  <c r="Q240" i="1"/>
  <c r="Q241" i="1"/>
  <c r="Q242" i="1"/>
  <c r="Q243" i="1"/>
  <c r="Q244" i="1"/>
  <c r="Q245" i="1"/>
  <c r="Q246" i="1"/>
  <c r="Q247" i="1"/>
  <c r="Q248" i="1"/>
  <c r="Q249" i="1"/>
  <c r="Q250" i="1"/>
  <c r="Q251" i="1"/>
  <c r="Q252" i="1"/>
  <c r="H244" i="1"/>
  <c r="H245" i="1"/>
  <c r="C245" i="1"/>
  <c r="C246" i="1"/>
  <c r="C247" i="1"/>
  <c r="H247" i="1"/>
  <c r="H248" i="1"/>
  <c r="C249" i="1"/>
  <c r="H249" i="1"/>
  <c r="C250" i="1"/>
  <c r="H250" i="1"/>
  <c r="C251" i="1"/>
  <c r="H251" i="1"/>
  <c r="Q234" i="1"/>
  <c r="Q235" i="1"/>
  <c r="Q236" i="1"/>
  <c r="Q237" i="1"/>
  <c r="Q238" i="1"/>
  <c r="Q239" i="1"/>
  <c r="H238" i="1"/>
  <c r="H237" i="1"/>
  <c r="H236" i="1"/>
  <c r="C236" i="1"/>
  <c r="C235" i="1"/>
  <c r="H234" i="1"/>
  <c r="C234" i="1"/>
  <c r="Q233" i="1"/>
  <c r="Q101" i="1"/>
  <c r="H101" i="1"/>
  <c r="Q100" i="1"/>
  <c r="H100" i="1"/>
  <c r="Q192" i="1"/>
  <c r="Q193" i="1"/>
  <c r="Q194" i="1"/>
  <c r="Q195" i="1"/>
  <c r="Q196" i="1"/>
  <c r="Q197" i="1"/>
  <c r="Q198" i="1"/>
  <c r="Q199" i="1"/>
  <c r="C322" i="4"/>
  <c r="C321" i="4"/>
  <c r="C320" i="4"/>
  <c r="C319" i="4"/>
  <c r="C318" i="4"/>
  <c r="C317" i="4"/>
  <c r="C316" i="4"/>
  <c r="C315" i="4"/>
  <c r="C314" i="4"/>
  <c r="C313" i="4"/>
  <c r="C312" i="4"/>
  <c r="C311" i="4"/>
  <c r="C310" i="4"/>
  <c r="C309" i="4"/>
  <c r="C308" i="4"/>
  <c r="C307" i="4"/>
  <c r="C306" i="4"/>
  <c r="C305" i="4"/>
  <c r="C304" i="4"/>
  <c r="C303" i="4"/>
  <c r="C302" i="4"/>
  <c r="C301" i="4"/>
  <c r="C300" i="4"/>
  <c r="C299" i="4"/>
  <c r="C298" i="4"/>
  <c r="H297" i="4"/>
  <c r="C297" i="4"/>
  <c r="A297" i="4"/>
  <c r="H296" i="4"/>
  <c r="C296" i="4"/>
  <c r="A296" i="4"/>
  <c r="H295" i="4"/>
  <c r="C295" i="4"/>
  <c r="A295" i="4"/>
  <c r="H294" i="4"/>
  <c r="C294" i="4"/>
  <c r="A294" i="4"/>
  <c r="H293" i="4"/>
  <c r="C293" i="4"/>
  <c r="A293" i="4"/>
  <c r="H292" i="4"/>
  <c r="C292" i="4"/>
  <c r="A292" i="4"/>
  <c r="H291" i="4"/>
  <c r="C291" i="4"/>
  <c r="A291" i="4"/>
  <c r="H290" i="4"/>
  <c r="C290" i="4"/>
  <c r="A290" i="4"/>
  <c r="H289" i="4"/>
  <c r="C289" i="4"/>
  <c r="A289" i="4"/>
  <c r="H288" i="4"/>
  <c r="C288" i="4"/>
  <c r="A288" i="4"/>
  <c r="H287" i="4"/>
  <c r="C287" i="4"/>
  <c r="A287" i="4"/>
  <c r="H286" i="4"/>
  <c r="C286" i="4"/>
  <c r="A286" i="4"/>
  <c r="H285" i="4"/>
  <c r="C285" i="4"/>
  <c r="A285" i="4"/>
  <c r="H284" i="4"/>
  <c r="C284" i="4"/>
  <c r="A284" i="4"/>
  <c r="H283" i="4"/>
  <c r="C283" i="4"/>
  <c r="A283" i="4"/>
  <c r="H282" i="4"/>
  <c r="C282" i="4"/>
  <c r="A282" i="4"/>
  <c r="H281" i="4"/>
  <c r="C281" i="4"/>
  <c r="A281" i="4"/>
  <c r="H280" i="4"/>
  <c r="C280" i="4"/>
  <c r="A280" i="4"/>
  <c r="H279" i="4"/>
  <c r="C279" i="4"/>
  <c r="A279" i="4"/>
  <c r="H278" i="4"/>
  <c r="C278" i="4"/>
  <c r="A278" i="4"/>
  <c r="H277" i="4"/>
  <c r="C277" i="4"/>
  <c r="A277" i="4"/>
  <c r="H276" i="4"/>
  <c r="C276" i="4"/>
  <c r="A276" i="4"/>
  <c r="H275" i="4"/>
  <c r="C275" i="4"/>
  <c r="A275" i="4"/>
  <c r="H274" i="4"/>
  <c r="C274" i="4"/>
  <c r="A274" i="4"/>
  <c r="H273" i="4"/>
  <c r="C273" i="4"/>
  <c r="A273" i="4"/>
  <c r="H272" i="4"/>
  <c r="C272" i="4"/>
  <c r="A272" i="4"/>
  <c r="H271" i="4"/>
  <c r="C271" i="4"/>
  <c r="A271" i="4"/>
  <c r="H270" i="4"/>
  <c r="C270" i="4"/>
  <c r="A270" i="4"/>
  <c r="H269" i="4"/>
  <c r="C269" i="4"/>
  <c r="A269" i="4"/>
  <c r="H268" i="4"/>
  <c r="C268" i="4"/>
  <c r="A268" i="4"/>
  <c r="H267" i="4"/>
  <c r="C267" i="4"/>
  <c r="A267" i="4"/>
  <c r="H266" i="4"/>
  <c r="C266" i="4"/>
  <c r="A266" i="4"/>
  <c r="H265" i="4"/>
  <c r="C265" i="4"/>
  <c r="A265" i="4"/>
  <c r="H264" i="4"/>
  <c r="C264" i="4"/>
  <c r="A264" i="4"/>
  <c r="H263" i="4"/>
  <c r="C263" i="4"/>
  <c r="A263" i="4"/>
  <c r="H262" i="4"/>
  <c r="C262" i="4"/>
  <c r="A262" i="4"/>
  <c r="H261" i="4"/>
  <c r="C261" i="4"/>
  <c r="A261" i="4"/>
  <c r="H260" i="4"/>
  <c r="C260" i="4"/>
  <c r="A260" i="4"/>
  <c r="H259" i="4"/>
  <c r="C259" i="4"/>
  <c r="A259" i="4"/>
  <c r="H258" i="4"/>
  <c r="C258" i="4"/>
  <c r="A258" i="4"/>
  <c r="H257" i="4"/>
  <c r="C257" i="4"/>
  <c r="A257" i="4"/>
  <c r="H256" i="4"/>
  <c r="C256" i="4"/>
  <c r="A256" i="4"/>
  <c r="H255" i="4"/>
  <c r="C255" i="4"/>
  <c r="A255" i="4"/>
  <c r="H254" i="4"/>
  <c r="C254" i="4"/>
  <c r="A254" i="4"/>
  <c r="H253" i="4"/>
  <c r="C253" i="4"/>
  <c r="A253" i="4"/>
  <c r="H252" i="4"/>
  <c r="C252" i="4"/>
  <c r="A252" i="4"/>
  <c r="H251" i="4"/>
  <c r="C251" i="4"/>
  <c r="A251" i="4"/>
  <c r="H250" i="4"/>
  <c r="C250" i="4"/>
  <c r="A250" i="4"/>
  <c r="H249" i="4"/>
  <c r="C249" i="4"/>
  <c r="A249" i="4"/>
  <c r="H248" i="4"/>
  <c r="C248" i="4"/>
  <c r="A248" i="4"/>
  <c r="H247" i="4"/>
  <c r="C247" i="4"/>
  <c r="A247" i="4"/>
  <c r="H246" i="4"/>
  <c r="C246" i="4"/>
  <c r="A246" i="4"/>
  <c r="H245" i="4"/>
  <c r="C245" i="4"/>
  <c r="A245" i="4"/>
  <c r="H244" i="4"/>
  <c r="C244" i="4"/>
  <c r="A244" i="4"/>
  <c r="H243" i="4"/>
  <c r="C243" i="4"/>
  <c r="A243" i="4"/>
  <c r="H242" i="4"/>
  <c r="C242" i="4"/>
  <c r="A242" i="4"/>
  <c r="H241" i="4"/>
  <c r="C241" i="4"/>
  <c r="A241" i="4"/>
  <c r="H240" i="4"/>
  <c r="C240" i="4"/>
  <c r="A240" i="4"/>
  <c r="H239" i="4"/>
  <c r="C239" i="4"/>
  <c r="A239" i="4"/>
  <c r="H238" i="4"/>
  <c r="C238" i="4"/>
  <c r="A238" i="4"/>
  <c r="H237" i="4"/>
  <c r="C237" i="4"/>
  <c r="A237" i="4"/>
  <c r="H236" i="4"/>
  <c r="C236" i="4"/>
  <c r="A236" i="4"/>
  <c r="H235" i="4"/>
  <c r="C235" i="4"/>
  <c r="A235" i="4"/>
  <c r="H234" i="4"/>
  <c r="C234" i="4"/>
  <c r="A234" i="4"/>
  <c r="H233" i="4"/>
  <c r="C233" i="4"/>
  <c r="A233" i="4"/>
  <c r="Q232" i="4"/>
  <c r="H232" i="4"/>
  <c r="A232" i="4"/>
  <c r="C232" i="4" s="1"/>
  <c r="Q231" i="4"/>
  <c r="H231" i="4"/>
  <c r="A231" i="4"/>
  <c r="C231" i="4" s="1"/>
  <c r="Q230" i="4"/>
  <c r="H230" i="4"/>
  <c r="A230" i="4"/>
  <c r="C230" i="4" s="1"/>
  <c r="Q229" i="4"/>
  <c r="H229" i="4"/>
  <c r="A229" i="4"/>
  <c r="C229" i="4" s="1"/>
  <c r="Q228" i="4"/>
  <c r="H228" i="4"/>
  <c r="A228" i="4"/>
  <c r="C228" i="4" s="1"/>
  <c r="Q227" i="4"/>
  <c r="H227" i="4"/>
  <c r="A227" i="4"/>
  <c r="C227" i="4" s="1"/>
  <c r="Q226" i="4"/>
  <c r="H226" i="4"/>
  <c r="A226" i="4"/>
  <c r="C226" i="4" s="1"/>
  <c r="Q225" i="4"/>
  <c r="H225" i="4"/>
  <c r="A225" i="4"/>
  <c r="C225" i="4" s="1"/>
  <c r="Q224" i="4"/>
  <c r="H224" i="4"/>
  <c r="A224" i="4"/>
  <c r="C224" i="4" s="1"/>
  <c r="Q223" i="4"/>
  <c r="H223" i="4"/>
  <c r="A223" i="4"/>
  <c r="C223" i="4" s="1"/>
  <c r="Q222" i="4"/>
  <c r="H222" i="4"/>
  <c r="A222" i="4"/>
  <c r="C222" i="4" s="1"/>
  <c r="Q221" i="4"/>
  <c r="H221" i="4"/>
  <c r="A221" i="4"/>
  <c r="C221" i="4" s="1"/>
  <c r="Q220" i="4"/>
  <c r="H220" i="4"/>
  <c r="A220" i="4"/>
  <c r="C220" i="4" s="1"/>
  <c r="Q219" i="4"/>
  <c r="H219" i="4"/>
  <c r="A219" i="4"/>
  <c r="C219" i="4" s="1"/>
  <c r="Q218" i="4"/>
  <c r="H218" i="4"/>
  <c r="A218" i="4"/>
  <c r="C218" i="4" s="1"/>
  <c r="Q217" i="4"/>
  <c r="H217" i="4"/>
  <c r="A217" i="4"/>
  <c r="C217" i="4" s="1"/>
  <c r="Q216" i="4"/>
  <c r="H216" i="4"/>
  <c r="A216" i="4"/>
  <c r="C216" i="4" s="1"/>
  <c r="Q215" i="4"/>
  <c r="H215" i="4"/>
  <c r="A215" i="4"/>
  <c r="C215" i="4" s="1"/>
  <c r="Q214" i="4"/>
  <c r="H214" i="4"/>
  <c r="A214" i="4"/>
  <c r="C214" i="4" s="1"/>
  <c r="Q213" i="4"/>
  <c r="H213" i="4"/>
  <c r="A213" i="4"/>
  <c r="C213" i="4" s="1"/>
  <c r="Q212" i="4"/>
  <c r="H212" i="4"/>
  <c r="A212" i="4"/>
  <c r="C212" i="4" s="1"/>
  <c r="Q211" i="4"/>
  <c r="H211" i="4"/>
  <c r="A211" i="4"/>
  <c r="C211" i="4" s="1"/>
  <c r="Q210" i="4"/>
  <c r="H210" i="4"/>
  <c r="A210" i="4"/>
  <c r="C210" i="4" s="1"/>
  <c r="Q209" i="4"/>
  <c r="H209" i="4"/>
  <c r="A209" i="4"/>
  <c r="C209" i="4" s="1"/>
  <c r="Q208" i="4"/>
  <c r="H208" i="4"/>
  <c r="A208" i="4"/>
  <c r="C208" i="4" s="1"/>
  <c r="Q207" i="4"/>
  <c r="H207" i="4"/>
  <c r="A207" i="4"/>
  <c r="C207" i="4" s="1"/>
  <c r="Q206" i="4"/>
  <c r="H206" i="4"/>
  <c r="A206" i="4"/>
  <c r="C206" i="4" s="1"/>
  <c r="Q205" i="4"/>
  <c r="H205" i="4"/>
  <c r="A205" i="4"/>
  <c r="C205" i="4" s="1"/>
  <c r="Q204" i="4"/>
  <c r="H204" i="4"/>
  <c r="A204" i="4"/>
  <c r="C204" i="4" s="1"/>
  <c r="Q203" i="4"/>
  <c r="H203" i="4"/>
  <c r="A203" i="4"/>
  <c r="Q202" i="4"/>
  <c r="H202" i="4"/>
  <c r="A202" i="4"/>
  <c r="Q201" i="4"/>
  <c r="H201" i="4"/>
  <c r="A201" i="4"/>
  <c r="Q200" i="4"/>
  <c r="H200" i="4"/>
  <c r="A200" i="4"/>
  <c r="Q199" i="4"/>
  <c r="H199" i="4"/>
  <c r="A199" i="4"/>
  <c r="H198" i="4"/>
  <c r="H197" i="4"/>
  <c r="H196" i="4"/>
  <c r="H195" i="4"/>
  <c r="H194" i="4"/>
  <c r="H193" i="4"/>
  <c r="H192" i="4"/>
  <c r="C192" i="4"/>
  <c r="Q191" i="4"/>
  <c r="H191" i="4"/>
  <c r="Q190" i="4"/>
  <c r="H190" i="4"/>
  <c r="C190" i="4"/>
  <c r="Q189" i="4"/>
  <c r="H189" i="4"/>
  <c r="A189" i="4"/>
  <c r="Q188" i="4"/>
  <c r="H188" i="4"/>
  <c r="C188" i="4"/>
  <c r="Q187" i="4"/>
  <c r="H187" i="4"/>
  <c r="C187" i="4"/>
  <c r="Q186" i="4"/>
  <c r="H186" i="4"/>
  <c r="C186" i="4"/>
  <c r="Q185" i="4"/>
  <c r="H185" i="4"/>
  <c r="A185" i="4"/>
  <c r="C185" i="4" s="1"/>
  <c r="Q184" i="4"/>
  <c r="H184" i="4"/>
  <c r="A184" i="4"/>
  <c r="C184" i="4" s="1"/>
  <c r="Q183" i="4"/>
  <c r="H183" i="4"/>
  <c r="A183" i="4"/>
  <c r="C183" i="4" s="1"/>
  <c r="Q182" i="4"/>
  <c r="H182" i="4"/>
  <c r="A182" i="4"/>
  <c r="C182" i="4" s="1"/>
  <c r="Q181" i="4"/>
  <c r="H181" i="4"/>
  <c r="A181" i="4"/>
  <c r="C181" i="4" s="1"/>
  <c r="Q180" i="4"/>
  <c r="H180" i="4"/>
  <c r="A180" i="4"/>
  <c r="C180" i="4" s="1"/>
  <c r="Q179" i="4"/>
  <c r="H179" i="4"/>
  <c r="A179" i="4"/>
  <c r="C179" i="4" s="1"/>
  <c r="Q178" i="4"/>
  <c r="H178" i="4"/>
  <c r="A178" i="4"/>
  <c r="Q177" i="4"/>
  <c r="H177" i="4"/>
  <c r="A177" i="4"/>
  <c r="Q176" i="4"/>
  <c r="H176" i="4"/>
  <c r="A176" i="4"/>
  <c r="Q175" i="4"/>
  <c r="H175" i="4"/>
  <c r="A175" i="4"/>
  <c r="Q174" i="4"/>
  <c r="H174" i="4"/>
  <c r="A174" i="4"/>
  <c r="Q173" i="4"/>
  <c r="H173" i="4"/>
  <c r="A173" i="4"/>
  <c r="Q172" i="4"/>
  <c r="H172" i="4"/>
  <c r="A172" i="4"/>
  <c r="Q171" i="4"/>
  <c r="H171" i="4"/>
  <c r="A171" i="4"/>
  <c r="Q170" i="4"/>
  <c r="H170" i="4"/>
  <c r="A170" i="4"/>
  <c r="Q169" i="4"/>
  <c r="H169" i="4"/>
  <c r="A169" i="4"/>
  <c r="Q168" i="4"/>
  <c r="H168" i="4"/>
  <c r="A168" i="4"/>
  <c r="Q167" i="4"/>
  <c r="H167" i="4"/>
  <c r="A167" i="4"/>
  <c r="Q166" i="4"/>
  <c r="H166" i="4"/>
  <c r="A166" i="4"/>
  <c r="Q165" i="4"/>
  <c r="H165" i="4"/>
  <c r="A165" i="4"/>
  <c r="Q164" i="4"/>
  <c r="H164" i="4"/>
  <c r="A164" i="4"/>
  <c r="Q163" i="4"/>
  <c r="H163" i="4"/>
  <c r="A163" i="4"/>
  <c r="Q162" i="4"/>
  <c r="H162" i="4"/>
  <c r="A162" i="4"/>
  <c r="Q161" i="4"/>
  <c r="H161" i="4"/>
  <c r="A161" i="4"/>
  <c r="Q160" i="4"/>
  <c r="H160" i="4"/>
  <c r="A160" i="4"/>
  <c r="Q159" i="4"/>
  <c r="H159" i="4"/>
  <c r="A159" i="4"/>
  <c r="Q158" i="4"/>
  <c r="H158" i="4"/>
  <c r="A158" i="4"/>
  <c r="Q157" i="4"/>
  <c r="H157" i="4"/>
  <c r="A157" i="4"/>
  <c r="Q156" i="4"/>
  <c r="H156" i="4"/>
  <c r="A156" i="4"/>
  <c r="Q155" i="4"/>
  <c r="H155" i="4"/>
  <c r="A155" i="4"/>
  <c r="Q154" i="4"/>
  <c r="H154" i="4"/>
  <c r="A154" i="4"/>
  <c r="Q153" i="4"/>
  <c r="H153" i="4"/>
  <c r="A153" i="4"/>
  <c r="Q152" i="4"/>
  <c r="H152" i="4"/>
  <c r="A152" i="4"/>
  <c r="Q151" i="4"/>
  <c r="H151" i="4"/>
  <c r="A151" i="4"/>
  <c r="Q150" i="4"/>
  <c r="H150" i="4"/>
  <c r="A150" i="4"/>
  <c r="Q149" i="4"/>
  <c r="H149" i="4"/>
  <c r="A149" i="4"/>
  <c r="Q148" i="4"/>
  <c r="H148" i="4"/>
  <c r="A148" i="4"/>
  <c r="Q147" i="4"/>
  <c r="H147" i="4"/>
  <c r="A147" i="4"/>
  <c r="Q146" i="4"/>
  <c r="H146" i="4"/>
  <c r="A146" i="4"/>
  <c r="Q145" i="4"/>
  <c r="H145" i="4"/>
  <c r="A145" i="4"/>
  <c r="Q144" i="4"/>
  <c r="H144" i="4"/>
  <c r="A144" i="4"/>
  <c r="Q143" i="4"/>
  <c r="H143" i="4"/>
  <c r="A143" i="4"/>
  <c r="Q142" i="4"/>
  <c r="H142" i="4"/>
  <c r="A142" i="4"/>
  <c r="Q141" i="4"/>
  <c r="H141" i="4"/>
  <c r="A141" i="4"/>
  <c r="Q140" i="4"/>
  <c r="H140" i="4"/>
  <c r="A140" i="4"/>
  <c r="Q139" i="4"/>
  <c r="H139" i="4"/>
  <c r="A139" i="4"/>
  <c r="Q138" i="4"/>
  <c r="H138" i="4"/>
  <c r="A138" i="4"/>
  <c r="Q137" i="4"/>
  <c r="H137" i="4"/>
  <c r="A137" i="4"/>
  <c r="Q136" i="4"/>
  <c r="H136" i="4"/>
  <c r="A136" i="4"/>
  <c r="Q135" i="4"/>
  <c r="H135" i="4"/>
  <c r="A135" i="4"/>
  <c r="Q134" i="4"/>
  <c r="H134" i="4"/>
  <c r="A134" i="4"/>
  <c r="Q133" i="4"/>
  <c r="H133" i="4"/>
  <c r="A133" i="4"/>
  <c r="Q132" i="4"/>
  <c r="H132" i="4"/>
  <c r="A132" i="4"/>
  <c r="Q131" i="4"/>
  <c r="H131" i="4"/>
  <c r="A131" i="4"/>
  <c r="Q130" i="4"/>
  <c r="H130" i="4"/>
  <c r="A130" i="4"/>
  <c r="Q129" i="4"/>
  <c r="H129" i="4"/>
  <c r="A129" i="4"/>
  <c r="Q128" i="4"/>
  <c r="H128" i="4"/>
  <c r="A128" i="4"/>
  <c r="Q127" i="4"/>
  <c r="H127" i="4"/>
  <c r="A127" i="4"/>
  <c r="Q126" i="4"/>
  <c r="H126" i="4"/>
  <c r="A126" i="4"/>
  <c r="Q125" i="4"/>
  <c r="H125" i="4"/>
  <c r="A125" i="4"/>
  <c r="Q124" i="4"/>
  <c r="H124" i="4"/>
  <c r="A124" i="4"/>
  <c r="Q123" i="4"/>
  <c r="H123" i="4"/>
  <c r="A123" i="4"/>
  <c r="Q122" i="4"/>
  <c r="H122" i="4"/>
  <c r="A122" i="4"/>
  <c r="Q121" i="4"/>
  <c r="H121" i="4"/>
  <c r="A121" i="4"/>
  <c r="Q120" i="4"/>
  <c r="H120" i="4"/>
  <c r="A120" i="4"/>
  <c r="Q119" i="4"/>
  <c r="H119" i="4"/>
  <c r="A119" i="4"/>
  <c r="Q118" i="4"/>
  <c r="H118" i="4"/>
  <c r="A118" i="4"/>
  <c r="Q117" i="4"/>
  <c r="H117" i="4"/>
  <c r="A117" i="4"/>
  <c r="Q116" i="4"/>
  <c r="A116" i="4"/>
  <c r="Q115" i="4"/>
  <c r="H115" i="4"/>
  <c r="A115" i="4"/>
  <c r="Q114" i="4"/>
  <c r="H114" i="4"/>
  <c r="A114" i="4"/>
  <c r="Q113" i="4"/>
  <c r="H113" i="4"/>
  <c r="A113" i="4"/>
  <c r="Q112" i="4"/>
  <c r="H112" i="4"/>
  <c r="A112" i="4"/>
  <c r="Q111" i="4"/>
  <c r="H111" i="4"/>
  <c r="A111" i="4"/>
  <c r="Q110" i="4"/>
  <c r="H110" i="4"/>
  <c r="A110" i="4"/>
  <c r="Q109" i="4"/>
  <c r="H109" i="4"/>
  <c r="A109" i="4"/>
  <c r="Q108" i="4"/>
  <c r="H108" i="4"/>
  <c r="A108" i="4"/>
  <c r="Q107" i="4"/>
  <c r="H107" i="4"/>
  <c r="A107" i="4"/>
  <c r="Q106" i="4"/>
  <c r="H106" i="4"/>
  <c r="A106" i="4"/>
  <c r="Q105" i="4"/>
  <c r="H105" i="4"/>
  <c r="A105" i="4"/>
  <c r="Q104" i="4"/>
  <c r="H104" i="4"/>
  <c r="A104" i="4"/>
  <c r="Q103" i="4"/>
  <c r="H103" i="4"/>
  <c r="A103" i="4"/>
  <c r="Q102" i="4"/>
  <c r="H102" i="4"/>
  <c r="A102" i="4"/>
  <c r="Q101" i="4"/>
  <c r="H101" i="4"/>
  <c r="A101" i="4"/>
  <c r="Q100" i="4"/>
  <c r="H100" i="4"/>
  <c r="A100" i="4"/>
  <c r="Q99" i="4"/>
  <c r="H99" i="4"/>
  <c r="A99" i="4"/>
  <c r="Q98" i="4"/>
  <c r="H98" i="4"/>
  <c r="A98" i="4"/>
  <c r="Q97" i="4"/>
  <c r="H97" i="4"/>
  <c r="A97" i="4"/>
  <c r="Q96" i="4"/>
  <c r="H96" i="4"/>
  <c r="A96" i="4"/>
  <c r="Q95" i="4"/>
  <c r="H95" i="4"/>
  <c r="A95" i="4"/>
  <c r="Q94" i="4"/>
  <c r="H94" i="4"/>
  <c r="A94" i="4"/>
  <c r="Q93" i="4"/>
  <c r="H93" i="4"/>
  <c r="A93" i="4"/>
  <c r="Q92" i="4"/>
  <c r="H92" i="4"/>
  <c r="A92" i="4"/>
  <c r="Q91" i="4"/>
  <c r="H91" i="4"/>
  <c r="A91" i="4"/>
  <c r="Q90" i="4"/>
  <c r="H90" i="4"/>
  <c r="A90" i="4"/>
  <c r="Q89" i="4"/>
  <c r="H89" i="4"/>
  <c r="A89" i="4"/>
  <c r="Q88" i="4"/>
  <c r="H88" i="4"/>
  <c r="A88" i="4"/>
  <c r="Q87" i="4"/>
  <c r="H87" i="4"/>
  <c r="A87" i="4"/>
  <c r="Q86" i="4"/>
  <c r="H86" i="4"/>
  <c r="A86" i="4"/>
  <c r="Q85" i="4"/>
  <c r="H85" i="4"/>
  <c r="A85" i="4"/>
  <c r="Q84" i="4"/>
  <c r="H84" i="4"/>
  <c r="A84" i="4"/>
  <c r="Q83" i="4"/>
  <c r="H83" i="4"/>
  <c r="A83" i="4"/>
  <c r="Q82" i="4"/>
  <c r="H82" i="4"/>
  <c r="A82" i="4"/>
  <c r="Q81" i="4"/>
  <c r="H81" i="4"/>
  <c r="A81" i="4"/>
  <c r="Q80" i="4"/>
  <c r="H80" i="4"/>
  <c r="A80" i="4"/>
  <c r="Q79" i="4"/>
  <c r="H79" i="4"/>
  <c r="A79" i="4"/>
  <c r="Q78" i="4"/>
  <c r="H78" i="4"/>
  <c r="A78" i="4"/>
  <c r="Q77" i="4"/>
  <c r="H77" i="4"/>
  <c r="A77" i="4"/>
  <c r="Q76" i="4"/>
  <c r="H76" i="4"/>
  <c r="A76" i="4"/>
  <c r="Q75" i="4"/>
  <c r="H75" i="4"/>
  <c r="A75" i="4"/>
  <c r="Q74" i="4"/>
  <c r="H74" i="4"/>
  <c r="A74" i="4"/>
  <c r="Q73" i="4"/>
  <c r="H73" i="4"/>
  <c r="A73" i="4"/>
  <c r="Q72" i="4"/>
  <c r="H72" i="4"/>
  <c r="A72" i="4"/>
  <c r="Q71" i="4"/>
  <c r="H71" i="4"/>
  <c r="A71" i="4"/>
  <c r="Q70" i="4"/>
  <c r="H70" i="4"/>
  <c r="A70" i="4"/>
  <c r="Q69" i="4"/>
  <c r="H69" i="4"/>
  <c r="A69" i="4"/>
  <c r="Q68" i="4"/>
  <c r="H68" i="4"/>
  <c r="A68" i="4"/>
  <c r="Q67" i="4"/>
  <c r="H67" i="4"/>
  <c r="A67" i="4"/>
  <c r="Q66" i="4"/>
  <c r="H66" i="4"/>
  <c r="A66" i="4"/>
  <c r="Q65" i="4"/>
  <c r="H65" i="4"/>
  <c r="A65" i="4"/>
  <c r="Q64" i="4"/>
  <c r="H64" i="4"/>
  <c r="A64" i="4"/>
  <c r="Q63" i="4"/>
  <c r="H63" i="4"/>
  <c r="A63" i="4"/>
  <c r="Q62" i="4"/>
  <c r="H62" i="4"/>
  <c r="A62" i="4"/>
  <c r="Q61" i="4"/>
  <c r="H61" i="4"/>
  <c r="A61" i="4"/>
  <c r="Q60" i="4"/>
  <c r="H60" i="4"/>
  <c r="A60" i="4"/>
  <c r="Q59" i="4"/>
  <c r="H59" i="4"/>
  <c r="A59" i="4"/>
  <c r="Q58" i="4"/>
  <c r="H58" i="4"/>
  <c r="A58" i="4"/>
  <c r="Q57" i="4"/>
  <c r="H57" i="4"/>
  <c r="A57" i="4"/>
  <c r="Q56" i="4"/>
  <c r="H56" i="4"/>
  <c r="A56" i="4"/>
  <c r="Q55" i="4"/>
  <c r="H55" i="4"/>
  <c r="A55" i="4"/>
  <c r="Q54" i="4"/>
  <c r="H54" i="4"/>
  <c r="A54" i="4"/>
  <c r="Q53" i="4"/>
  <c r="H53" i="4"/>
  <c r="A53" i="4"/>
  <c r="Q52" i="4"/>
  <c r="H52" i="4"/>
  <c r="A52" i="4"/>
  <c r="Q51" i="4"/>
  <c r="H51" i="4"/>
  <c r="A51" i="4"/>
  <c r="Q50" i="4"/>
  <c r="H50" i="4"/>
  <c r="A50" i="4"/>
  <c r="Q49" i="4"/>
  <c r="H49" i="4"/>
  <c r="A49" i="4"/>
  <c r="Q48" i="4"/>
  <c r="H48" i="4"/>
  <c r="A48" i="4"/>
  <c r="Q47" i="4"/>
  <c r="H47" i="4"/>
  <c r="A47" i="4"/>
  <c r="Q46" i="4"/>
  <c r="H46" i="4"/>
  <c r="A46" i="4"/>
  <c r="Q45" i="4"/>
  <c r="H45" i="4"/>
  <c r="A45" i="4"/>
  <c r="Q44" i="4"/>
  <c r="A44" i="4"/>
  <c r="Q43" i="4"/>
  <c r="A43" i="4"/>
  <c r="Q42" i="4"/>
  <c r="H42" i="4"/>
  <c r="A42" i="4"/>
  <c r="Q41" i="4"/>
  <c r="H41" i="4"/>
  <c r="A41" i="4"/>
  <c r="Q40" i="4"/>
  <c r="H40" i="4"/>
  <c r="A40" i="4"/>
  <c r="Q39" i="4"/>
  <c r="H39" i="4"/>
  <c r="A39" i="4"/>
  <c r="Q38" i="4"/>
  <c r="H38" i="4"/>
  <c r="A38" i="4"/>
  <c r="Q37" i="4"/>
  <c r="H37" i="4"/>
  <c r="A37" i="4"/>
  <c r="Q36" i="4"/>
  <c r="H36" i="4"/>
  <c r="A36" i="4"/>
  <c r="Q35" i="4"/>
  <c r="H35" i="4"/>
  <c r="A35" i="4"/>
  <c r="Q34" i="4"/>
  <c r="H34" i="4"/>
  <c r="A34" i="4"/>
  <c r="Q33" i="4"/>
  <c r="H33" i="4"/>
  <c r="A33" i="4"/>
  <c r="Q32" i="4"/>
  <c r="H32" i="4"/>
  <c r="A32" i="4"/>
  <c r="Q31" i="4"/>
  <c r="H31" i="4"/>
  <c r="A31" i="4"/>
  <c r="Q30" i="4"/>
  <c r="H30" i="4"/>
  <c r="A30" i="4"/>
  <c r="Q29" i="4"/>
  <c r="H29" i="4"/>
  <c r="A29" i="4"/>
  <c r="Q28" i="4"/>
  <c r="H28" i="4"/>
  <c r="A28" i="4"/>
  <c r="Q27" i="4"/>
  <c r="H27" i="4"/>
  <c r="A27" i="4"/>
  <c r="Q26" i="4"/>
  <c r="H26" i="4"/>
  <c r="A26" i="4"/>
  <c r="Q25" i="4"/>
  <c r="H25" i="4"/>
  <c r="A25" i="4"/>
  <c r="Q24" i="4"/>
  <c r="H24" i="4"/>
  <c r="A24" i="4"/>
  <c r="Q23" i="4"/>
  <c r="H23" i="4"/>
  <c r="A23" i="4"/>
  <c r="Q22" i="4"/>
  <c r="H22" i="4"/>
  <c r="A22" i="4"/>
  <c r="Q21" i="4"/>
  <c r="H21" i="4"/>
  <c r="A21" i="4"/>
  <c r="Q20" i="4"/>
  <c r="H20" i="4"/>
  <c r="A20" i="4"/>
  <c r="Q19" i="4"/>
  <c r="H19" i="4"/>
  <c r="A19" i="4"/>
  <c r="Q18" i="4"/>
  <c r="H18" i="4"/>
  <c r="A18" i="4"/>
  <c r="Q17" i="4"/>
  <c r="H17" i="4"/>
  <c r="A17" i="4"/>
  <c r="Q16" i="4"/>
  <c r="H16" i="4"/>
  <c r="A16" i="4"/>
  <c r="Q15" i="4"/>
  <c r="H15" i="4"/>
  <c r="A15" i="4"/>
  <c r="Q14" i="4"/>
  <c r="H14" i="4"/>
  <c r="A14" i="4"/>
  <c r="Q13" i="4"/>
  <c r="H13" i="4"/>
  <c r="A13" i="4"/>
  <c r="Q12" i="4"/>
  <c r="H12" i="4"/>
  <c r="A12" i="4"/>
  <c r="Q11" i="4"/>
  <c r="H11" i="4"/>
  <c r="A11" i="4"/>
  <c r="Q10" i="4"/>
  <c r="H10" i="4"/>
  <c r="A10" i="4"/>
  <c r="Q9" i="4"/>
  <c r="H9" i="4"/>
  <c r="A9" i="4"/>
  <c r="Q8" i="4"/>
  <c r="H8" i="4"/>
  <c r="A8" i="4"/>
  <c r="Q7" i="4"/>
  <c r="H7" i="4"/>
  <c r="A7" i="4"/>
  <c r="Q6" i="4"/>
  <c r="H6" i="4"/>
  <c r="H1" i="4" s="1"/>
  <c r="I1" i="4" s="1"/>
  <c r="A6" i="4"/>
  <c r="Q5" i="4"/>
  <c r="H5" i="4"/>
  <c r="A5" i="4"/>
  <c r="Q4" i="4"/>
  <c r="H4" i="4"/>
  <c r="A4" i="4"/>
  <c r="Q3" i="4"/>
  <c r="H3" i="4"/>
  <c r="A3" i="4"/>
  <c r="Q232" i="1"/>
  <c r="Q231" i="1"/>
  <c r="Q230" i="1"/>
  <c r="Q229" i="1"/>
  <c r="Q228" i="1"/>
  <c r="Q227" i="1"/>
  <c r="Q226" i="1"/>
  <c r="Q225" i="1"/>
  <c r="Q224" i="1"/>
  <c r="Q223" i="1"/>
  <c r="Q220" i="1"/>
  <c r="Q221" i="1"/>
  <c r="Q222" i="1"/>
  <c r="Q219" i="1"/>
  <c r="Q204" i="1"/>
  <c r="Q205" i="1"/>
  <c r="Q206" i="1"/>
  <c r="Q207" i="1"/>
  <c r="Q208" i="1"/>
  <c r="Q209" i="1"/>
  <c r="Q210" i="1"/>
  <c r="Q211" i="1"/>
  <c r="Q212" i="1"/>
  <c r="Q213" i="1"/>
  <c r="Q214" i="1"/>
  <c r="Q215" i="1"/>
  <c r="Q216" i="1"/>
  <c r="Q217" i="1"/>
  <c r="Q218" i="1"/>
  <c r="H213" i="1"/>
  <c r="C212" i="1"/>
  <c r="H206" i="1"/>
  <c r="C233" i="1"/>
  <c r="C239" i="1"/>
  <c r="C311" i="1"/>
  <c r="C312" i="1"/>
  <c r="C314" i="1"/>
  <c r="C315" i="1"/>
  <c r="C316" i="1"/>
  <c r="C317" i="1"/>
  <c r="C318" i="1"/>
  <c r="Q203" i="1"/>
  <c r="H203" i="1"/>
  <c r="Q202" i="1"/>
  <c r="H202" i="1"/>
  <c r="Q201" i="1"/>
  <c r="H201" i="1"/>
  <c r="Q200" i="1"/>
  <c r="H200" i="1"/>
  <c r="H199" i="1"/>
  <c r="H198" i="1"/>
  <c r="H197" i="1"/>
  <c r="H196" i="1"/>
  <c r="H195" i="1"/>
  <c r="H194" i="1"/>
  <c r="Q191" i="1"/>
  <c r="H191" i="1"/>
  <c r="Q186" i="1"/>
  <c r="Q187" i="1"/>
  <c r="Q188" i="1"/>
  <c r="Q189" i="1"/>
  <c r="Q190" i="1"/>
  <c r="H189" i="1"/>
  <c r="C188" i="1"/>
  <c r="Q185"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3" i="1"/>
  <c r="C186" i="1"/>
  <c r="C187" i="1"/>
  <c r="C190" i="1"/>
  <c r="C192" i="1"/>
  <c r="C180" i="1"/>
  <c r="C181" i="1"/>
  <c r="C182" i="1"/>
  <c r="C183" i="1"/>
  <c r="C185"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3" i="1"/>
  <c r="H34" i="1"/>
  <c r="H35" i="1"/>
  <c r="H36" i="1"/>
  <c r="H37" i="1"/>
  <c r="H38" i="1"/>
  <c r="H39" i="1"/>
  <c r="H40" i="1"/>
  <c r="H41" i="1"/>
  <c r="H42"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5" i="1"/>
  <c r="H77" i="1"/>
  <c r="H78" i="1"/>
  <c r="H79" i="1"/>
  <c r="H80" i="1"/>
  <c r="H81" i="1"/>
  <c r="H82" i="1"/>
  <c r="H83" i="1"/>
  <c r="H84" i="1"/>
  <c r="H85" i="1"/>
  <c r="H86" i="1"/>
  <c r="H87" i="1"/>
  <c r="H88" i="1"/>
  <c r="H89" i="1"/>
  <c r="H91" i="1"/>
  <c r="H92" i="1"/>
  <c r="H93" i="1"/>
  <c r="H94" i="1"/>
  <c r="H95" i="1"/>
  <c r="H96" i="1"/>
  <c r="H97" i="1"/>
  <c r="H98" i="1"/>
  <c r="H99" i="1"/>
  <c r="H102" i="1"/>
  <c r="H103" i="1"/>
  <c r="H104" i="1"/>
  <c r="H105" i="1"/>
  <c r="H106" i="1"/>
  <c r="H107" i="1"/>
  <c r="H108" i="1"/>
  <c r="H109" i="1"/>
  <c r="H110" i="1"/>
  <c r="H111" i="1"/>
  <c r="H112" i="1"/>
  <c r="H113" i="1"/>
  <c r="H114" i="1"/>
  <c r="H115"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2" i="1"/>
  <c r="H153" i="1"/>
  <c r="H154" i="1"/>
  <c r="H155" i="1"/>
  <c r="H156"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90" i="1"/>
  <c r="H192" i="1"/>
  <c r="H204" i="1"/>
  <c r="H205" i="1"/>
  <c r="H207" i="1"/>
  <c r="H208" i="1"/>
  <c r="H209" i="1"/>
  <c r="H210" i="1"/>
  <c r="H211" i="1"/>
  <c r="H212" i="1"/>
  <c r="H214" i="1"/>
  <c r="H215" i="1"/>
  <c r="H217" i="1"/>
  <c r="H218" i="1"/>
  <c r="H219" i="1"/>
  <c r="H220" i="1"/>
  <c r="H221" i="1"/>
  <c r="H223" i="1"/>
  <c r="H224" i="1"/>
  <c r="H225" i="1"/>
  <c r="H226" i="1"/>
  <c r="H227" i="1"/>
  <c r="H228" i="1"/>
  <c r="H229" i="1"/>
  <c r="H230" i="1"/>
  <c r="H231" i="1"/>
  <c r="H232" i="1"/>
  <c r="H233" i="1"/>
  <c r="H235" i="1"/>
  <c r="H239" i="1"/>
  <c r="H240" i="1"/>
  <c r="H241" i="1"/>
  <c r="H242" i="1"/>
  <c r="H243" i="1"/>
  <c r="H256" i="1"/>
  <c r="H257" i="1"/>
  <c r="H258" i="1"/>
  <c r="H259" i="1"/>
  <c r="H260" i="1"/>
  <c r="H261" i="1"/>
  <c r="H262" i="1"/>
  <c r="H263" i="1"/>
  <c r="H264" i="1"/>
  <c r="H265" i="1"/>
  <c r="H266" i="1"/>
  <c r="H267" i="1"/>
  <c r="H268" i="1"/>
  <c r="H269" i="1"/>
  <c r="H270" i="1"/>
  <c r="H271" i="1"/>
  <c r="H272" i="1"/>
  <c r="H273" i="1"/>
  <c r="H274" i="1"/>
  <c r="H276" i="1"/>
  <c r="H279" i="1"/>
  <c r="H280" i="1"/>
  <c r="H281" i="1"/>
  <c r="H282" i="1"/>
  <c r="H284" i="1"/>
  <c r="H285" i="1"/>
  <c r="H286" i="1"/>
  <c r="H287" i="1"/>
  <c r="H288" i="1"/>
  <c r="H289" i="1"/>
  <c r="H290" i="1"/>
  <c r="H291" i="1"/>
  <c r="H293" i="1"/>
  <c r="H294" i="1"/>
  <c r="H295" i="1"/>
  <c r="H296" i="1"/>
  <c r="H297" i="1"/>
  <c r="H3" i="1"/>
  <c r="C179" i="1"/>
  <c r="C205" i="1"/>
  <c r="C206" i="1"/>
  <c r="C207" i="1"/>
  <c r="C209" i="1"/>
  <c r="C210" i="1"/>
  <c r="C211" i="1"/>
  <c r="C214" i="1"/>
  <c r="C215" i="1"/>
  <c r="C216" i="1"/>
  <c r="C218" i="1"/>
  <c r="C219" i="1"/>
  <c r="C220" i="1"/>
  <c r="C222" i="1"/>
  <c r="C223" i="1"/>
  <c r="C224" i="1"/>
  <c r="C226" i="1"/>
  <c r="C227" i="1"/>
  <c r="C228" i="1"/>
  <c r="C230" i="1"/>
  <c r="C231" i="1"/>
  <c r="C232" i="1"/>
  <c r="C241" i="1"/>
  <c r="C242" i="1"/>
  <c r="C243" i="1"/>
  <c r="C244" i="1"/>
  <c r="C253" i="1"/>
  <c r="C254" i="1"/>
  <c r="C255" i="1"/>
  <c r="C257" i="1"/>
  <c r="C258" i="1"/>
  <c r="C259" i="1"/>
  <c r="C260" i="1"/>
  <c r="C261" i="1"/>
  <c r="C262" i="1"/>
  <c r="C263" i="1"/>
  <c r="C265" i="1"/>
  <c r="C266" i="1"/>
  <c r="C267" i="1"/>
  <c r="C268" i="1"/>
  <c r="C269" i="1"/>
  <c r="C270" i="1"/>
  <c r="C271" i="1"/>
  <c r="C274" i="1"/>
  <c r="C275" i="1"/>
  <c r="C276" i="1"/>
  <c r="C277" i="1"/>
  <c r="C278" i="1"/>
  <c r="C285" i="1"/>
  <c r="C286" i="1"/>
  <c r="C287" i="1"/>
  <c r="C288" i="1"/>
  <c r="C289" i="1"/>
  <c r="C290" i="1"/>
  <c r="C291" i="1"/>
  <c r="C292" i="1"/>
  <c r="C293" i="1"/>
  <c r="B111" i="6" l="1"/>
  <c r="F111" i="6"/>
  <c r="M97" i="6"/>
  <c r="M98" i="6"/>
  <c r="M99" i="6"/>
  <c r="M100" i="6"/>
  <c r="M101" i="6"/>
  <c r="M102" i="6"/>
  <c r="M103" i="6"/>
  <c r="M104" i="6"/>
  <c r="M105" i="6"/>
  <c r="M106" i="6"/>
  <c r="M107" i="6"/>
  <c r="M109"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2" i="6"/>
  <c r="M108" i="6"/>
  <c r="M110" i="6"/>
  <c r="B112" i="6"/>
  <c r="B113" i="6"/>
  <c r="B114" i="6"/>
  <c r="B115" i="6"/>
  <c r="B116" i="6"/>
  <c r="B117" i="6"/>
  <c r="F97" i="6"/>
  <c r="G97" i="6"/>
  <c r="H97" i="6"/>
  <c r="I97" i="6"/>
  <c r="J97" i="6"/>
  <c r="K97" i="6"/>
  <c r="F98" i="6"/>
  <c r="G98" i="6"/>
  <c r="H98" i="6"/>
  <c r="I98" i="6"/>
  <c r="J98" i="6"/>
  <c r="K98" i="6"/>
  <c r="F99" i="6"/>
  <c r="G99" i="6"/>
  <c r="H99" i="6"/>
  <c r="I99" i="6"/>
  <c r="J99" i="6"/>
  <c r="K99" i="6"/>
  <c r="F100" i="6"/>
  <c r="G100" i="6"/>
  <c r="H100" i="6"/>
  <c r="I100" i="6"/>
  <c r="J100" i="6"/>
  <c r="K100" i="6"/>
  <c r="F101" i="6"/>
  <c r="G101" i="6"/>
  <c r="H101" i="6"/>
  <c r="I101" i="6"/>
  <c r="J101" i="6"/>
  <c r="K101" i="6"/>
  <c r="F102" i="6"/>
  <c r="G102" i="6"/>
  <c r="H102" i="6"/>
  <c r="I102" i="6"/>
  <c r="J102" i="6"/>
  <c r="K102" i="6"/>
  <c r="F103" i="6"/>
  <c r="G103" i="6"/>
  <c r="H103" i="6"/>
  <c r="I103" i="6"/>
  <c r="J103" i="6"/>
  <c r="K103" i="6"/>
  <c r="F104" i="6"/>
  <c r="G104" i="6"/>
  <c r="H104" i="6"/>
  <c r="I104" i="6"/>
  <c r="J104" i="6"/>
  <c r="K104" i="6"/>
  <c r="F105" i="6"/>
  <c r="G105" i="6"/>
  <c r="H105" i="6"/>
  <c r="I105" i="6"/>
  <c r="J105" i="6"/>
  <c r="K105" i="6"/>
  <c r="F106" i="6"/>
  <c r="G106" i="6"/>
  <c r="H106" i="6"/>
  <c r="I106" i="6"/>
  <c r="J106" i="6"/>
  <c r="K106" i="6"/>
  <c r="F107" i="6"/>
  <c r="G107" i="6"/>
  <c r="H107" i="6"/>
  <c r="I107" i="6"/>
  <c r="J107" i="6"/>
  <c r="K107" i="6"/>
  <c r="F108" i="6"/>
  <c r="G108" i="6"/>
  <c r="H108" i="6"/>
  <c r="I108" i="6"/>
  <c r="J108" i="6"/>
  <c r="K108" i="6"/>
  <c r="F109" i="6"/>
  <c r="G109" i="6"/>
  <c r="H109" i="6"/>
  <c r="I109" i="6"/>
  <c r="J109" i="6"/>
  <c r="K109" i="6"/>
  <c r="F110" i="6"/>
  <c r="G110" i="6"/>
  <c r="H110" i="6"/>
  <c r="I110" i="6"/>
  <c r="J110" i="6"/>
  <c r="K110" i="6"/>
  <c r="G111" i="6"/>
  <c r="H111" i="6"/>
  <c r="I111" i="6"/>
  <c r="J111" i="6"/>
  <c r="K111" i="6"/>
  <c r="F112" i="6"/>
  <c r="G112" i="6"/>
  <c r="H112" i="6"/>
  <c r="I112" i="6"/>
  <c r="J112" i="6"/>
  <c r="K112" i="6"/>
  <c r="F113" i="6"/>
  <c r="G113" i="6"/>
  <c r="H113" i="6"/>
  <c r="I113" i="6"/>
  <c r="J113" i="6"/>
  <c r="K113" i="6"/>
  <c r="F114" i="6"/>
  <c r="G114" i="6"/>
  <c r="H114" i="6"/>
  <c r="I114" i="6"/>
  <c r="J114" i="6"/>
  <c r="K114" i="6"/>
  <c r="F115" i="6"/>
  <c r="G115" i="6"/>
  <c r="H115" i="6"/>
  <c r="I115" i="6"/>
  <c r="J115" i="6"/>
  <c r="K115" i="6"/>
  <c r="F116" i="6"/>
  <c r="G116" i="6"/>
  <c r="H116" i="6"/>
  <c r="I116" i="6"/>
  <c r="J116" i="6"/>
  <c r="K116" i="6"/>
  <c r="H1" i="1"/>
  <c r="I1" i="1" s="1"/>
  <c r="L93" i="6"/>
  <c r="I93" i="6"/>
  <c r="I90" i="6"/>
  <c r="J91" i="6"/>
  <c r="H89" i="6"/>
  <c r="G88" i="6"/>
  <c r="L92" i="6"/>
  <c r="G96" i="6"/>
  <c r="I91" i="6"/>
  <c r="H90" i="6"/>
  <c r="G89" i="6"/>
  <c r="F88" i="6"/>
  <c r="K92" i="6"/>
  <c r="F96" i="6"/>
  <c r="J94" i="6"/>
  <c r="H93" i="6"/>
  <c r="F87" i="6"/>
  <c r="K94" i="6"/>
  <c r="H91" i="6"/>
  <c r="G90" i="6"/>
  <c r="F89" i="6"/>
  <c r="L87" i="6"/>
  <c r="J92" i="6"/>
  <c r="K95" i="6"/>
  <c r="I94" i="6"/>
  <c r="G93" i="6"/>
  <c r="G91" i="6"/>
  <c r="F90" i="6"/>
  <c r="L88" i="6"/>
  <c r="K87" i="6"/>
  <c r="I92" i="6"/>
  <c r="J95" i="6"/>
  <c r="H94" i="6"/>
  <c r="F93" i="6"/>
  <c r="F91" i="6"/>
  <c r="L89" i="6"/>
  <c r="K88" i="6"/>
  <c r="J87" i="6"/>
  <c r="H92" i="6"/>
  <c r="K96" i="6"/>
  <c r="I95" i="6"/>
  <c r="G94" i="6"/>
  <c r="L96" i="6"/>
  <c r="L90" i="6"/>
  <c r="K89" i="6"/>
  <c r="J88" i="6"/>
  <c r="I87" i="6"/>
  <c r="G92" i="6"/>
  <c r="J96" i="6"/>
  <c r="H95" i="6"/>
  <c r="F94" i="6"/>
  <c r="L95" i="6"/>
  <c r="L91" i="6"/>
  <c r="K90" i="6"/>
  <c r="J89" i="6"/>
  <c r="I88" i="6"/>
  <c r="H87" i="6"/>
  <c r="F92" i="6"/>
  <c r="I96" i="6"/>
  <c r="G95" i="6"/>
  <c r="K93" i="6"/>
  <c r="L94" i="6"/>
  <c r="K91" i="6"/>
  <c r="J90" i="6"/>
  <c r="I89" i="6"/>
  <c r="H88" i="6"/>
  <c r="G87" i="6"/>
  <c r="H96" i="6"/>
  <c r="F95" i="6"/>
  <c r="J93" i="6"/>
  <c r="L86" i="6"/>
  <c r="F86" i="6"/>
  <c r="G86" i="6"/>
  <c r="H86" i="6"/>
  <c r="I86" i="6"/>
  <c r="J86" i="6"/>
  <c r="K86" i="6"/>
  <c r="F85" i="6"/>
  <c r="G85" i="6"/>
  <c r="H85" i="6"/>
  <c r="I85" i="6"/>
  <c r="J85" i="6"/>
  <c r="K85" i="6"/>
  <c r="L85" i="6"/>
  <c r="F84" i="6"/>
  <c r="G84" i="6"/>
  <c r="H84" i="6"/>
  <c r="I84" i="6"/>
  <c r="J84" i="6"/>
  <c r="K84" i="6"/>
  <c r="L84" i="6"/>
  <c r="F83" i="6"/>
  <c r="G83" i="6"/>
  <c r="H83" i="6"/>
  <c r="I83" i="6"/>
  <c r="J83" i="6"/>
  <c r="K83" i="6"/>
  <c r="L83" i="6"/>
  <c r="F66" i="6"/>
  <c r="G66" i="6"/>
  <c r="H66" i="6"/>
  <c r="I66" i="6"/>
  <c r="J66" i="6"/>
  <c r="K66" i="6"/>
  <c r="L66" i="6"/>
  <c r="F67" i="6"/>
  <c r="G67" i="6"/>
  <c r="H67" i="6"/>
  <c r="I67" i="6"/>
  <c r="J67" i="6"/>
  <c r="K67" i="6"/>
  <c r="L67" i="6"/>
  <c r="F68" i="6"/>
  <c r="G68" i="6"/>
  <c r="H68" i="6"/>
  <c r="I68" i="6"/>
  <c r="J68" i="6"/>
  <c r="K68" i="6"/>
  <c r="L68" i="6"/>
  <c r="F69" i="6"/>
  <c r="G69" i="6"/>
  <c r="H69" i="6"/>
  <c r="I69" i="6"/>
  <c r="J69" i="6"/>
  <c r="K69" i="6"/>
  <c r="L69" i="6"/>
  <c r="F70" i="6"/>
  <c r="G70" i="6"/>
  <c r="H70" i="6"/>
  <c r="I70" i="6"/>
  <c r="J70" i="6"/>
  <c r="K70" i="6"/>
  <c r="L70" i="6"/>
  <c r="F71" i="6"/>
  <c r="G71" i="6"/>
  <c r="H71" i="6"/>
  <c r="I71" i="6"/>
  <c r="J71" i="6"/>
  <c r="K71" i="6"/>
  <c r="L71" i="6"/>
  <c r="F72" i="6"/>
  <c r="G72" i="6"/>
  <c r="H72" i="6"/>
  <c r="I72" i="6"/>
  <c r="J72" i="6"/>
  <c r="K72" i="6"/>
  <c r="L72" i="6"/>
  <c r="F73" i="6"/>
  <c r="G73" i="6"/>
  <c r="H73" i="6"/>
  <c r="I73" i="6"/>
  <c r="J73" i="6"/>
  <c r="K73" i="6"/>
  <c r="L73" i="6"/>
  <c r="F74" i="6"/>
  <c r="G74" i="6"/>
  <c r="H74" i="6"/>
  <c r="I74" i="6"/>
  <c r="J74" i="6"/>
  <c r="K74" i="6"/>
  <c r="L74" i="6"/>
  <c r="F75" i="6"/>
  <c r="G75" i="6"/>
  <c r="H75" i="6"/>
  <c r="I75" i="6"/>
  <c r="J75" i="6"/>
  <c r="K75" i="6"/>
  <c r="L75" i="6"/>
  <c r="F76" i="6"/>
  <c r="G76" i="6"/>
  <c r="H76" i="6"/>
  <c r="I76" i="6"/>
  <c r="J76" i="6"/>
  <c r="K76" i="6"/>
  <c r="L76" i="6"/>
  <c r="F77" i="6"/>
  <c r="G77" i="6"/>
  <c r="H77" i="6"/>
  <c r="I77" i="6"/>
  <c r="J77" i="6"/>
  <c r="K77" i="6"/>
  <c r="L77" i="6"/>
  <c r="F78" i="6"/>
  <c r="G78" i="6"/>
  <c r="H78" i="6"/>
  <c r="I78" i="6"/>
  <c r="J78" i="6"/>
  <c r="K78" i="6"/>
  <c r="L78" i="6"/>
  <c r="F79" i="6"/>
  <c r="G79" i="6"/>
  <c r="H79" i="6"/>
  <c r="I79" i="6"/>
  <c r="J79" i="6"/>
  <c r="K79" i="6"/>
  <c r="L79" i="6"/>
  <c r="F80" i="6"/>
  <c r="G80" i="6"/>
  <c r="H80" i="6"/>
  <c r="I80" i="6"/>
  <c r="J80" i="6"/>
  <c r="K80" i="6"/>
  <c r="L80" i="6"/>
  <c r="F81" i="6"/>
  <c r="G81" i="6"/>
  <c r="H81" i="6"/>
  <c r="I81" i="6"/>
  <c r="J81" i="6"/>
  <c r="K81" i="6"/>
  <c r="L81" i="6"/>
  <c r="F82" i="6"/>
  <c r="G82" i="6"/>
  <c r="H82" i="6"/>
  <c r="I82" i="6"/>
  <c r="J82" i="6"/>
  <c r="K82" i="6"/>
  <c r="L82" i="6"/>
  <c r="F63" i="6"/>
  <c r="G63" i="6"/>
  <c r="H63" i="6"/>
  <c r="I63" i="6"/>
  <c r="J63" i="6"/>
  <c r="K63" i="6"/>
  <c r="L63" i="6"/>
  <c r="F64" i="6"/>
  <c r="G64" i="6"/>
  <c r="H64" i="6"/>
  <c r="I64" i="6"/>
  <c r="J64" i="6"/>
  <c r="K64" i="6"/>
  <c r="L64" i="6"/>
  <c r="F65" i="6"/>
  <c r="G65" i="6"/>
  <c r="H65" i="6"/>
  <c r="I65" i="6"/>
  <c r="J65" i="6"/>
  <c r="K65" i="6"/>
  <c r="L65" i="6"/>
  <c r="F62" i="6"/>
  <c r="G62" i="6"/>
  <c r="H62" i="6"/>
  <c r="I62" i="6"/>
  <c r="J62" i="6"/>
  <c r="K62" i="6"/>
  <c r="L62" i="6"/>
  <c r="F61" i="6"/>
  <c r="G61" i="6"/>
  <c r="H61" i="6"/>
  <c r="I61" i="6"/>
  <c r="J61" i="6"/>
  <c r="K61" i="6"/>
  <c r="L61" i="6"/>
  <c r="L59" i="6"/>
  <c r="L60" i="6"/>
  <c r="F60" i="6"/>
  <c r="G60" i="6"/>
  <c r="H60" i="6"/>
  <c r="I60" i="6"/>
  <c r="J60" i="6"/>
  <c r="K60" i="6"/>
  <c r="F59" i="6"/>
  <c r="G59" i="6"/>
  <c r="H59" i="6"/>
  <c r="I59" i="6"/>
  <c r="J59" i="6"/>
  <c r="K59" i="6"/>
  <c r="F58" i="6"/>
  <c r="G58" i="6"/>
  <c r="H58" i="6"/>
  <c r="I58" i="6"/>
  <c r="J58" i="6"/>
  <c r="K58" i="6"/>
  <c r="L58" i="6"/>
  <c r="F55" i="6"/>
  <c r="G55" i="6"/>
  <c r="H55" i="6"/>
  <c r="I55" i="6"/>
  <c r="J55" i="6"/>
  <c r="K55" i="6"/>
  <c r="L55" i="6"/>
  <c r="F56" i="6"/>
  <c r="G56" i="6"/>
  <c r="H56" i="6"/>
  <c r="I56" i="6"/>
  <c r="J56" i="6"/>
  <c r="K56" i="6"/>
  <c r="L56" i="6"/>
  <c r="F57" i="6"/>
  <c r="G57" i="6"/>
  <c r="H57" i="6"/>
  <c r="I57" i="6"/>
  <c r="J57" i="6"/>
  <c r="K57" i="6"/>
  <c r="L57" i="6"/>
  <c r="F54" i="6"/>
  <c r="G54" i="6"/>
  <c r="H54" i="6"/>
  <c r="I54" i="6"/>
  <c r="J54" i="6"/>
  <c r="K54" i="6"/>
  <c r="L54" i="6"/>
  <c r="L47" i="6"/>
  <c r="L48" i="6"/>
  <c r="L49" i="6"/>
  <c r="L50" i="6"/>
  <c r="L51" i="6"/>
  <c r="L52" i="6"/>
  <c r="L53" i="6"/>
  <c r="F49" i="6"/>
  <c r="G49" i="6"/>
  <c r="H49" i="6"/>
  <c r="I49" i="6"/>
  <c r="J49" i="6"/>
  <c r="K49" i="6"/>
  <c r="F50" i="6"/>
  <c r="G50" i="6"/>
  <c r="H50" i="6"/>
  <c r="I50" i="6"/>
  <c r="J50" i="6"/>
  <c r="K50" i="6"/>
  <c r="F51" i="6"/>
  <c r="G51" i="6"/>
  <c r="H51" i="6"/>
  <c r="I51" i="6"/>
  <c r="J51" i="6"/>
  <c r="K51" i="6"/>
  <c r="F52" i="6"/>
  <c r="G52" i="6"/>
  <c r="H52" i="6"/>
  <c r="I52" i="6"/>
  <c r="J52" i="6"/>
  <c r="K52" i="6"/>
  <c r="F53" i="6"/>
  <c r="G53" i="6"/>
  <c r="H53" i="6"/>
  <c r="I53" i="6"/>
  <c r="J53" i="6"/>
  <c r="K53" i="6"/>
  <c r="L46" i="6"/>
  <c r="F47" i="6"/>
  <c r="G47" i="6"/>
  <c r="H47" i="6"/>
  <c r="I47" i="6"/>
  <c r="J47" i="6"/>
  <c r="K47" i="6"/>
  <c r="F48" i="6"/>
  <c r="G48" i="6"/>
  <c r="H48" i="6"/>
  <c r="I48" i="6"/>
  <c r="K48" i="6"/>
  <c r="F46" i="6"/>
  <c r="G46" i="6"/>
  <c r="H46" i="6"/>
  <c r="I46" i="6"/>
  <c r="J46" i="6"/>
  <c r="K46" i="6"/>
  <c r="G3" i="6"/>
  <c r="H3" i="6"/>
  <c r="I3" i="6"/>
  <c r="J3" i="6"/>
  <c r="K3" i="6"/>
  <c r="L3" i="6"/>
  <c r="G4" i="6"/>
  <c r="H4" i="6"/>
  <c r="I4" i="6"/>
  <c r="J4" i="6"/>
  <c r="K4" i="6"/>
  <c r="L4" i="6"/>
  <c r="G5" i="6"/>
  <c r="H5" i="6"/>
  <c r="I5" i="6"/>
  <c r="J5" i="6"/>
  <c r="K5" i="6"/>
  <c r="L5" i="6"/>
  <c r="G6" i="6"/>
  <c r="H6" i="6"/>
  <c r="I6" i="6"/>
  <c r="J6" i="6"/>
  <c r="K6" i="6"/>
  <c r="L6" i="6"/>
  <c r="G7" i="6"/>
  <c r="H7" i="6"/>
  <c r="I7" i="6"/>
  <c r="J7" i="6"/>
  <c r="K7" i="6"/>
  <c r="L7" i="6"/>
  <c r="G8" i="6"/>
  <c r="H8" i="6"/>
  <c r="I8" i="6"/>
  <c r="K8" i="6"/>
  <c r="L8" i="6"/>
  <c r="G9" i="6"/>
  <c r="H9" i="6"/>
  <c r="I9" i="6"/>
  <c r="J9" i="6"/>
  <c r="K9" i="6"/>
  <c r="L9" i="6"/>
  <c r="G10" i="6"/>
  <c r="H10" i="6"/>
  <c r="I10" i="6"/>
  <c r="J10" i="6"/>
  <c r="K10" i="6"/>
  <c r="L10" i="6"/>
  <c r="G11" i="6"/>
  <c r="H11" i="6"/>
  <c r="I11" i="6"/>
  <c r="K11" i="6"/>
  <c r="G12" i="6"/>
  <c r="H12" i="6"/>
  <c r="I12" i="6"/>
  <c r="J12" i="6"/>
  <c r="K12" i="6"/>
  <c r="L12" i="6"/>
  <c r="G13" i="6"/>
  <c r="H13" i="6"/>
  <c r="I13" i="6"/>
  <c r="K13" i="6"/>
  <c r="L13" i="6"/>
  <c r="G14" i="6"/>
  <c r="H14" i="6"/>
  <c r="I14" i="6"/>
  <c r="J14" i="6"/>
  <c r="K14" i="6"/>
  <c r="L14" i="6"/>
  <c r="G15" i="6"/>
  <c r="H15" i="6"/>
  <c r="I15" i="6"/>
  <c r="J15" i="6"/>
  <c r="K15" i="6"/>
  <c r="L15" i="6"/>
  <c r="G16" i="6"/>
  <c r="H16" i="6"/>
  <c r="I16" i="6"/>
  <c r="J16" i="6"/>
  <c r="K16" i="6"/>
  <c r="L16" i="6"/>
  <c r="G17" i="6"/>
  <c r="H17" i="6"/>
  <c r="I17" i="6"/>
  <c r="J17" i="6"/>
  <c r="K17" i="6"/>
  <c r="L17" i="6"/>
  <c r="G18" i="6"/>
  <c r="H18" i="6"/>
  <c r="I18" i="6"/>
  <c r="J18" i="6"/>
  <c r="K18" i="6"/>
  <c r="L18" i="6"/>
  <c r="G19" i="6"/>
  <c r="H19" i="6"/>
  <c r="I19" i="6"/>
  <c r="J19" i="6"/>
  <c r="K19" i="6"/>
  <c r="L19" i="6"/>
  <c r="G20" i="6"/>
  <c r="H20" i="6"/>
  <c r="I20" i="6"/>
  <c r="J20" i="6"/>
  <c r="K20" i="6"/>
  <c r="L20" i="6"/>
  <c r="G21" i="6"/>
  <c r="H21" i="6"/>
  <c r="I21" i="6"/>
  <c r="J21" i="6"/>
  <c r="K21" i="6"/>
  <c r="L21" i="6"/>
  <c r="G22" i="6"/>
  <c r="H22" i="6"/>
  <c r="I22" i="6"/>
  <c r="J22" i="6"/>
  <c r="K22" i="6"/>
  <c r="L22" i="6"/>
  <c r="G23" i="6"/>
  <c r="H23" i="6"/>
  <c r="I23" i="6"/>
  <c r="J23" i="6"/>
  <c r="K23" i="6"/>
  <c r="L23" i="6"/>
  <c r="G24" i="6"/>
  <c r="H24" i="6"/>
  <c r="I24" i="6"/>
  <c r="J24" i="6"/>
  <c r="K24" i="6"/>
  <c r="L24" i="6"/>
  <c r="G25" i="6"/>
  <c r="H25" i="6"/>
  <c r="I25" i="6"/>
  <c r="K25" i="6"/>
  <c r="L25" i="6"/>
  <c r="G26" i="6"/>
  <c r="H26" i="6"/>
  <c r="I26" i="6"/>
  <c r="J26" i="6"/>
  <c r="K26" i="6"/>
  <c r="G27" i="6"/>
  <c r="H27" i="6"/>
  <c r="I27" i="6"/>
  <c r="J27" i="6"/>
  <c r="K27" i="6"/>
  <c r="G28" i="6"/>
  <c r="H28" i="6"/>
  <c r="I28" i="6"/>
  <c r="J28" i="6"/>
  <c r="K28" i="6"/>
  <c r="G29" i="6"/>
  <c r="H29" i="6"/>
  <c r="I29" i="6"/>
  <c r="J29" i="6"/>
  <c r="K29" i="6"/>
  <c r="G30" i="6"/>
  <c r="H30" i="6"/>
  <c r="I30" i="6"/>
  <c r="J30" i="6"/>
  <c r="K30" i="6"/>
  <c r="G31" i="6"/>
  <c r="H31" i="6"/>
  <c r="I31" i="6"/>
  <c r="J31" i="6"/>
  <c r="K31" i="6"/>
  <c r="G32" i="6"/>
  <c r="H32" i="6"/>
  <c r="I32" i="6"/>
  <c r="J32" i="6"/>
  <c r="K32" i="6"/>
  <c r="L32" i="6"/>
  <c r="G33" i="6"/>
  <c r="H33" i="6"/>
  <c r="I33" i="6"/>
  <c r="K33" i="6"/>
  <c r="L33" i="6"/>
  <c r="G34" i="6"/>
  <c r="H34" i="6"/>
  <c r="I34" i="6"/>
  <c r="J34" i="6"/>
  <c r="K34" i="6"/>
  <c r="L34" i="6"/>
  <c r="G35" i="6"/>
  <c r="H35" i="6"/>
  <c r="I35" i="6"/>
  <c r="J35" i="6"/>
  <c r="K35" i="6"/>
  <c r="L35" i="6"/>
  <c r="G36" i="6"/>
  <c r="H36" i="6"/>
  <c r="I36" i="6"/>
  <c r="J36" i="6"/>
  <c r="K36" i="6"/>
  <c r="G37" i="6"/>
  <c r="H37" i="6"/>
  <c r="I37" i="6"/>
  <c r="J37" i="6"/>
  <c r="K37" i="6"/>
  <c r="G38" i="6"/>
  <c r="H38" i="6"/>
  <c r="I38" i="6"/>
  <c r="J38" i="6"/>
  <c r="K38" i="6"/>
  <c r="G39" i="6"/>
  <c r="H39" i="6"/>
  <c r="I39" i="6"/>
  <c r="J39" i="6"/>
  <c r="K39" i="6"/>
  <c r="L39" i="6"/>
  <c r="G40" i="6"/>
  <c r="H40" i="6"/>
  <c r="I40" i="6"/>
  <c r="J40" i="6"/>
  <c r="K40" i="6"/>
  <c r="L40" i="6"/>
  <c r="G41" i="6"/>
  <c r="H41" i="6"/>
  <c r="I41" i="6"/>
  <c r="K41" i="6"/>
  <c r="L41" i="6"/>
  <c r="G42" i="6"/>
  <c r="H42" i="6"/>
  <c r="I42" i="6"/>
  <c r="J42" i="6"/>
  <c r="K42" i="6"/>
  <c r="L42" i="6"/>
  <c r="G43" i="6"/>
  <c r="H43" i="6"/>
  <c r="I43" i="6"/>
  <c r="J43" i="6"/>
  <c r="K43" i="6"/>
  <c r="G44" i="6"/>
  <c r="H44" i="6"/>
  <c r="I44" i="6"/>
  <c r="J44" i="6"/>
  <c r="K44" i="6"/>
  <c r="G45" i="6"/>
  <c r="H45" i="6"/>
  <c r="I45" i="6"/>
  <c r="J45" i="6"/>
  <c r="K45" i="6"/>
  <c r="L45" i="6"/>
  <c r="L2" i="6"/>
  <c r="K2" i="6"/>
  <c r="I2" i="6"/>
  <c r="G2" i="6"/>
  <c r="H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2" i="6"/>
  <c r="L44" i="6"/>
  <c r="L37" i="6"/>
  <c r="L38" i="6"/>
  <c r="L11" i="6"/>
  <c r="L26" i="6"/>
  <c r="L43" i="6"/>
  <c r="L27" i="6"/>
  <c r="L36" i="6"/>
  <c r="L31" i="6"/>
  <c r="L30" i="6"/>
  <c r="L29" i="6"/>
  <c r="L28" i="6"/>
</calcChain>
</file>

<file path=xl/sharedStrings.xml><?xml version="1.0" encoding="utf-8"?>
<sst xmlns="http://schemas.openxmlformats.org/spreadsheetml/2006/main" count="10099" uniqueCount="2450">
  <si>
    <t>Row Labels</t>
  </si>
  <si>
    <t>ADSILA ORGANICS</t>
  </si>
  <si>
    <t>AKSHAR MOLECULES</t>
  </si>
  <si>
    <t>Alpex Healthcare</t>
  </si>
  <si>
    <t>ALPEX PHARMACEUTICALS</t>
  </si>
  <si>
    <t>ALTAR HEALTHCARE</t>
  </si>
  <si>
    <t>Aplex Healthcare</t>
  </si>
  <si>
    <t>ASSOCIATED BIOTECH</t>
  </si>
  <si>
    <t>BIODEAL PHARMA</t>
  </si>
  <si>
    <t>BIONEXY</t>
  </si>
  <si>
    <t>EUROCRIT</t>
  </si>
  <si>
    <t>LOGOS</t>
  </si>
  <si>
    <t>Logos Pharma</t>
  </si>
  <si>
    <t>MEDICANT NUTRIENTS</t>
  </si>
  <si>
    <t>NDB HEALTHCARE</t>
  </si>
  <si>
    <t>PLENA REMEDIES</t>
  </si>
  <si>
    <t>POLESTAR</t>
  </si>
  <si>
    <t>PROLIFIC</t>
  </si>
  <si>
    <t>REALCARE HERBALS</t>
  </si>
  <si>
    <t>RITUAL DRUGS PVT LTD</t>
  </si>
  <si>
    <t>RUZETTE ORGANICS</t>
  </si>
  <si>
    <t>SAPHNIX PHARMACEUTICALS</t>
  </si>
  <si>
    <t>SHUBHAM HEALTHCARE</t>
  </si>
  <si>
    <t>STRAUSSWELL</t>
  </si>
  <si>
    <t>UNISPEED PHARMACEUTICALS</t>
  </si>
  <si>
    <t>Virchow Biotech Private Limited  </t>
  </si>
  <si>
    <t>VRINDAVAN BLOBAL</t>
  </si>
  <si>
    <t>VZOIC PHARMACEUTICALS</t>
  </si>
  <si>
    <t>(blank)</t>
  </si>
  <si>
    <t>Grand Total</t>
  </si>
  <si>
    <t>SR NO</t>
  </si>
  <si>
    <t>P-O Date</t>
  </si>
  <si>
    <t>P-O Number</t>
  </si>
  <si>
    <t>Product Name</t>
  </si>
  <si>
    <t>Quantity</t>
  </si>
  <si>
    <t>MRP</t>
  </si>
  <si>
    <t>RATE</t>
  </si>
  <si>
    <t>ESTIMATE</t>
  </si>
  <si>
    <t>Specifications</t>
  </si>
  <si>
    <t>TYPE</t>
  </si>
  <si>
    <t>Company</t>
  </si>
  <si>
    <t>Qty Received</t>
  </si>
  <si>
    <t>Remarks</t>
  </si>
  <si>
    <t>Category</t>
  </si>
  <si>
    <t>Status</t>
  </si>
  <si>
    <t>Time Stamp</t>
  </si>
  <si>
    <t>Days Diff from Today</t>
  </si>
  <si>
    <t>Bill Number</t>
  </si>
  <si>
    <t>30/01/2025</t>
  </si>
  <si>
    <t>MP0001</t>
  </si>
  <si>
    <t>DICMOLIN ROLL ON</t>
  </si>
  <si>
    <t>60 ML</t>
  </si>
  <si>
    <t>ROLL ON</t>
  </si>
  <si>
    <t>RECEIVED ON 22-04-2025</t>
  </si>
  <si>
    <t>Ortho</t>
  </si>
  <si>
    <t>Received</t>
  </si>
  <si>
    <t>22-02-2025</t>
  </si>
  <si>
    <t>MP0002</t>
  </si>
  <si>
    <t>DRILPAIN-P</t>
  </si>
  <si>
    <t>10*10 BLISTER</t>
  </si>
  <si>
    <t>TABLET</t>
  </si>
  <si>
    <t>Recieved</t>
  </si>
  <si>
    <t>15-04-2025 16:43</t>
  </si>
  <si>
    <t>31/01/2025</t>
  </si>
  <si>
    <t>MP0003</t>
  </si>
  <si>
    <t>DRILPAIN-SP</t>
  </si>
  <si>
    <t>10*10 ALU ALU</t>
  </si>
  <si>
    <t>RECEIVED ON 17-03-2025</t>
  </si>
  <si>
    <t>17-03-2025 00:00</t>
  </si>
  <si>
    <t>MP0004</t>
  </si>
  <si>
    <t>DRILPAIN-MR</t>
  </si>
  <si>
    <t>RECEIVED ON 23-04-2025</t>
  </si>
  <si>
    <t>MP0005</t>
  </si>
  <si>
    <t>LEGSPIN-8</t>
  </si>
  <si>
    <t>10*15 ALU ALU</t>
  </si>
  <si>
    <t>RECEIVED ON 05-03-2025</t>
  </si>
  <si>
    <t>Neuro</t>
  </si>
  <si>
    <t>MP0006</t>
  </si>
  <si>
    <t>LEGSPIN-16</t>
  </si>
  <si>
    <t>RECEIVED ON 24-02-2025</t>
  </si>
  <si>
    <t>24-02-2025 00:00</t>
  </si>
  <si>
    <t>MP0007</t>
  </si>
  <si>
    <t>LEGSPIN-24</t>
  </si>
  <si>
    <t>RECEIVED ON 04-03-2025</t>
  </si>
  <si>
    <t>MP0008</t>
  </si>
  <si>
    <t>GRAMSPAN-DSR</t>
  </si>
  <si>
    <t>10*15 TAB IN CAP</t>
  </si>
  <si>
    <t>CAPSULE</t>
  </si>
  <si>
    <t>RECEIVED ON 27-03-2025</t>
  </si>
  <si>
    <t>Gastro</t>
  </si>
  <si>
    <t>27-03-2025 00:00</t>
  </si>
  <si>
    <t>MP0009</t>
  </si>
  <si>
    <t>GRAMSPAN-40</t>
  </si>
  <si>
    <t>RECEIVED ON 21-03-2025</t>
  </si>
  <si>
    <t>21-03-2025 00:00</t>
  </si>
  <si>
    <t>MP0010</t>
  </si>
  <si>
    <t>GRAMSPAN-D</t>
  </si>
  <si>
    <t>MP0011</t>
  </si>
  <si>
    <t>INSTAVIBE</t>
  </si>
  <si>
    <t>105 GM</t>
  </si>
  <si>
    <t>SACHET</t>
  </si>
  <si>
    <t>RECEIVED ON 19-04-2025</t>
  </si>
  <si>
    <t>Misc</t>
  </si>
  <si>
    <t>MP0012</t>
  </si>
  <si>
    <t>INSTAVIBE SACHET</t>
  </si>
  <si>
    <t>10*25 GM</t>
  </si>
  <si>
    <t>Received on 02-05-2025</t>
  </si>
  <si>
    <t>MP0013</t>
  </si>
  <si>
    <t>INSTAVIBE-ZORS</t>
  </si>
  <si>
    <t>10*21 GM</t>
  </si>
  <si>
    <t>MP0014</t>
  </si>
  <si>
    <t>MUSTBON-D3 SG CAP</t>
  </si>
  <si>
    <t>10*1*4 BLISTER</t>
  </si>
  <si>
    <t>SOFTGEL CAPSULE</t>
  </si>
  <si>
    <t>RECEIVED ON 26-03-2025</t>
  </si>
  <si>
    <t>26-03-2025 00:00</t>
  </si>
  <si>
    <t>MP0015</t>
  </si>
  <si>
    <t>CREMCAL TAB</t>
  </si>
  <si>
    <t>10*15 BLISTER</t>
  </si>
  <si>
    <t>MP0016</t>
  </si>
  <si>
    <t>CREMCAL-CC TAB</t>
  </si>
  <si>
    <t>15-04-2025 16:44</t>
  </si>
  <si>
    <t>14-02-2025</t>
  </si>
  <si>
    <t>MP0017</t>
  </si>
  <si>
    <t>CREMCAL-K2 SG CAP</t>
  </si>
  <si>
    <t>10*1*10 BLISTER</t>
  </si>
  <si>
    <t>RECEIVED 29-03-2025</t>
  </si>
  <si>
    <t>29-03-2025 00:00</t>
  </si>
  <si>
    <t>MP0018</t>
  </si>
  <si>
    <t>CREMCAL-SG</t>
  </si>
  <si>
    <t>MP0019</t>
  </si>
  <si>
    <t>DICMOLIN-P</t>
  </si>
  <si>
    <t>10*2*10 BLISTER</t>
  </si>
  <si>
    <t> </t>
  </si>
  <si>
    <t>DESIGN OK 10-03-2025</t>
  </si>
  <si>
    <t>Design OK</t>
  </si>
  <si>
    <t>MP0020</t>
  </si>
  <si>
    <t>DICMOLIN-SP</t>
  </si>
  <si>
    <t>MP0021</t>
  </si>
  <si>
    <t>DICMOLIN-MR</t>
  </si>
  <si>
    <t>15-04-2025 15:50</t>
  </si>
  <si>
    <t>MP0022</t>
  </si>
  <si>
    <t>DICMOLIN GEL</t>
  </si>
  <si>
    <t>30 GM</t>
  </si>
  <si>
    <t>OINTMENT</t>
  </si>
  <si>
    <t>RECEIVED 23-04-2025</t>
  </si>
  <si>
    <t>MP0023</t>
  </si>
  <si>
    <t>CEREBOON-PLUS CAP</t>
  </si>
  <si>
    <t>Received 11/04/25</t>
  </si>
  <si>
    <t>27-02-2025</t>
  </si>
  <si>
    <t>MP0024</t>
  </si>
  <si>
    <t>CEREBOON-LC TAB</t>
  </si>
  <si>
    <t>10*1*10 ALU ALU</t>
  </si>
  <si>
    <t>Received 11/apr</t>
  </si>
  <si>
    <t>MP0025</t>
  </si>
  <si>
    <t>CEREBOON-PGN TAB</t>
  </si>
  <si>
    <t>Received on 10.05.2025</t>
  </si>
  <si>
    <t>MP0026</t>
  </si>
  <si>
    <t>CEREBOON-PG CAP</t>
  </si>
  <si>
    <t>MP0027</t>
  </si>
  <si>
    <t>SYNCRAB-DSR CAP</t>
  </si>
  <si>
    <t>RECEIVED 24-04-2025</t>
  </si>
  <si>
    <t>MP0028</t>
  </si>
  <si>
    <t>GB-all 120</t>
  </si>
  <si>
    <t>RECEIVED ON 30-04-2025</t>
  </si>
  <si>
    <t>Respiratory</t>
  </si>
  <si>
    <t>MP0029</t>
  </si>
  <si>
    <t>Echobid-ACE</t>
  </si>
  <si>
    <t>DESIGN OK 17-03-2025</t>
  </si>
  <si>
    <t>MP0030</t>
  </si>
  <si>
    <t>WINDPACK-3D</t>
  </si>
  <si>
    <t>Combination banned-</t>
  </si>
  <si>
    <t>25-03-2025</t>
  </si>
  <si>
    <t>MP0031</t>
  </si>
  <si>
    <t>Deckbil-20</t>
  </si>
  <si>
    <t>Received on 06.052025</t>
  </si>
  <si>
    <t>MP0032</t>
  </si>
  <si>
    <t>Deckbil-M</t>
  </si>
  <si>
    <t>DESIGN OK 12-03-2025</t>
  </si>
  <si>
    <t>MP0033</t>
  </si>
  <si>
    <t>Windpack-FX</t>
  </si>
  <si>
    <t>DESIGN OK 07-03-2025</t>
  </si>
  <si>
    <t>19-04-2025 18:40</t>
  </si>
  <si>
    <t>MP0034</t>
  </si>
  <si>
    <t>CETMOLIN-5</t>
  </si>
  <si>
    <t>RECEIVED ON 02-05-2025</t>
  </si>
  <si>
    <t>Dema</t>
  </si>
  <si>
    <t>MP0035</t>
  </si>
  <si>
    <t>CETMOLIN-10</t>
  </si>
  <si>
    <t>Design OK- 2nd Apr</t>
  </si>
  <si>
    <t>26-02-2025</t>
  </si>
  <si>
    <t>MP0036</t>
  </si>
  <si>
    <t>Windpack-L TABLET</t>
  </si>
  <si>
    <t>Received on 08.05.2025</t>
  </si>
  <si>
    <t>MP0037</t>
  </si>
  <si>
    <t>Windpack-L Kid</t>
  </si>
  <si>
    <t>RECEIVED ON 02-04-2025</t>
  </si>
  <si>
    <t>13-02-2025</t>
  </si>
  <si>
    <t>MP0038</t>
  </si>
  <si>
    <t>NVgon</t>
  </si>
  <si>
    <t>Gynae</t>
  </si>
  <si>
    <t>MP0039</t>
  </si>
  <si>
    <t>NVgon-OD</t>
  </si>
  <si>
    <t>15-02-2025</t>
  </si>
  <si>
    <t>MP0040</t>
  </si>
  <si>
    <t>Predipil-4</t>
  </si>
  <si>
    <t>DESIGN OK 15-03-2025</t>
  </si>
  <si>
    <t>15-03-2025 00:00</t>
  </si>
  <si>
    <t>MP0041</t>
  </si>
  <si>
    <t>Predipil-8</t>
  </si>
  <si>
    <t xml:space="preserve">HOLD </t>
  </si>
  <si>
    <t>General</t>
  </si>
  <si>
    <t>Hold</t>
  </si>
  <si>
    <t>-</t>
  </si>
  <si>
    <t>MP0042</t>
  </si>
  <si>
    <t>Predipil-16</t>
  </si>
  <si>
    <t>HOLD</t>
  </si>
  <si>
    <t>17-02-2025</t>
  </si>
  <si>
    <t>MP0043</t>
  </si>
  <si>
    <t>Febmate-40</t>
  </si>
  <si>
    <t>364 (actual received 380)</t>
  </si>
  <si>
    <t>MP0044</t>
  </si>
  <si>
    <t>Ridsclav-625</t>
  </si>
  <si>
    <t>204-96</t>
  </si>
  <si>
    <t>Received 9-04-25</t>
  </si>
  <si>
    <t>MP0045</t>
  </si>
  <si>
    <t>Ridsclav-DDS</t>
  </si>
  <si>
    <t>30 ML</t>
  </si>
  <si>
    <t>DRY SYRUP</t>
  </si>
  <si>
    <t>MP0046</t>
  </si>
  <si>
    <t>Ridsclav</t>
  </si>
  <si>
    <t>DPCO</t>
  </si>
  <si>
    <t>MP0047</t>
  </si>
  <si>
    <t>Ridsclav-LB 625</t>
  </si>
  <si>
    <t>18-02-2025</t>
  </si>
  <si>
    <t>MP0048</t>
  </si>
  <si>
    <t>Dripnase-Mist Nasal Spray</t>
  </si>
  <si>
    <t>100 ML</t>
  </si>
  <si>
    <t>SPRAY</t>
  </si>
  <si>
    <t>MP0049</t>
  </si>
  <si>
    <t>Dripnase-Kid Nasal Spray</t>
  </si>
  <si>
    <t>46-92</t>
  </si>
  <si>
    <t>10 ML</t>
  </si>
  <si>
    <t>MP0050</t>
  </si>
  <si>
    <t>Dripnase-S Nasal Spray</t>
  </si>
  <si>
    <t>15-04-2025 15:41</t>
  </si>
  <si>
    <t>MP0051</t>
  </si>
  <si>
    <t>Windpack-AZ Nasal Spray</t>
  </si>
  <si>
    <t>MP0052</t>
  </si>
  <si>
    <t>Windpack Nasal Spray</t>
  </si>
  <si>
    <t>MP0053</t>
  </si>
  <si>
    <t>SYNCRAB-O</t>
  </si>
  <si>
    <t>RECEIVED ON 22-03-2025</t>
  </si>
  <si>
    <t>22-03-2025 00:00</t>
  </si>
  <si>
    <t>MP0054</t>
  </si>
  <si>
    <t>CYSFERT-M PLUS</t>
  </si>
  <si>
    <t>Get mockup</t>
  </si>
  <si>
    <t>Design OK- 10-04-25</t>
  </si>
  <si>
    <t>MP0055</t>
  </si>
  <si>
    <t>GRAMSPAN-O</t>
  </si>
  <si>
    <t>RECEIVED ON 28-03-2025</t>
  </si>
  <si>
    <t>28-03-2025 00:00</t>
  </si>
  <si>
    <t>MP0056</t>
  </si>
  <si>
    <t>JACKZYME SYRUP</t>
  </si>
  <si>
    <t>200 ML</t>
  </si>
  <si>
    <t>SYRUP</t>
  </si>
  <si>
    <t>DESIGN OK 29-03-2025</t>
  </si>
  <si>
    <t>MP0057</t>
  </si>
  <si>
    <t>VOLKSVIT-L SYRUP</t>
  </si>
  <si>
    <t>225 ML</t>
  </si>
  <si>
    <t>DESIGN OK 25-03-2025</t>
  </si>
  <si>
    <t>25-03-2025 00:00</t>
  </si>
  <si>
    <t>19-02-2025</t>
  </si>
  <si>
    <t>MP0058</t>
  </si>
  <si>
    <t>ECHOBID NASAL SPRAY</t>
  </si>
  <si>
    <t>MP0059</t>
  </si>
  <si>
    <t>DRIPNASE NASAL SPRAY</t>
  </si>
  <si>
    <t>57-34</t>
  </si>
  <si>
    <t>15-04-2025 15:42</t>
  </si>
  <si>
    <t>MP0060</t>
  </si>
  <si>
    <t>FLAZMOR-6 TABLET</t>
  </si>
  <si>
    <t>MP0061</t>
  </si>
  <si>
    <t>DRILOXIM-CV TABLET</t>
  </si>
  <si>
    <t>RECEIVED ON 06.05.2025</t>
  </si>
  <si>
    <t>MP0062</t>
  </si>
  <si>
    <t>BACKLIFT-10 TABLET</t>
  </si>
  <si>
    <t>10*10</t>
  </si>
  <si>
    <t>MP0063</t>
  </si>
  <si>
    <t>BACKLIFT-20 TABLET</t>
  </si>
  <si>
    <t>RECEIVED ON 13-03-2025</t>
  </si>
  <si>
    <t>13-03-2025 00:00</t>
  </si>
  <si>
    <t>21-02-2025</t>
  </si>
  <si>
    <t>MP0064</t>
  </si>
  <si>
    <t>DRILOXIM-250 TABLET</t>
  </si>
  <si>
    <t>3*10 ALU ALU</t>
  </si>
  <si>
    <t>RECEIVED ON 28-04-2025</t>
  </si>
  <si>
    <t>MP0065</t>
  </si>
  <si>
    <t>DRILOXIM-500 TABLET</t>
  </si>
  <si>
    <t>MP0066</t>
  </si>
  <si>
    <t>Exitron-MD 4 TABLET</t>
  </si>
  <si>
    <t>10*10 STRIP</t>
  </si>
  <si>
    <t>13-04-2025 16:48</t>
  </si>
  <si>
    <t>MP0067</t>
  </si>
  <si>
    <t>Exitron-MD 8 TABLET</t>
  </si>
  <si>
    <t>RECEIVED 18-04-2025</t>
  </si>
  <si>
    <t>MP0068</t>
  </si>
  <si>
    <t>GRAMSPAN-IV</t>
  </si>
  <si>
    <t>40 MG</t>
  </si>
  <si>
    <t>INJECTION</t>
  </si>
  <si>
    <t>MP0069</t>
  </si>
  <si>
    <t>ECHOBID SYRUP</t>
  </si>
  <si>
    <t>Design ready with Designer</t>
  </si>
  <si>
    <t>16-04-2025 11:40</t>
  </si>
  <si>
    <t>MP0070</t>
  </si>
  <si>
    <t>ECHOBID-LC SYRUP</t>
  </si>
  <si>
    <t>QR Code to be updated-</t>
  </si>
  <si>
    <t>MP0071</t>
  </si>
  <si>
    <t>ECHOBID-LS SYRUP</t>
  </si>
  <si>
    <t>MP0072</t>
  </si>
  <si>
    <t>ECHOTUSS-D SYRUP</t>
  </si>
  <si>
    <t>MP0073</t>
  </si>
  <si>
    <t>ECHOTUSS-DX SYRUP</t>
  </si>
  <si>
    <t>RECEIVED ON 08.05.2025</t>
  </si>
  <si>
    <t>MP0074</t>
  </si>
  <si>
    <t>ECHOTUSS-LC SYRUP</t>
  </si>
  <si>
    <t>MP0075</t>
  </si>
  <si>
    <t>UDISET-300 TABLET</t>
  </si>
  <si>
    <t>DESIGN OK 19-03-2025, 3rd Party</t>
  </si>
  <si>
    <t>19-03-2025 00:00</t>
  </si>
  <si>
    <t>MP0076</t>
  </si>
  <si>
    <t>24-02-2025</t>
  </si>
  <si>
    <t>MP0077</t>
  </si>
  <si>
    <t>WINDPACK-L SYRUP</t>
  </si>
  <si>
    <t>25-26/0458</t>
  </si>
  <si>
    <t>MP0078</t>
  </si>
  <si>
    <t>MUSTBON-D3 NANO SHOT</t>
  </si>
  <si>
    <t>4*5 ML</t>
  </si>
  <si>
    <t>SHOT</t>
  </si>
  <si>
    <t>MP0079</t>
  </si>
  <si>
    <t>VOLKSVIT-4G SG CAP</t>
  </si>
  <si>
    <t>3*10 BLISTER</t>
  </si>
  <si>
    <t>DESIGN OK 22-03-2025</t>
  </si>
  <si>
    <t>NUTRA</t>
  </si>
  <si>
    <t>MP0080</t>
  </si>
  <si>
    <t>VOLKSVIT-12G SG CAP</t>
  </si>
  <si>
    <t>MP0081</t>
  </si>
  <si>
    <t>EVESFEN SG CAP</t>
  </si>
  <si>
    <t>10*1*1 BLISTER</t>
  </si>
  <si>
    <t>MP0082</t>
  </si>
  <si>
    <t>EVESBOON TABLET</t>
  </si>
  <si>
    <t>MP0083</t>
  </si>
  <si>
    <t>ECHOBID-JUNIOR SYRUP</t>
  </si>
  <si>
    <t>DESIGN OK 21-03-2025</t>
  </si>
  <si>
    <t>MP0084</t>
  </si>
  <si>
    <t>Dripnase-P (DS) SYRUP</t>
  </si>
  <si>
    <t>Received on 06-05-2025</t>
  </si>
  <si>
    <t>MP0085</t>
  </si>
  <si>
    <t>CYSFERT-PLUS TABLET</t>
  </si>
  <si>
    <t>10*1*10 STRIP</t>
  </si>
  <si>
    <t>RECEIVED ON 18-04-2025</t>
  </si>
  <si>
    <t>MP0086</t>
  </si>
  <si>
    <t>VOLKSMIN-FORTE CAP</t>
  </si>
  <si>
    <t>Received 10-04-25</t>
  </si>
  <si>
    <t>MP0087</t>
  </si>
  <si>
    <t>VOLKSMIN-RG SACHET</t>
  </si>
  <si>
    <t>20*5 GM</t>
  </si>
  <si>
    <t>RECEIVED 21-04-2025</t>
  </si>
  <si>
    <t>MP0088</t>
  </si>
  <si>
    <t>VOLKSVIT TABLET</t>
  </si>
  <si>
    <t>CANCELLED</t>
  </si>
  <si>
    <t>Cancelled</t>
  </si>
  <si>
    <t>MP0089</t>
  </si>
  <si>
    <t>FURTIUP-XT TAB</t>
  </si>
  <si>
    <t>RECEIVED</t>
  </si>
  <si>
    <t>THIRD PARTY</t>
  </si>
  <si>
    <t>MP0090</t>
  </si>
  <si>
    <t>MIGHTY RED-XT TAB</t>
  </si>
  <si>
    <t>MP0091</t>
  </si>
  <si>
    <t>GABROCK-NT 100 TAB</t>
  </si>
  <si>
    <t>15-04-2025 16:51</t>
  </si>
  <si>
    <t>MP0092</t>
  </si>
  <si>
    <t>JOYSCOOP-PLUS</t>
  </si>
  <si>
    <t>RECEIVED ON 05.05.2025</t>
  </si>
  <si>
    <t>MP0093</t>
  </si>
  <si>
    <t>AZXP-XL 200 SUSP</t>
  </si>
  <si>
    <t>SUSPENTION</t>
  </si>
  <si>
    <t>Need design Copy</t>
  </si>
  <si>
    <t>MP0094</t>
  </si>
  <si>
    <t>BITSOME-RD CAP</t>
  </si>
  <si>
    <t>17-04-2025 13:28</t>
  </si>
  <si>
    <t>MP0095</t>
  </si>
  <si>
    <t>HYDROBILE SUSP</t>
  </si>
  <si>
    <t>DESIGN OK 01-04-2025</t>
  </si>
  <si>
    <t>MP0096</t>
  </si>
  <si>
    <t>DOXBITE-50 SUSP</t>
  </si>
  <si>
    <t>DESIGN OK 11-04-2025</t>
  </si>
  <si>
    <t>MP0097</t>
  </si>
  <si>
    <t>DOXBITE-100 SUSP</t>
  </si>
  <si>
    <t>PEDIA</t>
  </si>
  <si>
    <t>MP0114</t>
  </si>
  <si>
    <t>JACKSPOR-200 DT TABLET</t>
  </si>
  <si>
    <t>18-04-2025 13:36</t>
  </si>
  <si>
    <t>MP0098</t>
  </si>
  <si>
    <t>JACKSPOR-50 SUSP</t>
  </si>
  <si>
    <t>MAIL DONE, RATE OK</t>
  </si>
  <si>
    <t>MP0099</t>
  </si>
  <si>
    <t>JACKSPOR-100 SUSP</t>
  </si>
  <si>
    <t>28-02-2025</t>
  </si>
  <si>
    <t>MP0101</t>
  </si>
  <si>
    <t>10*1*15 STRIP</t>
  </si>
  <si>
    <t>DESIGN OK 20-03-2025</t>
  </si>
  <si>
    <t>20-03-2025 00:00</t>
  </si>
  <si>
    <t>MP0102</t>
  </si>
  <si>
    <t>DOXBITE-200 DT TABLET</t>
  </si>
  <si>
    <t>MP0103</t>
  </si>
  <si>
    <t>DOXBITE-CV TABLET</t>
  </si>
  <si>
    <t>10*1*6 ALU ALU</t>
  </si>
  <si>
    <t>MP0104</t>
  </si>
  <si>
    <t>BRIVAPOSE 50 TABLET</t>
  </si>
  <si>
    <t>Received on 06.05.2025</t>
  </si>
  <si>
    <t>MP0105</t>
  </si>
  <si>
    <t>GUMSNORM MOUTH WASH</t>
  </si>
  <si>
    <t>DENTAL</t>
  </si>
  <si>
    <t>MP0106</t>
  </si>
  <si>
    <t>GUMSNORM-M ORAL GEL</t>
  </si>
  <si>
    <t>15 GM</t>
  </si>
  <si>
    <t>DESIGN OK 26-03-2025</t>
  </si>
  <si>
    <t>MP0107</t>
  </si>
  <si>
    <t>VISTALOC-25 TABLET</t>
  </si>
  <si>
    <t>DERMA</t>
  </si>
  <si>
    <t>MP0108</t>
  </si>
  <si>
    <t>ASTOWAC-SF</t>
  </si>
  <si>
    <t>150 GM</t>
  </si>
  <si>
    <t>POWDER</t>
  </si>
  <si>
    <t>18-04-2025 11:04</t>
  </si>
  <si>
    <t>MP0109</t>
  </si>
  <si>
    <t>615 (Actual 551)</t>
  </si>
  <si>
    <t>MP0110</t>
  </si>
  <si>
    <t>FLABSTOP-120 TABLET</t>
  </si>
  <si>
    <t>NEW</t>
  </si>
  <si>
    <t>17-03-2025</t>
  </si>
  <si>
    <t>MP0111</t>
  </si>
  <si>
    <t>APPSTORM SYRUP</t>
  </si>
  <si>
    <t>Design OK-7th APR</t>
  </si>
  <si>
    <t>MP0112</t>
  </si>
  <si>
    <t>FLOSVECT-200 TABLET</t>
  </si>
  <si>
    <t>Design updated</t>
  </si>
  <si>
    <t>14-04-2025 15:14</t>
  </si>
  <si>
    <t>MP0113</t>
  </si>
  <si>
    <t>FLOSVECT-OZ TABLET</t>
  </si>
  <si>
    <t>DESIGN OK 13-03-2025</t>
  </si>
  <si>
    <t>17-04-2025 17:39</t>
  </si>
  <si>
    <t>RECEIVED ON 18.04.2025</t>
  </si>
  <si>
    <t>MP0115</t>
  </si>
  <si>
    <t>MIGHTYRED-M TABLET</t>
  </si>
  <si>
    <t>10*15</t>
  </si>
  <si>
    <t>RECEIVED 06.05.2025</t>
  </si>
  <si>
    <t>MP0116</t>
  </si>
  <si>
    <t>MSTEEL-FORTE TABLET</t>
  </si>
  <si>
    <t>MP0117</t>
  </si>
  <si>
    <t>HYDROBILE-300 TABLET</t>
  </si>
  <si>
    <t>DESIGN OK 18-03-2025</t>
  </si>
  <si>
    <t>MP0118</t>
  </si>
  <si>
    <t>HYDROBILE-150 TABLET</t>
  </si>
  <si>
    <t>MP0119</t>
  </si>
  <si>
    <t>VOLKSVIT-Q10 SG CAP</t>
  </si>
  <si>
    <t>MP0120</t>
  </si>
  <si>
    <t>VOLKSMIN-SN</t>
  </si>
  <si>
    <t>13-03-2025</t>
  </si>
  <si>
    <t>MP0121</t>
  </si>
  <si>
    <t>CEREBOON-NT TABLET</t>
  </si>
  <si>
    <t>RECEIVED 10.05.2025</t>
  </si>
  <si>
    <t>15-03-2025</t>
  </si>
  <si>
    <t>MP0122</t>
  </si>
  <si>
    <t>LIBIFERT CAPSULE</t>
  </si>
  <si>
    <t>Might want to change the name-</t>
  </si>
  <si>
    <t>MP0123</t>
  </si>
  <si>
    <t>PLATSTOR TABLET</t>
  </si>
  <si>
    <t>MP0124</t>
  </si>
  <si>
    <t>VOLKSMIN SYRUP</t>
  </si>
  <si>
    <t>300 ML</t>
  </si>
  <si>
    <t>DESIGN OK 28-03-2025</t>
  </si>
  <si>
    <t>MP0125</t>
  </si>
  <si>
    <t>PYROSTOP-250</t>
  </si>
  <si>
    <t>DESIGN OK 31-03-2025</t>
  </si>
  <si>
    <t>31-03-2025 00:00</t>
  </si>
  <si>
    <t>MP0126</t>
  </si>
  <si>
    <t>FENAMOST-P DS</t>
  </si>
  <si>
    <t>18-03-2025</t>
  </si>
  <si>
    <t>MP0127</t>
  </si>
  <si>
    <t>FLOSVECT-MS</t>
  </si>
  <si>
    <t>RECEIVED 09.05.2025</t>
  </si>
  <si>
    <t>MP0128</t>
  </si>
  <si>
    <t>LAXPOSE SYRUP</t>
  </si>
  <si>
    <t>MP0129</t>
  </si>
  <si>
    <t>MP0130</t>
  </si>
  <si>
    <t>MIGHTY RED-M XT SYRUP</t>
  </si>
  <si>
    <t>DESIGN OK 10-04-2025</t>
  </si>
  <si>
    <t>MP0131</t>
  </si>
  <si>
    <t>MIGHTY RED-XT SYRUP</t>
  </si>
  <si>
    <t>DESIGN OK 09-04-2025</t>
  </si>
  <si>
    <t>19-03-2025</t>
  </si>
  <si>
    <t>MP0132</t>
  </si>
  <si>
    <t>MUSTBON-D3 SACHET</t>
  </si>
  <si>
    <t>10*1 GM</t>
  </si>
  <si>
    <t>21-03-2025</t>
  </si>
  <si>
    <t>MP0133</t>
  </si>
  <si>
    <t>VOLKSVIT-L DHA SYRUP</t>
  </si>
  <si>
    <t>22-03-2025</t>
  </si>
  <si>
    <t>MP0134</t>
  </si>
  <si>
    <t>SYNCRAB-L CAPSULE</t>
  </si>
  <si>
    <t>Billed 318</t>
  </si>
  <si>
    <t>19-04-2025 18:42</t>
  </si>
  <si>
    <t>MP0135</t>
  </si>
  <si>
    <t>NECRABAC-1000 INJ</t>
  </si>
  <si>
    <t>1 GM</t>
  </si>
  <si>
    <t>DESIGN OK 27-03-2025</t>
  </si>
  <si>
    <t>MP0136</t>
  </si>
  <si>
    <t>NECRABAC-SB 1500 INJ</t>
  </si>
  <si>
    <t>1-5 GM</t>
  </si>
  <si>
    <t>24-03-2025</t>
  </si>
  <si>
    <t>MP0137</t>
  </si>
  <si>
    <t>RECPILL-D TAB</t>
  </si>
  <si>
    <t>RECEIVED 08.05.2025</t>
  </si>
  <si>
    <t>MP0138</t>
  </si>
  <si>
    <t>RECPILL TAB</t>
  </si>
  <si>
    <t>MP0139</t>
  </si>
  <si>
    <t>RAFGARD-SB 1-5</t>
  </si>
  <si>
    <t>20 GM</t>
  </si>
  <si>
    <t>MP0140</t>
  </si>
  <si>
    <t>RECPILL-DS TAB</t>
  </si>
  <si>
    <t>10*1*10</t>
  </si>
  <si>
    <t>RECEIVED 07.05.2025</t>
  </si>
  <si>
    <t>MP0141</t>
  </si>
  <si>
    <t>AZXP-250 TAB</t>
  </si>
  <si>
    <t>10*6 BLISTER</t>
  </si>
  <si>
    <t>RECEIVED ON 29-04-2025</t>
  </si>
  <si>
    <t>MP0142</t>
  </si>
  <si>
    <t>AZXP-500 TAB</t>
  </si>
  <si>
    <t>10*3 BLISTER</t>
  </si>
  <si>
    <t>Design OK- 11-04-2025</t>
  </si>
  <si>
    <t>26-03-2025</t>
  </si>
  <si>
    <t>MP0143</t>
  </si>
  <si>
    <t>GABROCK-D GEL</t>
  </si>
  <si>
    <t>Lamy approved</t>
  </si>
  <si>
    <t>31-03-2025</t>
  </si>
  <si>
    <t>MP0144</t>
  </si>
  <si>
    <t>KETMOLIN-DT</t>
  </si>
  <si>
    <t>Design Finalised-</t>
  </si>
  <si>
    <t>MP0145</t>
  </si>
  <si>
    <t>HOLDBACK-300 SR</t>
  </si>
  <si>
    <t>Design OK- 11-04-25</t>
  </si>
  <si>
    <t>29-03-2025</t>
  </si>
  <si>
    <t>MP0146</t>
  </si>
  <si>
    <t>DRIPNASE-NC</t>
  </si>
  <si>
    <t>MP0147</t>
  </si>
  <si>
    <t>PYROSTOP-650</t>
  </si>
  <si>
    <t>Design ok 08.05.2025</t>
  </si>
  <si>
    <t>MP0148</t>
  </si>
  <si>
    <t>ZENBELLY-BC</t>
  </si>
  <si>
    <t>10*5</t>
  </si>
  <si>
    <t>Received 12.05.2025</t>
  </si>
  <si>
    <t>MP0149</t>
  </si>
  <si>
    <t>TRUSLIDE-P 500</t>
  </si>
  <si>
    <t>20*10 BLISTER</t>
  </si>
  <si>
    <t>MAIL DONE, Need documents- Reply</t>
  </si>
  <si>
    <t>Mail Done</t>
  </si>
  <si>
    <t>MP0150</t>
  </si>
  <si>
    <t>VOLKSVIT-LB</t>
  </si>
  <si>
    <t>Mock up file needed</t>
  </si>
  <si>
    <t>Rate OK</t>
  </si>
  <si>
    <t>MP0151</t>
  </si>
  <si>
    <t>PYROSTOP-1K</t>
  </si>
  <si>
    <t>Design OK- 06-05-25</t>
  </si>
  <si>
    <t>MP0152</t>
  </si>
  <si>
    <t>Priknate-60</t>
  </si>
  <si>
    <t xml:space="preserve">Tray pack </t>
  </si>
  <si>
    <t>Design OK- 08-04-2025</t>
  </si>
  <si>
    <t>MP0153</t>
  </si>
  <si>
    <t>Priknate-120</t>
  </si>
  <si>
    <t>MP0154</t>
  </si>
  <si>
    <t>Drilpain-P (alu-alu)</t>
  </si>
  <si>
    <t>10*10 Alu alu</t>
  </si>
  <si>
    <t>Rate revised from 46 to 48, Need mockup-</t>
  </si>
  <si>
    <t>MP0155</t>
  </si>
  <si>
    <t>Ripanza- DSR</t>
  </si>
  <si>
    <t>10*15 Blister</t>
  </si>
  <si>
    <t xml:space="preserve">Tablet in capsule </t>
  </si>
  <si>
    <t>Design shared with alpex team, Name to be changed-</t>
  </si>
  <si>
    <t>MP0156</t>
  </si>
  <si>
    <t>Drilpain- PTH4</t>
  </si>
  <si>
    <t xml:space="preserve">10*10 ALU ALU </t>
  </si>
  <si>
    <t>DESIGN OK 06-05-2025</t>
  </si>
  <si>
    <t>MP0157</t>
  </si>
  <si>
    <t>Coxcalm TH4</t>
  </si>
  <si>
    <t xml:space="preserve">10*10 alu alu </t>
  </si>
  <si>
    <t xml:space="preserve">Strip same as Jackspor 200 </t>
  </si>
  <si>
    <t>Hindi Spelling updated and TM made visible-</t>
  </si>
  <si>
    <t>MP0158</t>
  </si>
  <si>
    <t>Freevit-12G</t>
  </si>
  <si>
    <t xml:space="preserve">Blister soft gel </t>
  </si>
  <si>
    <t>MP0159</t>
  </si>
  <si>
    <t>Planscar Gel</t>
  </si>
  <si>
    <t>20 gm Metallic tube</t>
  </si>
  <si>
    <t>Gel</t>
  </si>
  <si>
    <t>Design ok 12.05.2025</t>
  </si>
  <si>
    <t>MP0160</t>
  </si>
  <si>
    <t>Farobyte 300 ER</t>
  </si>
  <si>
    <t>10*1*6 alu alu</t>
  </si>
  <si>
    <t>Tablet</t>
  </si>
  <si>
    <t>asked for hindi spelling change</t>
  </si>
  <si>
    <t>MP0161</t>
  </si>
  <si>
    <t>Helistorm-ACE kit</t>
  </si>
  <si>
    <t>10*1*7 aluminum strip</t>
  </si>
  <si>
    <t>Rate Ok- Asked for Mockup file-</t>
  </si>
  <si>
    <t>MP0162</t>
  </si>
  <si>
    <t>CYGLIP-M1</t>
  </si>
  <si>
    <t>10*10 Blister</t>
  </si>
  <si>
    <t>Bilayered Tablet</t>
  </si>
  <si>
    <t>Design OK- 11-4-24</t>
  </si>
  <si>
    <t>3rd Party</t>
  </si>
  <si>
    <t>MP0163</t>
  </si>
  <si>
    <t>Venseren 50 ER</t>
  </si>
  <si>
    <t>10*10  Alu Alu</t>
  </si>
  <si>
    <t>Design alright</t>
  </si>
  <si>
    <t>MP0164</t>
  </si>
  <si>
    <t>Laxpose-Fiber</t>
  </si>
  <si>
    <t>Container</t>
  </si>
  <si>
    <t>Powder</t>
  </si>
  <si>
    <t>Mail Done- Rate OK- Asked for mock up file-</t>
  </si>
  <si>
    <t>16-04-2025</t>
  </si>
  <si>
    <t>MP0165</t>
  </si>
  <si>
    <t>Dicmolin</t>
  </si>
  <si>
    <t>10*1mL</t>
  </si>
  <si>
    <t>Injection</t>
  </si>
  <si>
    <t>Arvin care</t>
  </si>
  <si>
    <t>DESIGN OK 26-04-2025</t>
  </si>
  <si>
    <t>MP0166</t>
  </si>
  <si>
    <t xml:space="preserve">Exitron </t>
  </si>
  <si>
    <t>5*2 mL</t>
  </si>
  <si>
    <t>Design ok 03-05-2025</t>
  </si>
  <si>
    <t>MP0167</t>
  </si>
  <si>
    <t>Prestimol</t>
  </si>
  <si>
    <t>1 mL</t>
  </si>
  <si>
    <t>MP0168</t>
  </si>
  <si>
    <t>Mighty Red INJ</t>
  </si>
  <si>
    <t>5ml tray pack</t>
  </si>
  <si>
    <t>MP0169</t>
  </si>
  <si>
    <t>Predipil-A</t>
  </si>
  <si>
    <t>120/DPCO</t>
  </si>
  <si>
    <t>2ml tray pack</t>
  </si>
  <si>
    <t>MP0170</t>
  </si>
  <si>
    <t>Clotsure</t>
  </si>
  <si>
    <t>71-97/ DPCO</t>
  </si>
  <si>
    <t>MP0171</t>
  </si>
  <si>
    <t>Coxcalm-90</t>
  </si>
  <si>
    <t>10*10 Alu Alu</t>
  </si>
  <si>
    <t>Design ok 01-05-2025</t>
  </si>
  <si>
    <t>MP0172</t>
  </si>
  <si>
    <t>Exteclin-LB</t>
  </si>
  <si>
    <t>Design ok</t>
  </si>
  <si>
    <t>MP0173</t>
  </si>
  <si>
    <t>VOLKSLIV</t>
  </si>
  <si>
    <t>17-04-2025</t>
  </si>
  <si>
    <t>MP0174</t>
  </si>
  <si>
    <t>Naxiva-D 500</t>
  </si>
  <si>
    <t>10*10 Aluminum</t>
  </si>
  <si>
    <t>MP0175</t>
  </si>
  <si>
    <t>Blissgard</t>
  </si>
  <si>
    <t xml:space="preserve">10*1*10 Aluminum strip </t>
  </si>
  <si>
    <t>Final Design Sent, track revert for Final confirmation.</t>
  </si>
  <si>
    <t>MP0176</t>
  </si>
  <si>
    <t>Neoteri</t>
  </si>
  <si>
    <t>5 ml pack Repeat with external Dropper</t>
  </si>
  <si>
    <t>Elmed Lifesciences</t>
  </si>
  <si>
    <t>Mail Done, 3rd Party</t>
  </si>
  <si>
    <t>SYNCRAB-D TAB</t>
  </si>
  <si>
    <t>Alu Alu 10*10</t>
  </si>
  <si>
    <t>HAUSTUS BIOTECH PVT LTD</t>
  </si>
  <si>
    <t>DESIGN OK 29-04-2025</t>
  </si>
  <si>
    <t>CYREB-D TAB</t>
  </si>
  <si>
    <t>Third Party</t>
  </si>
  <si>
    <t>DUCKLIV SYRUP</t>
  </si>
  <si>
    <t>LUVPURE HERBALS</t>
  </si>
  <si>
    <t>VATSLA SYRUP</t>
  </si>
  <si>
    <t>DUCKLIV-5G SYRUP</t>
  </si>
  <si>
    <t>Scadilan-40 SR</t>
  </si>
  <si>
    <t>Tumsgard</t>
  </si>
  <si>
    <t>150 mL Bottle</t>
  </si>
  <si>
    <t>Cy-Cypo Gold</t>
  </si>
  <si>
    <t>200 ml</t>
  </si>
  <si>
    <t>ITSOFINE-200</t>
  </si>
  <si>
    <t>MAIL DONE</t>
  </si>
  <si>
    <t>Syncrab-20 tab</t>
  </si>
  <si>
    <t>MP0187</t>
  </si>
  <si>
    <t>Repeat</t>
  </si>
  <si>
    <t>Flosvect 100</t>
  </si>
  <si>
    <t>Yuventis Lifesciences</t>
  </si>
  <si>
    <t>MP0189</t>
  </si>
  <si>
    <t>Ovlander-L</t>
  </si>
  <si>
    <t xml:space="preserve">10*21 </t>
  </si>
  <si>
    <t>MP0191</t>
  </si>
  <si>
    <t>JACKSPOR-100 TAB</t>
  </si>
  <si>
    <t>Cancelled. Applied in Associate Biotech</t>
  </si>
  <si>
    <t>MP0192</t>
  </si>
  <si>
    <t>STERONOR-5 TAB</t>
  </si>
  <si>
    <t>603-6</t>
  </si>
  <si>
    <t>MP0193</t>
  </si>
  <si>
    <t>STERONOR-10 TAB</t>
  </si>
  <si>
    <t>MP0194</t>
  </si>
  <si>
    <t>CEREBOON SYRUP</t>
  </si>
  <si>
    <t>MP0195</t>
  </si>
  <si>
    <t>RENOBOON SYRUP</t>
  </si>
  <si>
    <t>MP0196</t>
  </si>
  <si>
    <t>PLATSTOR SYRUP</t>
  </si>
  <si>
    <t>MP0197</t>
  </si>
  <si>
    <t>MP0198</t>
  </si>
  <si>
    <t>SULTREK-375 TAB</t>
  </si>
  <si>
    <t>MP0199</t>
  </si>
  <si>
    <t>MP0200</t>
  </si>
  <si>
    <t>MP0201</t>
  </si>
  <si>
    <t>Doxbite-100 DT Tab</t>
  </si>
  <si>
    <t>Waiting for Mockup</t>
  </si>
  <si>
    <t>Jackspor-100 DT</t>
  </si>
  <si>
    <t>Necrabac-250</t>
  </si>
  <si>
    <t>31.74/DPCO</t>
  </si>
  <si>
    <t>Injection with Sterile Water</t>
  </si>
  <si>
    <t>Rate Confirmed</t>
  </si>
  <si>
    <t>Necrabac-500</t>
  </si>
  <si>
    <t>56.31/DPCO</t>
  </si>
  <si>
    <t>Bitsome -40</t>
  </si>
  <si>
    <t>115/DPCO</t>
  </si>
  <si>
    <t>Necrabac-SB 375</t>
  </si>
  <si>
    <t>61/DPCO</t>
  </si>
  <si>
    <t>Syncrab- 20</t>
  </si>
  <si>
    <t>107/DPCO</t>
  </si>
  <si>
    <t>PEDISTOR SOAP</t>
  </si>
  <si>
    <t>75g Moulins Stamped</t>
  </si>
  <si>
    <t>SOAP</t>
  </si>
  <si>
    <t>CanBloc Soap</t>
  </si>
  <si>
    <t>Drilpain Oil</t>
  </si>
  <si>
    <t>60 mL</t>
  </si>
  <si>
    <t>Oil</t>
  </si>
  <si>
    <t>Pedistor-C Soap</t>
  </si>
  <si>
    <t>Teered Tablet</t>
  </si>
  <si>
    <t>3rd Party..Zuver</t>
  </si>
  <si>
    <t>Flosvect-50</t>
  </si>
  <si>
    <t>60 mL PP Cap Moulins printed on cap</t>
  </si>
  <si>
    <t>Syspension</t>
  </si>
  <si>
    <t>Gramspan-IV</t>
  </si>
  <si>
    <t>40 mg Injection Lyophilized with sterile water</t>
  </si>
  <si>
    <t>Dry Injection</t>
  </si>
  <si>
    <t>Cremcal-XT</t>
  </si>
  <si>
    <t>Malazone-L</t>
  </si>
  <si>
    <t>1710/DPCO</t>
  </si>
  <si>
    <t>10*1*6 Alu Alu</t>
  </si>
  <si>
    <t>Ridsclav-1000</t>
  </si>
  <si>
    <t>10*1*10 Alu Alu</t>
  </si>
  <si>
    <t>BERBICON</t>
  </si>
  <si>
    <t>ECLODEC</t>
  </si>
  <si>
    <t>LAMI WITH CARTON NORMAL PACK</t>
  </si>
  <si>
    <t>Evokes Soap</t>
  </si>
  <si>
    <t>Soap</t>
  </si>
  <si>
    <t>ItsFine</t>
  </si>
  <si>
    <t>Canlock</t>
  </si>
  <si>
    <t>Evenza Cream</t>
  </si>
  <si>
    <t>Tray with window pack</t>
  </si>
  <si>
    <t>Cream</t>
  </si>
  <si>
    <t>Hepslot</t>
  </si>
  <si>
    <t>Cylinder 2 @2500</t>
  </si>
  <si>
    <t>Acnepres CREAM</t>
  </si>
  <si>
    <t>Flosvect-4 CREAM</t>
  </si>
  <si>
    <t>15g with carton pack</t>
  </si>
  <si>
    <t>Pyrostop-IV</t>
  </si>
  <si>
    <t>100 ml with carton pack</t>
  </si>
  <si>
    <t>IV</t>
  </si>
  <si>
    <t>Aerobud-L</t>
  </si>
  <si>
    <t>5*5*2 ml</t>
  </si>
  <si>
    <t>Respule</t>
  </si>
  <si>
    <t>Aerobud</t>
  </si>
  <si>
    <t>Cremcal Suspension</t>
  </si>
  <si>
    <t>PP cap Moulins</t>
  </si>
  <si>
    <t>Suspension</t>
  </si>
  <si>
    <t>Changed QTY 1200 to 1500</t>
  </si>
  <si>
    <t>Column1</t>
  </si>
  <si>
    <t xml:space="preserve">GRAMSPAN-40 10*15 </t>
  </si>
  <si>
    <t>INSTAVIBE (Orange)</t>
  </si>
  <si>
    <t>CREMCAL TAB                   10*15</t>
  </si>
  <si>
    <t>Change to Unispeed next time</t>
  </si>
  <si>
    <t>Received 20.05.2025</t>
  </si>
  <si>
    <t>Windpack-L TABLET 10x15</t>
  </si>
  <si>
    <t>Received on 22.05.2025</t>
  </si>
  <si>
    <t>Ridsclav-625 10*10</t>
  </si>
  <si>
    <t>RIDSclav DRY SYRUP</t>
  </si>
  <si>
    <t>Received on 20.05.2025</t>
  </si>
  <si>
    <t>JACKZYME SYRUP 200mL</t>
  </si>
  <si>
    <t>Received 13.05.2025</t>
  </si>
  <si>
    <t>Received 23.05.2025</t>
  </si>
  <si>
    <t>ECHOBID SYRUP 100mL</t>
  </si>
  <si>
    <t>Received 10.06.2025</t>
  </si>
  <si>
    <t>ECHOBID-LC SYRUP 100mL</t>
  </si>
  <si>
    <t>ECHOBID-LS SYRUP 100mL</t>
  </si>
  <si>
    <t>Received 04.06.2025</t>
  </si>
  <si>
    <t>Received 16.06.2025</t>
  </si>
  <si>
    <t>RECEIVED ON 17-05-2025</t>
  </si>
  <si>
    <t>Received 24.05.2025</t>
  </si>
  <si>
    <t>45/sachet</t>
  </si>
  <si>
    <t>Received 02.06.2025</t>
  </si>
  <si>
    <t xml:space="preserve">TM on Brand </t>
  </si>
  <si>
    <t>Received 29.05.2025</t>
  </si>
  <si>
    <t>Received on 15.05.2025</t>
  </si>
  <si>
    <t>MP0100</t>
  </si>
  <si>
    <t>JACKSPOR-O SUSP</t>
  </si>
  <si>
    <t>VOLKSVIT-CZS TABLET</t>
  </si>
  <si>
    <t>Asked for Status</t>
  </si>
  <si>
    <t>APPSTORM SYRUP 200Ml</t>
  </si>
  <si>
    <t>Received 14.05.2025</t>
  </si>
  <si>
    <t>MIGHTY RED-M TABLET</t>
  </si>
  <si>
    <t>VOLKSMIN SYRUP 300mL</t>
  </si>
  <si>
    <t>Received 19.05.2025</t>
  </si>
  <si>
    <t>FLOSVECT-MS 60mL</t>
  </si>
  <si>
    <t>Change QR Code in the next Repeat Order.</t>
  </si>
  <si>
    <t>LAXPOSE SYRUP 100Ml</t>
  </si>
  <si>
    <t>LAXPOSE SYRUP 200Ml</t>
  </si>
  <si>
    <t>VOLKSVIT-L DHA Syrup 225mL</t>
  </si>
  <si>
    <t>Received 22.05.2025</t>
  </si>
  <si>
    <t>Received on 14.05.2025</t>
  </si>
  <si>
    <t>RECEIVED 06.06.2025</t>
  </si>
  <si>
    <t>Received 05.06.2025</t>
  </si>
  <si>
    <t>DPCO/68</t>
  </si>
  <si>
    <t>Next time to Vrindavan Global</t>
  </si>
  <si>
    <t>VOLKSVIT-LB Capsules</t>
  </si>
  <si>
    <t>Design ok 22.05.2025</t>
  </si>
  <si>
    <t>Received 31.05.2025</t>
  </si>
  <si>
    <t>Rceived 07.06.2025</t>
  </si>
  <si>
    <t>Received 28.05.2025</t>
  </si>
  <si>
    <t>Received 20.06.2025</t>
  </si>
  <si>
    <t>Received on 21.05.2025</t>
  </si>
  <si>
    <t>Dicmolin Inj</t>
  </si>
  <si>
    <t>Exitron Inj</t>
  </si>
  <si>
    <t>Received 07.06.2025</t>
  </si>
  <si>
    <t>Clotsure Inj</t>
  </si>
  <si>
    <t>Received 14.07.2025</t>
  </si>
  <si>
    <t>Received 28.06.2025</t>
  </si>
  <si>
    <t>Drops</t>
  </si>
  <si>
    <t>160/plus additional to be added.</t>
  </si>
  <si>
    <t xml:space="preserve">   </t>
  </si>
  <si>
    <t>DUCKLIV SYRUP 225 mL</t>
  </si>
  <si>
    <t>Received 12.06.2025</t>
  </si>
  <si>
    <t>Final design approved by client....get mail tomorrow from haustus</t>
  </si>
  <si>
    <t>ITSFINE-200</t>
  </si>
  <si>
    <t>Final Design Shared. Track Final Approval.</t>
  </si>
  <si>
    <t>Design ok 24.05.2025</t>
  </si>
  <si>
    <t>STERONOR-10 CR TAB</t>
  </si>
  <si>
    <t>Received 18.08.2025</t>
  </si>
  <si>
    <t>Neflit Syrup</t>
  </si>
  <si>
    <t>Received 19.08.2025</t>
  </si>
  <si>
    <t>Received 11.06.2025</t>
  </si>
  <si>
    <t>DESIGN OK 17-05-2025</t>
  </si>
  <si>
    <t>32.28/DPCO</t>
  </si>
  <si>
    <t>Design ok 16.05.2025</t>
  </si>
  <si>
    <t>57.29/DPCO</t>
  </si>
  <si>
    <t>Bitsome -40 INJ</t>
  </si>
  <si>
    <t>Approved Final Design.</t>
  </si>
  <si>
    <t>Syncrab- 20 INJ</t>
  </si>
  <si>
    <t>PEDIBLOW Soap</t>
  </si>
  <si>
    <t>CANTBEAT Soap</t>
  </si>
  <si>
    <t>PEDIBLOW-C Soap</t>
  </si>
  <si>
    <t>3rd Party..Zuver Design Finalised.</t>
  </si>
  <si>
    <t>Repeat Product</t>
  </si>
  <si>
    <t>Design ok 20.05.2025</t>
  </si>
  <si>
    <t>Design ok 07.06.2025</t>
  </si>
  <si>
    <t>Design ok 29.05.2025</t>
  </si>
  <si>
    <t>New PO with brand and composition change (MP0251)</t>
  </si>
  <si>
    <t>ItsFine Soap</t>
  </si>
  <si>
    <t>Justlock Soap</t>
  </si>
  <si>
    <t>75g Justlock Stamped</t>
  </si>
  <si>
    <t>Evenzula Cream</t>
  </si>
  <si>
    <t>Design ok 30.05.2025</t>
  </si>
  <si>
    <t>Hepslot-400</t>
  </si>
  <si>
    <t>DESIGN OK 16.05.2024</t>
  </si>
  <si>
    <t>Design ok 10.06.2025</t>
  </si>
  <si>
    <t>Received 17.06.2025</t>
  </si>
  <si>
    <t>Versical</t>
  </si>
  <si>
    <t>10*1*15</t>
  </si>
  <si>
    <t xml:space="preserve">100 Box Physician Sample 6 tab strip. Samples are Pending </t>
  </si>
  <si>
    <t>Asked for confirmation.</t>
  </si>
  <si>
    <t>UNICHLOR-DX</t>
  </si>
  <si>
    <t>5 ML window pack</t>
  </si>
  <si>
    <t>MP0235</t>
  </si>
  <si>
    <t>MP0236</t>
  </si>
  <si>
    <t>MAIL DONE, Rate OK</t>
  </si>
  <si>
    <t>MINDSPOT-CT</t>
  </si>
  <si>
    <t>NEURO</t>
  </si>
  <si>
    <t>CLOTSURE-500 TABLET</t>
  </si>
  <si>
    <t>CLOTSURE-M TABLET</t>
  </si>
  <si>
    <t>MISAPAN- DSR</t>
  </si>
  <si>
    <t xml:space="preserve">  </t>
  </si>
  <si>
    <t>Same as Gramspan</t>
  </si>
  <si>
    <t>RIAMINAC-P</t>
  </si>
  <si>
    <t>RIAMINAC-SP</t>
  </si>
  <si>
    <t>BREZBLOW-L</t>
  </si>
  <si>
    <t>BREZBLOW-L KID</t>
  </si>
  <si>
    <t>Blinkmox- LP</t>
  </si>
  <si>
    <t>5 ML WINDOW PACK SAMPLE GIVEN</t>
  </si>
  <si>
    <t>MP0233</t>
  </si>
  <si>
    <t>old Rate + 1.80 (MP0233)</t>
  </si>
  <si>
    <t>DEWSIGHT EYE DROP</t>
  </si>
  <si>
    <t>10 ML WINDOW PACK SAMPLE GIVEN</t>
  </si>
  <si>
    <t>Change MRP as it is DPCO</t>
  </si>
  <si>
    <t>Blinkmox</t>
  </si>
  <si>
    <t>Blinkmox-D</t>
  </si>
  <si>
    <t>Blinkmox-KT</t>
  </si>
  <si>
    <t>Flosvect- BC</t>
  </si>
  <si>
    <t>Misbella-E SOAP</t>
  </si>
  <si>
    <t>Design ok 28.05.2025</t>
  </si>
  <si>
    <t>Snow Cap G</t>
  </si>
  <si>
    <t>3*10 Alu Alu</t>
  </si>
  <si>
    <t>United Laboratories</t>
  </si>
  <si>
    <t>Super Sight</t>
  </si>
  <si>
    <t xml:space="preserve">10*1 *10, BASE FOIL PRINTED DIAGNOL Moulins Logo Carton </t>
  </si>
  <si>
    <t>Ask for Mockup??</t>
  </si>
  <si>
    <t>ZIPCEE</t>
  </si>
  <si>
    <t>20 EFFERVESCENT TABLETS PER TUBE</t>
  </si>
  <si>
    <t>Design Ok.</t>
  </si>
  <si>
    <t>CALMJIYO GEL</t>
  </si>
  <si>
    <t>Lamy With Carton</t>
  </si>
  <si>
    <t>JIYOXI-OD</t>
  </si>
  <si>
    <t>PICJI Syrup</t>
  </si>
  <si>
    <t>100 mL Clear Bottle with green solution with carton</t>
  </si>
  <si>
    <t>Syrup</t>
  </si>
  <si>
    <t>Design ok 04.06.2025</t>
  </si>
  <si>
    <t>MUPJI Cream</t>
  </si>
  <si>
    <t>10g Lamy Tray with Pack window</t>
  </si>
  <si>
    <t>Design ok 05.06.2025</t>
  </si>
  <si>
    <t>ITSFINE 100 Capsules</t>
  </si>
  <si>
    <t>10*10 Blister same as ITSFINE 200</t>
  </si>
  <si>
    <t>Capsule</t>
  </si>
  <si>
    <t>Drilpain-TH8</t>
  </si>
  <si>
    <t>10*10 same as Drilpain PTH4</t>
  </si>
  <si>
    <t>Design Ok</t>
  </si>
  <si>
    <t>Linzmol-600 Tablet 10x1x6</t>
  </si>
  <si>
    <t>10*1*6</t>
  </si>
  <si>
    <t>Pipstoc-4.5 Injection</t>
  </si>
  <si>
    <t>With sterile water and tray</t>
  </si>
  <si>
    <t>GLISCORT -100 INJECTION</t>
  </si>
  <si>
    <t>48.19/dpco</t>
  </si>
  <si>
    <t>WITH STERILE WATER</t>
  </si>
  <si>
    <t>Necrabac-TZ 1.125</t>
  </si>
  <si>
    <t>212/DPCO</t>
  </si>
  <si>
    <t>ZENBELLY DRY POWDER</t>
  </si>
  <si>
    <t>60 ML GLASS BOTTLE   AMBER with Carton</t>
  </si>
  <si>
    <t>Dry Powder</t>
  </si>
  <si>
    <t>ZENBELLY Capsule</t>
  </si>
  <si>
    <t>10*10 ALU ALU (Printed Base Foil)</t>
  </si>
  <si>
    <t>21g sachet</t>
  </si>
  <si>
    <t>sachet</t>
  </si>
  <si>
    <t>25g sachet</t>
  </si>
  <si>
    <t>Received 09.06.2025</t>
  </si>
  <si>
    <t>Enterfax 400</t>
  </si>
  <si>
    <t>IPSMOL</t>
  </si>
  <si>
    <t>5*5*2.5 ml</t>
  </si>
  <si>
    <t>Respules</t>
  </si>
  <si>
    <t>SHIVPRO SUSPENSION</t>
  </si>
  <si>
    <t>10 MINI BOTTLES OF 5 ML EACH</t>
  </si>
  <si>
    <t>ZENBELLY -3</t>
  </si>
  <si>
    <t>20 *1.5 GM , Bubble gum flavour</t>
  </si>
  <si>
    <t>Sachet</t>
  </si>
  <si>
    <t>AARMED LIFESCIENCES</t>
  </si>
  <si>
    <t>Design Ok, PO Halted due to lack of Approval</t>
  </si>
  <si>
    <t>Misbella-E</t>
  </si>
  <si>
    <t>10*1*10, Base foil Printed</t>
  </si>
  <si>
    <t>Mail done, ORDER ok</t>
  </si>
  <si>
    <t>COLDSHI SYRUP</t>
  </si>
  <si>
    <t>ZENVOM-4 TABLET</t>
  </si>
  <si>
    <t>58.5/ max DPCO</t>
  </si>
  <si>
    <t>Rate Ok</t>
  </si>
  <si>
    <t>LVDOT-500</t>
  </si>
  <si>
    <t>JAMKAS</t>
  </si>
  <si>
    <t>Done</t>
  </si>
  <si>
    <t>COOLBITE-M</t>
  </si>
  <si>
    <t>170 ML</t>
  </si>
  <si>
    <t>NEW PO WITH NAME COOLBITE-MS</t>
  </si>
  <si>
    <t>COOLBITE-S 100mL</t>
  </si>
  <si>
    <t>COOLBITE-S 200 ML</t>
  </si>
  <si>
    <t xml:space="preserve">CHEERTEL-40 </t>
  </si>
  <si>
    <t>CHEERTEL-AM</t>
  </si>
  <si>
    <t>Color combo shared</t>
  </si>
  <si>
    <t>CHEERTEL-H</t>
  </si>
  <si>
    <t>CHEERTEL-AH</t>
  </si>
  <si>
    <t>CHEERTEL-CL 40</t>
  </si>
  <si>
    <t>CHEERTEL-MXL 25</t>
  </si>
  <si>
    <t>Mockup shared with Designer</t>
  </si>
  <si>
    <t>CHEERTEL-MXL 50</t>
  </si>
  <si>
    <t>CHEERTEL-MCL 25</t>
  </si>
  <si>
    <t>CHEERTEL-80</t>
  </si>
  <si>
    <t>CHEERTEL-CT 40/6.25</t>
  </si>
  <si>
    <t>CNPERI-250 SUSPENSION</t>
  </si>
  <si>
    <t>Drilpain-D Tablet</t>
  </si>
  <si>
    <t>Final Design Shared, Track final approval.</t>
  </si>
  <si>
    <t>FENAMOST-D TAB</t>
  </si>
  <si>
    <t>Design ok 12.06.2025</t>
  </si>
  <si>
    <t>FENAMOST-P TAB</t>
  </si>
  <si>
    <t>Cancel</t>
  </si>
  <si>
    <t>JACKSPOR-CV 325</t>
  </si>
  <si>
    <t>INDOPRES SR</t>
  </si>
  <si>
    <t>Design ok 09.06.2025</t>
  </si>
  <si>
    <t>RATE OK</t>
  </si>
  <si>
    <t>DRILPAIN-P TAB</t>
  </si>
  <si>
    <t>RECEIVED 12.07.2025</t>
  </si>
  <si>
    <t>MOXMOL-250 TAB</t>
  </si>
  <si>
    <t>45.00 per sachet</t>
  </si>
  <si>
    <t>MOXMOL-500 CAP</t>
  </si>
  <si>
    <t>JACKSPOR-LB 200</t>
  </si>
  <si>
    <t>Design ok 14.06.2025</t>
  </si>
  <si>
    <t>JACKSPOR-O 200 TAB</t>
  </si>
  <si>
    <t>COOLBITE SUSP</t>
  </si>
  <si>
    <t>170 mL</t>
  </si>
  <si>
    <t>Design ok 13.06.2025</t>
  </si>
  <si>
    <t>Mustbon-D3 NANO SHOT</t>
  </si>
  <si>
    <t>4*5 ml Sugar Free</t>
  </si>
  <si>
    <t>COOLBITE-MS SUSP</t>
  </si>
  <si>
    <t>Ensure Mango flavour drink is Yellow in color next time.</t>
  </si>
  <si>
    <t>COOLBITE-MSD SUSP</t>
  </si>
  <si>
    <t>MAIL DONE, order ok</t>
  </si>
  <si>
    <t>NICOSPAN-5</t>
  </si>
  <si>
    <t>BAJAJ FORMULATIONS</t>
  </si>
  <si>
    <t>Design same as Cheertel, asked bajaj Team</t>
  </si>
  <si>
    <t>NGmol-2.6</t>
  </si>
  <si>
    <t>30 Tablets in pet bottle</t>
  </si>
  <si>
    <t>CEREBOON-GOLD</t>
  </si>
  <si>
    <t>RAMOM HEALTHCARE</t>
  </si>
  <si>
    <t xml:space="preserve">MAIL DONE, REPEAT </t>
  </si>
  <si>
    <t>LAXPOSE-3</t>
  </si>
  <si>
    <t>MP0317</t>
  </si>
  <si>
    <t>Lansberg-RD</t>
  </si>
  <si>
    <t>10*10 alu alu</t>
  </si>
  <si>
    <t>MPC Pharmaceuticals</t>
  </si>
  <si>
    <t>Cremcal CCM</t>
  </si>
  <si>
    <t>30 tablets in pet bottle with sticker</t>
  </si>
  <si>
    <t>Fenamost-P</t>
  </si>
  <si>
    <t>10*10  Blister pack</t>
  </si>
  <si>
    <t>Altar Sri</t>
  </si>
  <si>
    <t>Acidblock-D Tablets</t>
  </si>
  <si>
    <t>10*15 alu alu</t>
  </si>
  <si>
    <t>Coxcalm-P Tablets</t>
  </si>
  <si>
    <t>Gramspan DSR  10x10</t>
  </si>
  <si>
    <t>Truslide-P Tablets</t>
  </si>
  <si>
    <t>45/10 tabs</t>
  </si>
  <si>
    <t>20*10 Blister</t>
  </si>
  <si>
    <t>Shared Ortho CDR Ffor Design</t>
  </si>
  <si>
    <t>Cranpres-IV</t>
  </si>
  <si>
    <t>100 mL FFS Poly Body</t>
  </si>
  <si>
    <t>Farobyte-CV</t>
  </si>
  <si>
    <t>Holdback 200 SR</t>
  </si>
  <si>
    <t>Mockup Shared with Designer</t>
  </si>
  <si>
    <t>Ridsclav-375</t>
  </si>
  <si>
    <t>Asked them for changes.</t>
  </si>
  <si>
    <t>VOLKSMIN RGX</t>
  </si>
  <si>
    <t>20*5 sachet</t>
  </si>
  <si>
    <t>Asked Them for changes (Same as Volksmin RGX)</t>
  </si>
  <si>
    <t>Esomel 40</t>
  </si>
  <si>
    <t>10*15 Alu Alu</t>
  </si>
  <si>
    <t>Bitsome 40</t>
  </si>
  <si>
    <t>EXCELACT</t>
  </si>
  <si>
    <t>200g Sleeve Pack</t>
  </si>
  <si>
    <t>Track final approval</t>
  </si>
  <si>
    <t>Anthena-M</t>
  </si>
  <si>
    <t>10*1*10 ALU ALU Composition: "Mecobalamin,ALA, Benfotiamine Pyridoxine  calcium pantothenate Folic acid chromium picolinate  Inositol &amp; Lutein soft gel caps</t>
  </si>
  <si>
    <t>Zuver</t>
  </si>
  <si>
    <t>10x1x10 packing.</t>
  </si>
  <si>
    <t>Gabrock-M</t>
  </si>
  <si>
    <t>Gabrock-NT 400</t>
  </si>
  <si>
    <t>Asked for Changes</t>
  </si>
  <si>
    <t>Dripnase Drops</t>
  </si>
  <si>
    <t>15 ml bottle with Carton, Measuring Cap, and Dropper</t>
  </si>
  <si>
    <t>Exitron Drops</t>
  </si>
  <si>
    <t>30 ml bottle with Carton, Measuring Cap &amp; Dropper</t>
  </si>
  <si>
    <t>Shared with ruzette</t>
  </si>
  <si>
    <t>Appstorm Drops</t>
  </si>
  <si>
    <t>Mighty Red-XT Drops</t>
  </si>
  <si>
    <t>15 ml bottle with Carton, Measuring Cap &amp; Dropper</t>
  </si>
  <si>
    <t>Jackzyme Drops</t>
  </si>
  <si>
    <t>Echobid-LS Drops</t>
  </si>
  <si>
    <t>Volksvit L Drops</t>
  </si>
  <si>
    <t>Mustbon-D3 Drops</t>
  </si>
  <si>
    <t>30 ml glass bottle with Carton, Measuring Cap &amp; Dropper and Moulins logo PP Caps</t>
  </si>
  <si>
    <t>Track Final Design, check mail</t>
  </si>
  <si>
    <t>Pyrostop Drops</t>
  </si>
  <si>
    <t>ZIDPOWER-T</t>
  </si>
  <si>
    <t>Vellington</t>
  </si>
  <si>
    <t>LGZ</t>
  </si>
  <si>
    <t>Tablets</t>
  </si>
  <si>
    <t>Crampion Plus</t>
  </si>
  <si>
    <t>10*1*10 ALU ALU, Base Foil Printed</t>
  </si>
  <si>
    <t>Farobyte-200</t>
  </si>
  <si>
    <t>10 x 1 x 6 (ALU-ALU)</t>
  </si>
  <si>
    <t>Asked for changes</t>
  </si>
  <si>
    <t>10 x 10 (ALU-ALU), Perforated Strip</t>
  </si>
  <si>
    <t>Mighty Red FCM</t>
  </si>
  <si>
    <t>Carton with Tray Pack</t>
  </si>
  <si>
    <t>Vial</t>
  </si>
  <si>
    <t>Track Final Design</t>
  </si>
  <si>
    <t>Systole Remedies</t>
  </si>
  <si>
    <t>5 ML Tray Pack</t>
  </si>
  <si>
    <t>Z-BET</t>
  </si>
  <si>
    <t>3 x 2 ml Ampoules</t>
  </si>
  <si>
    <t>Season gone, will see next year</t>
  </si>
  <si>
    <t>Echobid 100</t>
  </si>
  <si>
    <t>10x10 Alu Alu</t>
  </si>
  <si>
    <t>Got the design</t>
  </si>
  <si>
    <t>NITPAC-100</t>
  </si>
  <si>
    <t>10 x 14 Blister</t>
  </si>
  <si>
    <t>Color Change, Reduce Rate to 135 next time</t>
  </si>
  <si>
    <t>Cremcal Max</t>
  </si>
  <si>
    <t xml:space="preserve">10x1x15 </t>
  </si>
  <si>
    <t>DDA to DHA</t>
  </si>
  <si>
    <t>225 ml WITH MOULINS CAP and Carton 375 GSM</t>
  </si>
  <si>
    <t xml:space="preserve">Canbliss-AS </t>
  </si>
  <si>
    <t>Blister Kit (10 x 1 x 4)</t>
  </si>
  <si>
    <t>Moulins Q10-300</t>
  </si>
  <si>
    <t>10x1x10 Alu Alu</t>
  </si>
  <si>
    <t>NB Healthcare</t>
  </si>
  <si>
    <t>Track final Design, Ensure Dripoff</t>
  </si>
  <si>
    <t>ZOD Plus</t>
  </si>
  <si>
    <t>30 mL Bottle with Measuring Cap and Dropper</t>
  </si>
  <si>
    <t>DROPS</t>
  </si>
  <si>
    <t>Design Shared</t>
  </si>
  <si>
    <t>AMOXYKOT-CV</t>
  </si>
  <si>
    <t>10 x 1 x 10 Alu Alu</t>
  </si>
  <si>
    <t>Done, get CDR</t>
  </si>
  <si>
    <t>Zenmood</t>
  </si>
  <si>
    <t>2x5x10 Blister</t>
  </si>
  <si>
    <t>ready</t>
  </si>
  <si>
    <t>Vellinton Healthcare</t>
  </si>
  <si>
    <t>Track final Design</t>
  </si>
  <si>
    <t>JoyZinc</t>
  </si>
  <si>
    <t>Received 12.08.2025</t>
  </si>
  <si>
    <t>Cereboon-DHA</t>
  </si>
  <si>
    <t>red</t>
  </si>
  <si>
    <t>Gesplan</t>
  </si>
  <si>
    <t>160/strip</t>
  </si>
  <si>
    <t>Holdback M</t>
  </si>
  <si>
    <t>DPCO/69.9</t>
  </si>
  <si>
    <t>Estronot</t>
  </si>
  <si>
    <t>450/Strip</t>
  </si>
  <si>
    <t>10*1*28</t>
  </si>
  <si>
    <t>Drilspas 40</t>
  </si>
  <si>
    <t>Rates awaited</t>
  </si>
  <si>
    <t>Drilspas DS</t>
  </si>
  <si>
    <t>90/strip</t>
  </si>
  <si>
    <t>ACTSMART 100</t>
  </si>
  <si>
    <t>10 x 10 ALU ALU</t>
  </si>
  <si>
    <t>asked design</t>
  </si>
  <si>
    <t>TORCHWIN Capsules</t>
  </si>
  <si>
    <t>10x10 Blister</t>
  </si>
  <si>
    <t>Yaxon Biocare</t>
  </si>
  <si>
    <t>DUCKLIV SYRUP 100mL</t>
  </si>
  <si>
    <t>100ml with Moulins Cap and Carton 375 GSM</t>
  </si>
  <si>
    <t>Volksliv Syrup 225mL</t>
  </si>
  <si>
    <t>225 mL with Moulins Cap and Carton 375 GSM</t>
  </si>
  <si>
    <t>Shared With Designer</t>
  </si>
  <si>
    <t>Appstorm Syrup 100 mL</t>
  </si>
  <si>
    <t>asked them make design</t>
  </si>
  <si>
    <t>Volksliv Syrup 100mL</t>
  </si>
  <si>
    <t>Volksvit-L DHA Syrup 100 mL</t>
  </si>
  <si>
    <t>Changed to shubham,</t>
  </si>
  <si>
    <t xml:space="preserve"> No added sugar, 350 GSM as discussed, PP cap Moulins</t>
  </si>
  <si>
    <t>Doxbite-CV 50 Dry Syrup</t>
  </si>
  <si>
    <t>30 mL PVC Bottle with Sterile Water</t>
  </si>
  <si>
    <t>Dry Syrup</t>
  </si>
  <si>
    <t>Alps Communications</t>
  </si>
  <si>
    <t>Doxbite-CV 100 Dry Syrup</t>
  </si>
  <si>
    <t>Driloxim-125 Dry Syrup</t>
  </si>
  <si>
    <t>Farobyte 50 Suspension</t>
  </si>
  <si>
    <t>30 mL Glass Bottle with Sterile Water</t>
  </si>
  <si>
    <t>Citronorm</t>
  </si>
  <si>
    <t xml:space="preserve">100 mL Bottle with Moulins Cap, Golden leafing labels, PP caps, customized carton
</t>
  </si>
  <si>
    <t>Change to UniSpeed</t>
  </si>
  <si>
    <t>Citronorm-K</t>
  </si>
  <si>
    <t>200 mL Round Bottle with Carton</t>
  </si>
  <si>
    <t xml:space="preserve">Shared Mockup </t>
  </si>
  <si>
    <t>Lansberg Junior</t>
  </si>
  <si>
    <t>10 x 15 ALU ALU</t>
  </si>
  <si>
    <t>tablets</t>
  </si>
  <si>
    <t>LET’S UP-5</t>
  </si>
  <si>
    <t>10 x 1 x 5 Tablets Blister</t>
  </si>
  <si>
    <t>Elvia</t>
  </si>
  <si>
    <t>Let-Cure 5</t>
  </si>
  <si>
    <t>Cancel the Order</t>
  </si>
  <si>
    <t>COLDSHI-HS DROP </t>
  </si>
  <si>
    <t>15 mL Bottle with Carton and Dropper </t>
  </si>
  <si>
    <t>TO BE CANCELLED?</t>
  </si>
  <si>
    <t>CALDIBLE TABLETS </t>
  </si>
  <si>
    <t>10x15 Blister</t>
  </si>
  <si>
    <t>Joyzinc Suspension</t>
  </si>
  <si>
    <t>100mL Standard Suspension Bottle PP cap Moulins with carton and Measuring Cap </t>
  </si>
  <si>
    <t>Asked for mockup (Design pending)</t>
  </si>
  <si>
    <t>Zipcee + </t>
  </si>
  <si>
    <t>120/strip</t>
  </si>
  <si>
    <t xml:space="preserve">10 x 15 Aluminum Strip </t>
  </si>
  <si>
    <t>Cian</t>
  </si>
  <si>
    <t>IQC  Inj</t>
  </si>
  <si>
    <t>1 x 2 mL Ampoules  with Tray Pack</t>
  </si>
  <si>
    <t>Farokot-50 </t>
  </si>
  <si>
    <t>30 mL Pack with Carton and Sterile Water, Glass Bottle</t>
  </si>
  <si>
    <t>Shared with Alps Designer</t>
  </si>
  <si>
    <t>Farokot-100</t>
  </si>
  <si>
    <t>RISHCLAV-LB 625</t>
  </si>
  <si>
    <t>ACELEN SP</t>
  </si>
  <si>
    <t xml:space="preserve">100 mL Bottle with Moulins Cap, Golden leafing labels, PP caps.
</t>
  </si>
  <si>
    <t>Design shared.</t>
  </si>
  <si>
    <t>Gumsnorm Tooth gel</t>
  </si>
  <si>
    <t>50g with carton (Flap)</t>
  </si>
  <si>
    <t>Toothpaste</t>
  </si>
  <si>
    <t>National Laboratories</t>
  </si>
  <si>
    <t>Paid 9745 extra as inventory charge.</t>
  </si>
  <si>
    <t>Mighty Red 300mL Syrup</t>
  </si>
  <si>
    <t xml:space="preserve">300mL, Metallic corrugated box with metallic label, PP cap (Moulins)
</t>
  </si>
  <si>
    <t>Buckstop- 1G</t>
  </si>
  <si>
    <t>Tray with Carton</t>
  </si>
  <si>
    <t>injection</t>
  </si>
  <si>
    <t>Aquapara</t>
  </si>
  <si>
    <t>10 x 1 ml Ampoules </t>
  </si>
  <si>
    <t>Moms Volksmin</t>
  </si>
  <si>
    <t>Sleeve Packaging</t>
  </si>
  <si>
    <t>Protein</t>
  </si>
  <si>
    <t>Volksvit LB SG Capsules</t>
  </si>
  <si>
    <t>Waiting composition Change</t>
  </si>
  <si>
    <t>Teelax</t>
  </si>
  <si>
    <t>Metallic carton with Golden leafing label </t>
  </si>
  <si>
    <t>Farokot 200</t>
  </si>
  <si>
    <t>asked for Mockup</t>
  </si>
  <si>
    <t>Farokot 300</t>
  </si>
  <si>
    <t>Gramspan-L</t>
  </si>
  <si>
    <t>270/strip</t>
  </si>
  <si>
    <t>10 x 10 Aluminum Strip</t>
  </si>
  <si>
    <t>Drilpain RB</t>
  </si>
  <si>
    <t>10 x 10 Aluminum Strip (Capsules)</t>
  </si>
  <si>
    <t>Bitsome LS</t>
  </si>
  <si>
    <t>10 x 10 Strip</t>
  </si>
  <si>
    <t xml:space="preserve">
Cabsmile 0.5</t>
  </si>
  <si>
    <t>10 x 1 x 4 Alu Alu</t>
  </si>
  <si>
    <t>Cabstel 0.5</t>
  </si>
  <si>
    <t>3rd party</t>
  </si>
  <si>
    <t>Track Final Design.</t>
  </si>
  <si>
    <t>Caldible-D3</t>
  </si>
  <si>
    <t>4 x 5 ml bottles per box</t>
  </si>
  <si>
    <t>Nano Shot</t>
  </si>
  <si>
    <t>Flosvect MS 30mL</t>
  </si>
  <si>
    <t>30 ml pack with carton, PP cap Moulins printed cap</t>
  </si>
  <si>
    <t>Change to ruzette</t>
  </si>
  <si>
    <t>WINDPACK L SYRUP 30mL</t>
  </si>
  <si>
    <t>30 ml pack, PP cap Moulins printed cap</t>
  </si>
  <si>
    <t>Provide PP Caps</t>
  </si>
  <si>
    <t>ECHOTUSS-D Syrup 60mL</t>
  </si>
  <si>
    <t>60 ml clear bottle, Sticker Label Only (without carton)</t>
  </si>
  <si>
    <t>ECHOBID SYRUP 60mL</t>
  </si>
  <si>
    <t>ECHOBID LS Syrup 60mL</t>
  </si>
  <si>
    <t>Pegzap</t>
  </si>
  <si>
    <t>119 g</t>
  </si>
  <si>
    <t>Weldew</t>
  </si>
  <si>
    <t>50k Advance Payment</t>
  </si>
  <si>
    <t>TOM 8O Plus Suspension</t>
  </si>
  <si>
    <t xml:space="preserve">
225 ml, PP cap Moulins printed, sugar free, 330 GSm CArton</t>
  </si>
  <si>
    <t>10*1*10 Alu ALu</t>
  </si>
  <si>
    <t>G-Preg</t>
  </si>
  <si>
    <t>15*5</t>
  </si>
  <si>
    <t>Volksvit Z</t>
  </si>
  <si>
    <t>200 mL Round Bottle with Carton (Extra Sugar)</t>
  </si>
  <si>
    <t>Design mistake remove "No added Sugar" on label</t>
  </si>
  <si>
    <t>Rifa K</t>
  </si>
  <si>
    <t>60mL With M Cap and Carton</t>
  </si>
  <si>
    <t>Cefokot O Tablet</t>
  </si>
  <si>
    <t>Azikot-250</t>
  </si>
  <si>
    <t>₹79.76 per strip (DPCO MAX)</t>
  </si>
  <si>
    <t>10×6 Blister</t>
  </si>
  <si>
    <t>Mighty Red -M XT SYRUP</t>
  </si>
  <si>
    <t>Just 5</t>
  </si>
  <si>
    <t>Sticker Label Only (Tamper Proof Seal Sticker)</t>
  </si>
  <si>
    <t>Roll on</t>
  </si>
  <si>
    <t>Shared with Designer</t>
  </si>
  <si>
    <t>Echobid AM</t>
  </si>
  <si>
    <t>99/strip</t>
  </si>
  <si>
    <t>10×10 Alu-Alu</t>
  </si>
  <si>
    <t>Design Ready</t>
  </si>
  <si>
    <t>Calmjiyo Inj</t>
  </si>
  <si>
    <t>10x1 mL</t>
  </si>
  <si>
    <t>shared with Designer</t>
  </si>
  <si>
    <t>Smayan</t>
  </si>
  <si>
    <t>Caldible-D3 Nano Shot</t>
  </si>
  <si>
    <t>JACKZYME TAB</t>
  </si>
  <si>
    <t>5x2x15 Aluminum Strip</t>
  </si>
  <si>
    <t>DUCKLIV-DS TABLET</t>
  </si>
  <si>
    <t>30 TAB HDPE CONTAINER, REVERSE METALLIC VELVET MAT (SPOT UV)</t>
  </si>
  <si>
    <t>NEFLIT TAB</t>
  </si>
  <si>
    <t>Vatsla Capsules</t>
  </si>
  <si>
    <t>75/Strip</t>
  </si>
  <si>
    <t>10*10 Blister, green colour capsules</t>
  </si>
  <si>
    <t>Rate inc to 85 due to job work, wrong MRP</t>
  </si>
  <si>
    <t>Volksmin-Mama Chocolate Flavour</t>
  </si>
  <si>
    <t>Same composition as of Metaprot-DHA chocolate flavour</t>
  </si>
  <si>
    <t>Volksmin-Mama American Ice cream Flavour</t>
  </si>
  <si>
    <t>Same composition as of Metaprot-DHA American Ice Cream flavour</t>
  </si>
  <si>
    <t>Volksmin-Osteo</t>
  </si>
  <si>
    <t>Recieved @46, Please issue Debit note</t>
  </si>
  <si>
    <t>CANBLISS 150</t>
  </si>
  <si>
    <t>13.74/DPCO</t>
  </si>
  <si>
    <t>6*5*1 Blister white coated foil</t>
  </si>
  <si>
    <t>CANBLISS 200</t>
  </si>
  <si>
    <t>CANBLISS 400</t>
  </si>
  <si>
    <t>20*1 Blister white coated foil</t>
  </si>
  <si>
    <t>CANBLISS -I DS</t>
  </si>
  <si>
    <t>6*5*1 Foil white coating</t>
  </si>
  <si>
    <t>Baniver-6</t>
  </si>
  <si>
    <t>30*1 Blister, amber color</t>
  </si>
  <si>
    <t xml:space="preserve">HEPA-CYTE TAB </t>
  </si>
  <si>
    <t>124/strip</t>
  </si>
  <si>
    <t>10*10 blister </t>
  </si>
  <si>
    <t>Milky Glow </t>
  </si>
  <si>
    <t>30 caps container same as image enclosed </t>
  </si>
  <si>
    <t>capsules</t>
  </si>
  <si>
    <t>Sigma Softgel</t>
  </si>
  <si>
    <t>DUCKLIV DS 300mL Syrup</t>
  </si>
  <si>
    <t>300 ml, Corrugated metallic carton as already shared, Label metallic as sample shared earlier </t>
  </si>
  <si>
    <t>VATSLA Shakti 300mL Syrup</t>
  </si>
  <si>
    <t>NA</t>
  </si>
  <si>
    <t>Irokot Injection</t>
  </si>
  <si>
    <t>Standard injectable ampoule pack</t>
  </si>
  <si>
    <t>IROKOT SYRUP</t>
  </si>
  <si>
    <t>200 ml with M cap and carton</t>
  </si>
  <si>
    <t>Mustbon-D3 Nano Shot</t>
  </si>
  <si>
    <t>4 × 5 ml</t>
  </si>
  <si>
    <t>Mustbon-D3 (10x1x8)</t>
  </si>
  <si>
    <t>10×1×8 (Blister)</t>
  </si>
  <si>
    <t>Blister</t>
  </si>
  <si>
    <t>Isabella</t>
  </si>
  <si>
    <t>100 gm with dispenser</t>
  </si>
  <si>
    <t>Isabella Plus</t>
  </si>
  <si>
    <t>100 gm with dispenser Green cap</t>
  </si>
  <si>
    <t>Camylock</t>
  </si>
  <si>
    <t>10×15 (Same as image enclosed)</t>
  </si>
  <si>
    <t>DRILOXim-CV TAB</t>
  </si>
  <si>
    <t>VERYMOX CV 625</t>
  </si>
  <si>
    <t>10*1*10 ALUMINIUM STRIP</t>
  </si>
  <si>
    <t>VERYMOX CV 375</t>
  </si>
  <si>
    <t>CNPERI 125</t>
  </si>
  <si>
    <t>60 ML WITH CARTON AND M CAP</t>
  </si>
  <si>
    <t>SHIVODOM</t>
  </si>
  <si>
    <t>MP0520</t>
  </si>
  <si>
    <t>MOUXIL-LC TAB</t>
  </si>
  <si>
    <t>10*10 ALUMINIUM STRIP</t>
  </si>
  <si>
    <t>SYNCRAB-L CAP</t>
  </si>
  <si>
    <t>Recieved Partially</t>
  </si>
  <si>
    <t>DRILPAIN-P (BLISTER)</t>
  </si>
  <si>
    <t>Doubled by mistake</t>
  </si>
  <si>
    <t>Pyrostop-650</t>
  </si>
  <si>
    <t>NECRABAC-SB 1.5 GM INJ</t>
  </si>
  <si>
    <t>1.5 GM GLASS BOTTLE</t>
  </si>
  <si>
    <t>WINDPACK L TABLET 10x10</t>
  </si>
  <si>
    <t>XETAG-M1</t>
  </si>
  <si>
    <t>10*15 BILAYERED BLISTER</t>
  </si>
  <si>
    <t>XETAG-M2</t>
  </si>
  <si>
    <t>XETAG-M1 FORTE</t>
  </si>
  <si>
    <t>10*10 BILAYERED BLISTER</t>
  </si>
  <si>
    <t>XETAG-M2 FORTE</t>
  </si>
  <si>
    <t>to be cancelled</t>
  </si>
  <si>
    <t>Pyrostop-500</t>
  </si>
  <si>
    <t>10*15 CLEAR PVC</t>
  </si>
  <si>
    <t>MPC PHARMACEUTICALS</t>
  </si>
  <si>
    <t>COXCALM-120</t>
  </si>
  <si>
    <t>MONTSHI TABLET</t>
  </si>
  <si>
    <t>DICMOLIN MXL</t>
  </si>
  <si>
    <t>Check</t>
  </si>
  <si>
    <t>HALOBUDY S</t>
  </si>
  <si>
    <t>CANCEL</t>
  </si>
  <si>
    <t xml:space="preserve">10*5 BLISTER </t>
  </si>
  <si>
    <t>CANTBEAT-6 CREAM</t>
  </si>
  <si>
    <t>change to vrindhavan</t>
  </si>
  <si>
    <t>ECHOTUSS-JUNIOR</t>
  </si>
  <si>
    <t>60 ML WITH LEAFING</t>
  </si>
  <si>
    <t>Track final design</t>
  </si>
  <si>
    <t>RIDSCLAV-625 TAB 10*1*10</t>
  </si>
  <si>
    <t>RIDSCLAV-625 TAB 10*1*6</t>
  </si>
  <si>
    <t>10*1*6 ALUMINIUM STRIP</t>
  </si>
  <si>
    <t>DRILPAIN PDS</t>
  </si>
  <si>
    <t>BRUSCON 100mL</t>
  </si>
  <si>
    <t>MISBELLA CHARCOAL FACEWASH</t>
  </si>
  <si>
    <t>100 GM</t>
  </si>
  <si>
    <t>FACE WASH</t>
  </si>
  <si>
    <t>GARANTID</t>
  </si>
  <si>
    <t>ACNEPRES FACE WASH</t>
  </si>
  <si>
    <t>60 GM</t>
  </si>
  <si>
    <t>UV Blast</t>
  </si>
  <si>
    <t>50 SPF  With Hyaluronic Acid 1% P+++</t>
  </si>
  <si>
    <t>Probably cancelled</t>
  </si>
  <si>
    <t>CALDIBLE-D3 SG Cap 60K</t>
  </si>
  <si>
    <t>10*1*4 Blister</t>
  </si>
  <si>
    <t>Softgel Capsule</t>
  </si>
  <si>
    <t>Broad Injectables</t>
  </si>
  <si>
    <t>Linemint</t>
  </si>
  <si>
    <t>10×10, base foil printed</t>
  </si>
  <si>
    <t xml:space="preserve"> Soft Gel Capsules</t>
  </si>
  <si>
    <t>recieved but returned due to design issue. No unit in composition Change design next time</t>
  </si>
  <si>
    <t>NAPIUM 750 SR</t>
  </si>
  <si>
    <t>10 Tablets / Strip</t>
  </si>
  <si>
    <t>3rd party Kotler</t>
  </si>
  <si>
    <t>Naxiva 750 SR</t>
  </si>
  <si>
    <t>Windfresh 0.63</t>
  </si>
  <si>
    <t>dpco</t>
  </si>
  <si>
    <t>5×5</t>
  </si>
  <si>
    <t xml:space="preserve">Nebuliser </t>
  </si>
  <si>
    <t>Volksmin-SE</t>
  </si>
  <si>
    <t>20 ml</t>
  </si>
  <si>
    <t>Windfresh -S</t>
  </si>
  <si>
    <t>5×5×4 ml</t>
  </si>
  <si>
    <t>Blissgard Syrup</t>
  </si>
  <si>
    <t>200 ml with carton,  PP CAP MOULINS</t>
  </si>
  <si>
    <t>137.95/Strip</t>
  </si>
  <si>
    <t>Prestimol Oral Paste 7.5g</t>
  </si>
  <si>
    <t>7.5 gm with carton</t>
  </si>
  <si>
    <t>PRIKMIK-100 Inj</t>
  </si>
  <si>
    <t>2mL Clear</t>
  </si>
  <si>
    <t>PRIKMIK-250</t>
  </si>
  <si>
    <t>PRIKMIK-500</t>
  </si>
  <si>
    <t>Windfresh 0.31</t>
  </si>
  <si>
    <t>dpco/9</t>
  </si>
  <si>
    <t>Volksmin-Mama Chocolate</t>
  </si>
  <si>
    <t>200 gm sleeve packing</t>
  </si>
  <si>
    <t>Chocolate Powder</t>
  </si>
  <si>
    <t>Nebsmol-G</t>
  </si>
  <si>
    <t>52/unit</t>
  </si>
  <si>
    <t>4×5×2 ml</t>
  </si>
  <si>
    <t>Gentakot Plus</t>
  </si>
  <si>
    <t>5 ml Ear Drops</t>
  </si>
  <si>
    <t>Ear Drops</t>
  </si>
  <si>
    <t>LGBEC</t>
  </si>
  <si>
    <t>Colsvit-Plus</t>
  </si>
  <si>
    <t>249/strip</t>
  </si>
  <si>
    <t>10×1×10 Blister same as colodiet plus</t>
  </si>
  <si>
    <t>Dripnase Forte</t>
  </si>
  <si>
    <t>20x10 Blister</t>
  </si>
  <si>
    <t>VRINDAVAN GLOBAL</t>
  </si>
  <si>
    <t>Dripnase AM</t>
  </si>
  <si>
    <t>10×1×10 Blister</t>
  </si>
  <si>
    <t>Dripnase Gems</t>
  </si>
  <si>
    <t>10×10 Blister</t>
  </si>
  <si>
    <t>Metsever 50 XL</t>
  </si>
  <si>
    <t>10×10 Aluminum Strip</t>
  </si>
  <si>
    <t>track Final Design</t>
  </si>
  <si>
    <t>Metsever 25 XL</t>
  </si>
  <si>
    <t>Rate @13.8 to be confirmed, Qty reduced from 1500 to 1200</t>
  </si>
  <si>
    <t>253/strip</t>
  </si>
  <si>
    <t>XETAG-M1 Forte</t>
  </si>
  <si>
    <t>200 ML WITH M-CAP AND CARTON</t>
  </si>
  <si>
    <t>Calcikot Max</t>
  </si>
  <si>
    <t>10×1×10 ALU ALU</t>
  </si>
  <si>
    <t>10 ML WITH CARTON</t>
  </si>
  <si>
    <t>Eyedrop</t>
  </si>
  <si>
    <t>MMG</t>
  </si>
  <si>
    <t>BITSOME-RD CAP Alu Alu</t>
  </si>
  <si>
    <t>82/strip</t>
  </si>
  <si>
    <t>Ask for status</t>
  </si>
  <si>
    <t>Doxbite-100 Susp</t>
  </si>
  <si>
    <t>15 gm powder for 30 ml susp / M Cap  GLASS BOTTLE</t>
  </si>
  <si>
    <t>10 ML Nasal Spray</t>
  </si>
  <si>
    <t>Nasal Spray</t>
  </si>
  <si>
    <t>DRIPNASE-KID NASAL SPRAY</t>
  </si>
  <si>
    <t>DRIPNASE-S Nasal Spray</t>
  </si>
  <si>
    <t>20 ML Nasal Spray</t>
  </si>
  <si>
    <t>WINDPACK NASAL SPRAY</t>
  </si>
  <si>
    <t>Shared Design</t>
  </si>
  <si>
    <t>Rezal Packing</t>
  </si>
  <si>
    <t>Design Shared with mpc mfg number</t>
  </si>
  <si>
    <t>Epilator 500</t>
  </si>
  <si>
    <t>138/Strip</t>
  </si>
  <si>
    <t>10×10 White PVC</t>
  </si>
  <si>
    <t>MRP Change?</t>
  </si>
  <si>
    <t>JACKSPOR-O 200</t>
  </si>
  <si>
    <t>VOLKSVIT-L SYRUP 225mL</t>
  </si>
  <si>
    <t>225 ml WITH MOULINS CAP  350 GSM
M Cap with Moulins</t>
  </si>
  <si>
    <t>Jackspor-100 Susp</t>
  </si>
  <si>
    <t>12 gm powder for 30 ml susp / M Cap</t>
  </si>
  <si>
    <t>MUSTBON D3 SG CAP</t>
  </si>
  <si>
    <t>10*1*4 SQUARE BLISTER</t>
  </si>
  <si>
    <t>NIBCOX</t>
  </si>
  <si>
    <t>WINDPACK-3X TAB</t>
  </si>
  <si>
    <t>TUMSGARD</t>
  </si>
  <si>
    <t>150 ML</t>
  </si>
  <si>
    <t>COXCALM-90</t>
  </si>
  <si>
    <t>DICMOLIN-MR TAB</t>
  </si>
  <si>
    <t>60 ml with carton and M Cap  (Mango Flavour)</t>
  </si>
  <si>
    <t>FLOSVECT-200</t>
  </si>
  <si>
    <t>Hold the order</t>
  </si>
  <si>
    <t>HYDROBILE-150 TAB</t>
  </si>
  <si>
    <t>210/strip</t>
  </si>
  <si>
    <t>200 ML WITH MOULINS CAP</t>
  </si>
  <si>
    <t>Piloshaant Ointment</t>
  </si>
  <si>
    <t>30 GM METALLIC FLAP WITH APPLICATOR</t>
  </si>
  <si>
    <t>DRILPAIN-PTH4 TAB</t>
  </si>
  <si>
    <t>Ask for confirmation</t>
  </si>
  <si>
    <t>Next time to Smayan @11.8</t>
  </si>
  <si>
    <t>ECHOTUSS-DX SYRUP 100mL</t>
  </si>
  <si>
    <t>Place 10k Order when recieve</t>
  </si>
  <si>
    <t>SPIROKOT-FA</t>
  </si>
  <si>
    <t>196/Strip</t>
  </si>
  <si>
    <t>₹74.76 per strip (DPCO MAX)</t>
  </si>
  <si>
    <t>JACKZYME SYRUP 100mL</t>
  </si>
  <si>
    <t>100mL with Moulins cap</t>
  </si>
  <si>
    <t>Shared 200mL CDR with them</t>
  </si>
  <si>
    <t>Tenbyte-20</t>
  </si>
  <si>
    <t>10×10  alu alu</t>
  </si>
  <si>
    <t>Tenbyte-M</t>
  </si>
  <si>
    <t>10×10 blister bilayered</t>
  </si>
  <si>
    <t>Tenbyte-M forte</t>
  </si>
  <si>
    <t>GASBEAT RT</t>
  </si>
  <si>
    <t>10×10 Blister, Tablet Colour: Orange/Red</t>
  </si>
  <si>
    <t>Ambrosia Pharma</t>
  </si>
  <si>
    <t>Check Bill dtails</t>
  </si>
  <si>
    <t>62/Strip</t>
  </si>
  <si>
    <t>VENTHROM</t>
  </si>
  <si>
    <t>30 g Ointment with carton</t>
  </si>
  <si>
    <t>Ointment</t>
  </si>
  <si>
    <t>Bidsoral Forte</t>
  </si>
  <si>
    <t>10×20 Tablets per box Blister</t>
  </si>
  <si>
    <t>Cent Cure</t>
  </si>
  <si>
    <t>Spelling mistakes in design</t>
  </si>
  <si>
    <t>Flosvect 200</t>
  </si>
  <si>
    <t>Dobivate Plus</t>
  </si>
  <si>
    <t>30 g with applicator</t>
  </si>
  <si>
    <t>Justlock Cream</t>
  </si>
  <si>
    <t>30 g with carton</t>
  </si>
  <si>
    <t>Dobivate 500</t>
  </si>
  <si>
    <t>Roxbang 150</t>
  </si>
  <si>
    <t xml:space="preserve">10×10 </t>
  </si>
  <si>
    <t>Dripnase Trio</t>
  </si>
  <si>
    <t>70/strip</t>
  </si>
  <si>
    <t>Gladfy-MP2</t>
  </si>
  <si>
    <t>Asjed for Status</t>
  </si>
  <si>
    <t>Truslide-P</t>
  </si>
  <si>
    <t>42/strip</t>
  </si>
  <si>
    <t>20*10 Blister (Blue and Golden)</t>
  </si>
  <si>
    <t>MP0649</t>
  </si>
  <si>
    <t>Teljiyo AH</t>
  </si>
  <si>
    <t>10×15 Alu Alu</t>
  </si>
  <si>
    <t>Defenza CDZ</t>
  </si>
  <si>
    <t>Teljiyo 40</t>
  </si>
  <si>
    <t>Teljiyo A</t>
  </si>
  <si>
    <t>10x15 Alu Alu</t>
  </si>
  <si>
    <t>Pegzoy</t>
  </si>
  <si>
    <t>119 gm with tray</t>
  </si>
  <si>
    <t>300/strip</t>
  </si>
  <si>
    <t>CATASCORT</t>
  </si>
  <si>
    <t>2mL Vial 4×5×2 ml</t>
  </si>
  <si>
    <t>AARMED Formulations</t>
  </si>
  <si>
    <t>CATASCORT LS</t>
  </si>
  <si>
    <t>CLOBSTUR -SL</t>
  </si>
  <si>
    <t>50g Pack</t>
  </si>
  <si>
    <t>PYROSTOP 240 DS 100mL</t>
  </si>
  <si>
    <t>PP Cap with 'Moulins' M printed on cap 100mL Bottle with Metallic Vinyl Label</t>
  </si>
  <si>
    <t>PYROSTOP 500 Suspension</t>
  </si>
  <si>
    <t>Sticker Label Only,  'Moulins' M printed on cap</t>
  </si>
  <si>
    <t>Geofer XT</t>
  </si>
  <si>
    <t>139/STRIP</t>
  </si>
  <si>
    <t>3*10 Alu Alu Coated Foil</t>
  </si>
  <si>
    <t>ERO GOLD PRO</t>
  </si>
  <si>
    <t>30s Pack with Container and Shrink, same as old design</t>
  </si>
  <si>
    <t>229.6/Strip</t>
  </si>
  <si>
    <t>Next time to centcure</t>
  </si>
  <si>
    <t>365/Strip</t>
  </si>
  <si>
    <t>mid dec</t>
  </si>
  <si>
    <t>ECHOBID-JUNIOR SYRUP 60mL</t>
  </si>
  <si>
    <t>Asked for Delivery Status</t>
  </si>
  <si>
    <t>637.5/Strip</t>
  </si>
  <si>
    <t>Will be delivered soon</t>
  </si>
  <si>
    <t>109.6/strip</t>
  </si>
  <si>
    <t>hold due to rate inc to 90/box</t>
  </si>
  <si>
    <t>Asked for Delivery Status (it was expected by 25 Dec)</t>
  </si>
  <si>
    <t>Go ahead</t>
  </si>
  <si>
    <t>1968/BOX</t>
  </si>
  <si>
    <t>Mighty Red -M XT 200mL SYRUP</t>
  </si>
  <si>
    <t>Charged more</t>
  </si>
  <si>
    <t>243.7/STRIP</t>
  </si>
  <si>
    <t>113.4/Strip</t>
  </si>
  <si>
    <t>10*1*15, Blister</t>
  </si>
  <si>
    <t>Change Address next time</t>
  </si>
  <si>
    <t>160.2/strip</t>
  </si>
  <si>
    <t>VOLKSVIT-L SYRUP 300mL</t>
  </si>
  <si>
    <t>300 ml WITH MOULINS CAP and Carton 375 GSM</t>
  </si>
  <si>
    <t>Raizel Healthcare</t>
  </si>
  <si>
    <t>VOLKSVIT-L DHA Syrup 300mL</t>
  </si>
  <si>
    <t>Versical Samples</t>
  </si>
  <si>
    <t>10*1*6, Physician sample no mrp</t>
  </si>
  <si>
    <t>The outer carton won't be there only mono carton</t>
  </si>
  <si>
    <t>SHIVITO SOFTGEL CAP</t>
  </si>
  <si>
    <t>206.25/strip</t>
  </si>
  <si>
    <t>partially recieved (100 box will come soon)</t>
  </si>
  <si>
    <t>Golden leafing Sticker Label Only,  'Moulins' M printed on cap</t>
  </si>
  <si>
    <t>Switch to unispeed</t>
  </si>
  <si>
    <t>COPTUS-CL</t>
  </si>
  <si>
    <t>100 ML (With Carton )</t>
  </si>
  <si>
    <t>Echotuss-LV 100mL</t>
  </si>
  <si>
    <t>100 ML (With Carton &amp; M-CAP )</t>
  </si>
  <si>
    <t>CAL-CMK TABLET</t>
  </si>
  <si>
    <t>220/STRIP</t>
  </si>
  <si>
    <t>Shared with designer</t>
  </si>
  <si>
    <t>Eucypro</t>
  </si>
  <si>
    <t>AEROBUD-200 ROTOCAPS</t>
  </si>
  <si>
    <t>ROTOCAPS PACKING 30s PVC CONTAINER WITH CARTON</t>
  </si>
  <si>
    <t>Rotocaps</t>
  </si>
  <si>
    <t>AEROBUD-400 ROTOCAPS</t>
  </si>
  <si>
    <t>AEROBUD- FM 200 ROTOCAPS</t>
  </si>
  <si>
    <t>AEROBUD- FM 400 ROTOCAPS</t>
  </si>
  <si>
    <t>URSOZEST-300</t>
  </si>
  <si>
    <t>209/strip</t>
  </si>
  <si>
    <t>URSOZEST-300 Physician Samples</t>
  </si>
  <si>
    <t>10×1x4 Alu–Alu</t>
  </si>
  <si>
    <t>Enterfax 550</t>
  </si>
  <si>
    <t>Rishbion 365</t>
  </si>
  <si>
    <t>225mL with carton</t>
  </si>
  <si>
    <t>Volksmin Forte</t>
  </si>
  <si>
    <t>130.8/10 tablets</t>
  </si>
  <si>
    <t>2×10×10 Blister</t>
  </si>
  <si>
    <t>D M Pharma</t>
  </si>
  <si>
    <t>asked for mockup</t>
  </si>
  <si>
    <t>Blissgard V Wash</t>
  </si>
  <si>
    <t xml:space="preserve">packing- 100ml	HDPE Bottle	</t>
  </si>
  <si>
    <t>Wash</t>
  </si>
  <si>
    <t>Tropicool SP 50</t>
  </si>
  <si>
    <t xml:space="preserve">100mL Lamy with carton (Spot UV with Leafing) &amp; Label </t>
  </si>
  <si>
    <t>Sunscreen</t>
  </si>
  <si>
    <t>3RD Party</t>
  </si>
  <si>
    <t>OMSTOC D 20           10x15</t>
  </si>
  <si>
    <t>10x15 Aluminum Strip</t>
  </si>
  <si>
    <t>OMSTOC 20</t>
  </si>
  <si>
    <t>Epilator 250</t>
  </si>
  <si>
    <t>10x10 blister</t>
  </si>
  <si>
    <t>asked to add scoop</t>
  </si>
  <si>
    <t>Ticabell</t>
  </si>
  <si>
    <t>350/Strip</t>
  </si>
  <si>
    <t>10x14 Blister</t>
  </si>
  <si>
    <t>Linkstar 300</t>
  </si>
  <si>
    <t>255/Strip</t>
  </si>
  <si>
    <t xml:space="preserve">10X10 Blister Clindamycin 300 </t>
  </si>
  <si>
    <t>CAPSULES</t>
  </si>
  <si>
    <t>Udiset-300</t>
  </si>
  <si>
    <t>295/Strip</t>
  </si>
  <si>
    <t>BEUTRON FCM Injection</t>
  </si>
  <si>
    <t>3550/Vial</t>
  </si>
  <si>
    <t>10 ml Vial</t>
  </si>
  <si>
    <t>117/strip</t>
  </si>
  <si>
    <t>Bidsoral DP</t>
  </si>
  <si>
    <t>145/Strip</t>
  </si>
  <si>
    <t>BIDSORAL -AP</t>
  </si>
  <si>
    <t>160/Strip</t>
  </si>
  <si>
    <t>Volksliv</t>
  </si>
  <si>
    <t>Need to place an in Drug category</t>
  </si>
  <si>
    <t>Will be Placed later</t>
  </si>
  <si>
    <t>Milky Glow Cream</t>
  </si>
  <si>
    <t>Teelax 100mL Physician Sample</t>
  </si>
  <si>
    <t xml:space="preserve">Physician's sample </t>
  </si>
  <si>
    <t>100 ml Bottle with Metallic Carton and Label with Golden Leafing</t>
  </si>
  <si>
    <t>Capsules</t>
  </si>
  <si>
    <t xml:space="preserve">SHIVACE CT  TAB </t>
  </si>
  <si>
    <t>150/Strip</t>
  </si>
  <si>
    <t>Allevo M</t>
  </si>
  <si>
    <t>187.75/Strip</t>
  </si>
  <si>
    <t>Design ok, @72/box with base foil</t>
  </si>
  <si>
    <t>Ridsclav DRY SYRUP</t>
  </si>
  <si>
    <t>Cereboon Plus Inj</t>
  </si>
  <si>
    <t>2ml inj with Dispo Pack</t>
  </si>
  <si>
    <t>Inj</t>
  </si>
  <si>
    <t>Rectify</t>
  </si>
  <si>
    <t>30 Capsules (Container) Sticker label only</t>
  </si>
  <si>
    <t>Same as anasoft</t>
  </si>
  <si>
    <t>Track final design New MRP 270</t>
  </si>
  <si>
    <t>Loha Build</t>
  </si>
  <si>
    <t>450 ML  (STICKER LABEL ONLY)</t>
  </si>
  <si>
    <t>Verymox CV Physician Samples</t>
  </si>
  <si>
    <t>Physician Sample</t>
  </si>
  <si>
    <t>10*1*6 Aluminium strip</t>
  </si>
  <si>
    <t>Xylabet 100</t>
  </si>
  <si>
    <t xml:space="preserve"> 161.84/strip</t>
  </si>
  <si>
    <t>Ridsclav ES</t>
  </si>
  <si>
    <t>50mL Glass Bottle</t>
  </si>
  <si>
    <t>AZXP-500 TAB 10X3</t>
  </si>
  <si>
    <t>131.4/Strip</t>
  </si>
  <si>
    <t>320.4/Strip</t>
  </si>
  <si>
    <t>54/Strip</t>
  </si>
  <si>
    <t>369.3/Strip</t>
  </si>
  <si>
    <t>111.25/Strip</t>
  </si>
  <si>
    <t>MUSTBON-D3 NANO SHOTS(LICHI)  4*5ML</t>
  </si>
  <si>
    <t>71.25/Strip</t>
  </si>
  <si>
    <t>253/Strip</t>
  </si>
  <si>
    <t>QTY 2000</t>
  </si>
  <si>
    <t>310/Strip</t>
  </si>
  <si>
    <t>WINDPACK-L SYRUP 60ml</t>
  </si>
  <si>
    <t>Rate es 700/Box</t>
  </si>
  <si>
    <t>Jackspor 100 DT</t>
  </si>
  <si>
    <t>Farokot CV 325</t>
  </si>
  <si>
    <t>780/Strip</t>
  </si>
  <si>
    <t>Lactiret drops</t>
  </si>
  <si>
    <t xml:space="preserve"> </t>
  </si>
  <si>
    <t>Duolaxtin with methyl cobalmin</t>
  </si>
  <si>
    <t>Tall perison with para</t>
  </si>
  <si>
    <t>Priority</t>
  </si>
  <si>
    <t>Tall perison with diclo</t>
  </si>
  <si>
    <t>Tall perison with acceclo</t>
  </si>
  <si>
    <t>Driloil drops</t>
  </si>
  <si>
    <t>Kashzee 500</t>
  </si>
  <si>
    <t>10*5 Blister</t>
  </si>
  <si>
    <t>Thinkroman</t>
  </si>
  <si>
    <t>Clasz-D3</t>
  </si>
  <si>
    <t>32.8/Sachet</t>
  </si>
  <si>
    <t>10*1 gm Sachet</t>
  </si>
  <si>
    <t>Sale@34.5/box</t>
  </si>
  <si>
    <t>Macszyme 100mL</t>
  </si>
  <si>
    <t>85/Unit</t>
  </si>
  <si>
    <t>100mL with carton and Label</t>
  </si>
  <si>
    <t>196.8/Strip</t>
  </si>
  <si>
    <t>GASBEAT -140</t>
  </si>
  <si>
    <t>80/Strip</t>
  </si>
  <si>
    <t xml:space="preserve">10*10 SOFTGEL CAPSULE CLEAR </t>
  </si>
  <si>
    <t>Softgel Capsules</t>
  </si>
  <si>
    <t>MOBIDAP-10</t>
  </si>
  <si>
    <t>198/Strip</t>
  </si>
  <si>
    <t>10*14  alu alu  Composition DAPAGLIFLOZIN 10 MG</t>
  </si>
  <si>
    <t xml:space="preserve">Pentapra-DSR </t>
  </si>
  <si>
    <t>210/Strip</t>
  </si>
  <si>
    <t>10*15  alu alu "Pantoprazole 40 mg (EC) Domperidone 30 mg (SR) cap"</t>
  </si>
  <si>
    <t>Kotler</t>
  </si>
  <si>
    <t>GOWENTGONE</t>
  </si>
  <si>
    <t>50/Strip</t>
  </si>
  <si>
    <t>20*10 Blister Amber color Composition Nimesulide 100 mg, Phenylephrine HCl 10 mg, Cetirizine Dihydrochloride 5 mg, Caffeine 30 mg</t>
  </si>
  <si>
    <t>Shared mockup with designer</t>
  </si>
  <si>
    <t>Hydrobile Suspension</t>
  </si>
  <si>
    <t>5 ML WITH CARTON</t>
  </si>
  <si>
    <t>track final design</t>
  </si>
  <si>
    <t xml:space="preserve">CEFRYX SB-1.5 </t>
  </si>
  <si>
    <t>278/Unit</t>
  </si>
  <si>
    <t>1'S  (WITH WATER) Glass Water Ceftriaxone Sodium 1000 mg + Sulbactam Sodium 500 mg</t>
  </si>
  <si>
    <t>Mighty Red syrup 200mL</t>
  </si>
  <si>
    <t>172/unit</t>
  </si>
  <si>
    <t>200mL with carton and M Cap</t>
  </si>
  <si>
    <t>206.2/strip</t>
  </si>
  <si>
    <t>MP0824</t>
  </si>
  <si>
    <t>Dexoboon Syrup 200mL</t>
  </si>
  <si>
    <t>194/unit</t>
  </si>
  <si>
    <t>200mL with carton</t>
  </si>
  <si>
    <t>Asked for some changes</t>
  </si>
  <si>
    <t>Syncrab DSR 40</t>
  </si>
  <si>
    <t>10*10 (ALUMINIUM STRIP )
Composition Rabeprazole Sodium 40 mg + Domperidone 30 mg (SR) cap</t>
  </si>
  <si>
    <t>RABICLOX-D 40</t>
  </si>
  <si>
    <t>Mustbon (Cola Flavour)</t>
  </si>
  <si>
    <t>75/bottle</t>
  </si>
  <si>
    <t>they mailed that they make the flavor anymore</t>
  </si>
  <si>
    <t>Design change to sorbitol (MRP to 145)</t>
  </si>
  <si>
    <t>Vistlalock Big Strip</t>
  </si>
  <si>
    <t>200 ml with measuring cap and carton</t>
  </si>
  <si>
    <t>AP KOT Plus</t>
  </si>
  <si>
    <t>100/Strip</t>
  </si>
  <si>
    <t>10*10 alu alu Composition aceclofenac 100 mg Paracetamol 325 serratio peptidase 15 mg</t>
  </si>
  <si>
    <t>Track final copy</t>
  </si>
  <si>
    <t>Roo-3</t>
  </si>
  <si>
    <t>60 mL with measuring cap and carton (Composition: Ofloxacin 50 mg Metronidazole 100 mg Simethicone 10 mg /5 ml susp)</t>
  </si>
  <si>
    <t>202/Strip</t>
  </si>
  <si>
    <t>O Twins</t>
  </si>
  <si>
    <t>10*10 (BLISTER), Composition Ofloxacin 200 mg + Ornidazole 500 mg</t>
  </si>
  <si>
    <t>70/Strip</t>
  </si>
  <si>
    <t>Riamino</t>
  </si>
  <si>
    <t>Name change</t>
  </si>
  <si>
    <t>164/Strip</t>
  </si>
  <si>
    <t>243/Strip</t>
  </si>
  <si>
    <t>121/strip</t>
  </si>
  <si>
    <t>73/Strip</t>
  </si>
  <si>
    <t>200/unit</t>
  </si>
  <si>
    <t>Rate @26</t>
  </si>
  <si>
    <t>ANICOLD-DS 60Ml</t>
  </si>
  <si>
    <t>60 ML WITH CARTON</t>
  </si>
  <si>
    <t>Anirex-T</t>
  </si>
  <si>
    <t>100ML(with carton)</t>
  </si>
  <si>
    <t>Volksmin RG</t>
  </si>
  <si>
    <t>Amter CV</t>
  </si>
  <si>
    <t>285/Strip</t>
  </si>
  <si>
    <t>10*10 Alu</t>
  </si>
  <si>
    <t>390/Unit</t>
  </si>
  <si>
    <t>XETAG MV 0.2</t>
  </si>
  <si>
    <t>175/strip</t>
  </si>
  <si>
    <t>10*15 BLISTER BILAYERED</t>
  </si>
  <si>
    <t>RECIEVED PARTIALLY</t>
  </si>
  <si>
    <t xml:space="preserve">OTYVIA  EAR DROP </t>
  </si>
  <si>
    <t xml:space="preserve">5mL with carton Composition: Gentamicin Sulphate 0.3% w/v + Beclomethasone Dipropionate 0.025% w/v + Clotrimazole 1.0% w/v + Lignocaine Hydrochloride 2.0% w/v
</t>
  </si>
  <si>
    <t>drops</t>
  </si>
  <si>
    <t>OTIVEX  EAR DROP</t>
  </si>
  <si>
    <t xml:space="preserve">5mL with carton composition Benzocaine2.7% w/v + Chlorbutol 5% w/v + Paradichlorobenzene2% w/v + Turpentine Oil 15% w/v
</t>
  </si>
  <si>
    <t>Farokot 100</t>
  </si>
  <si>
    <t>30 mL Pack with Carton and Sterile Water composition :Faropenem 100 mg / 5 mL Suspension</t>
  </si>
  <si>
    <t>ATROBEN-10</t>
  </si>
  <si>
    <t>10*10 Alu ALu Composition Atorvastatin 10MG</t>
  </si>
  <si>
    <t>Rosofer-GM</t>
  </si>
  <si>
    <t xml:space="preserve">10*15 BLISTER  Composition Ferrous Bis-Glycinate 60 mg + Folic Acid 1 mg + Zinc Bis-Glycinate 15 mg + Methlycobalamin 500 mcg  </t>
  </si>
  <si>
    <t>sALE @129 TO ENOICA</t>
  </si>
  <si>
    <t>ZIGATOR-10</t>
  </si>
  <si>
    <t>Decaboon-50 Inj</t>
  </si>
  <si>
    <t>190/Unit</t>
  </si>
  <si>
    <t>DISPO PACK  CLEAR PVC Composition NANDROLONE DECANOATE 50 MG  INJ</t>
  </si>
  <si>
    <t>Waxdip</t>
  </si>
  <si>
    <t>ESMOPROX - IT</t>
  </si>
  <si>
    <t>245/Strip</t>
  </si>
  <si>
    <t xml:space="preserve">10*10 alu alu composition "Esomeprazole 40 mg ( enteric coated)
Itopride 150 mg sustained release"
</t>
  </si>
  <si>
    <t>JMS</t>
  </si>
  <si>
    <t>RABICLOX - IT</t>
  </si>
  <si>
    <t xml:space="preserve">10*10 alu alu Compositoin "Rabiprazole 20mg ( enteric coated)
Itopride 150 mg sustained release"
</t>
  </si>
  <si>
    <t>184/Unit</t>
  </si>
  <si>
    <t>Darken Design</t>
  </si>
  <si>
    <t xml:space="preserve">GASOSET  </t>
  </si>
  <si>
    <t>163.13/Unit</t>
  </si>
  <si>
    <t>SUCRALFATE 1GM/10 ML PACKING 200 ML</t>
  </si>
  <si>
    <t>Progestasyn</t>
  </si>
  <si>
    <t>242.75/Strip</t>
  </si>
  <si>
    <t>Packing 10*10 BLISTER Composition Progesterone soft Gelatin Capsule</t>
  </si>
  <si>
    <t>95/Strip</t>
  </si>
  <si>
    <t>418/Strip</t>
  </si>
  <si>
    <t>Next time Metallic Label</t>
  </si>
  <si>
    <t>36.5/Strip</t>
  </si>
  <si>
    <t>MUSTBON-D3 NANO SHOT(B.SCOTCH 5 ML</t>
  </si>
  <si>
    <t xml:space="preserve">VILIARS M </t>
  </si>
  <si>
    <t>185/Strip</t>
  </si>
  <si>
    <t xml:space="preserve">10*15 Alu-Alu Composition Vildagliptin 50 mg + Metformin 500 mg	</t>
  </si>
  <si>
    <t>VILIARS M Forte</t>
  </si>
  <si>
    <t>308.4/Strip</t>
  </si>
  <si>
    <t xml:space="preserve">10*15 Alu-Alu Composition Vildagliptin 50 mg + Metformin 1000 mg	</t>
  </si>
  <si>
    <t>600/Strip</t>
  </si>
  <si>
    <t>10x10 Strip Composition Rifaximin 550 mg Tablet</t>
  </si>
  <si>
    <t>BRONCHO-BS</t>
  </si>
  <si>
    <t>128/unit</t>
  </si>
  <si>
    <t>Packing: 100 ml label only
Composition: Terbutaline 2.5 mg Bromhexine 8 mg  Guaiphenesin 50mg Menthol Syrup/10 ml</t>
  </si>
  <si>
    <t>Biosales?</t>
  </si>
  <si>
    <t>Pyrostop 250</t>
  </si>
  <si>
    <t xml:space="preserve">DPCO </t>
  </si>
  <si>
    <t>Respijack-L SYP. 60 ML</t>
  </si>
  <si>
    <t>102/Unit</t>
  </si>
  <si>
    <t>60mL with Carton, Composition Levocetrizine Dihydrochloride 2.5 mg + Montelukast 4mg/5ml</t>
  </si>
  <si>
    <t>jiyyo</t>
  </si>
  <si>
    <t xml:space="preserve">PODOJIYO--50 DRY SYP </t>
  </si>
  <si>
    <t>93/Unit</t>
  </si>
  <si>
    <t>30ml with sterile water Composition Cefpodoxime (hdpe bottle + water)</t>
  </si>
  <si>
    <t>Kufjao Junior</t>
  </si>
  <si>
    <t>87/Unit</t>
  </si>
  <si>
    <t xml:space="preserve">(60ml with carton) Composition: Ambroxol HCL 15 mg + Guaiphenesin 50 mg &amp; Levosalbutamol Sulphate 0.5 mg </t>
  </si>
  <si>
    <t>JiyoFolic-FZ</t>
  </si>
  <si>
    <t>165/unit</t>
  </si>
  <si>
    <t>200mL with carton Composition: Ferrous Ascorbate 100 mg + Folic Acid 1.5 mg + Cyanocobalamin 15 mcg + Zinc Sulphate 22.5 mg</t>
  </si>
  <si>
    <t>AMOXCET CV DRY SYP</t>
  </si>
  <si>
    <t xml:space="preserve">MRP 64.89/Unit </t>
  </si>
  <si>
    <t xml:space="preserve">30ml with sterile water (HDPE) Composition: Amoxycillin Clavulanate Syrup </t>
  </si>
  <si>
    <t>Jiyomik-250</t>
  </si>
  <si>
    <t>57/unit</t>
  </si>
  <si>
    <t>2mL Composition: Amikacin 250 mg</t>
  </si>
  <si>
    <t>Kufjao-AL Drops</t>
  </si>
  <si>
    <t>61/unit</t>
  </si>
  <si>
    <t>30mL with Carton, Composition: Ambroxol Hydrochloride 7.5 mg, Levosalbutamol Sulphate 0.25 mg &amp; Guaiphenesin 12.5 mg Drops</t>
  </si>
  <si>
    <t>JiyoRelief-L</t>
  </si>
  <si>
    <t>124/unit</t>
  </si>
  <si>
    <t>5mL, Composition: Clotrimazole 1% + Lignocaine HCL 2%</t>
  </si>
  <si>
    <t>PODOJIYO-100</t>
  </si>
  <si>
    <t xml:space="preserve">30ml with sterile water (HDPE Bottle, Composiiton: Cefpodoxime Proxetil 100 mg/5ml  </t>
  </si>
  <si>
    <t>Flujiyo-LC</t>
  </si>
  <si>
    <t>83/unit</t>
  </si>
  <si>
    <t>60mL with carton, Composition: PARACETAMOL 250MG + PPH 5MG + CPM 2MG</t>
  </si>
  <si>
    <t>NimJiyo-P</t>
  </si>
  <si>
    <t>46.25/10 tablets</t>
  </si>
  <si>
    <t xml:space="preserve">(20*10 blister) Composition: Nimesulide 100 mg + Paracetamol 325 mg </t>
  </si>
  <si>
    <t>DefJay-6</t>
  </si>
  <si>
    <t>118/Strip of 10 tablets</t>
  </si>
  <si>
    <t xml:space="preserve">(10*10 ALU-ALU) Composition: Deflazacort 6 mg </t>
  </si>
  <si>
    <t>Holdback 200 Sg</t>
  </si>
  <si>
    <t>COMPHORT</t>
  </si>
  <si>
    <t>10*10 ALU ALU Composition: "ACECLOFENAC 100MG Paracetamol 325 mg 
serratiopeptidase 15 mg (EC)"</t>
  </si>
  <si>
    <t>aDVENTUS</t>
  </si>
  <si>
    <t>NAXOLITE D</t>
  </si>
  <si>
    <t>130/Strip</t>
  </si>
  <si>
    <t>10*10 BLISTER Composition: NAPROXEN 500 DOMPERIDONE 10 MG</t>
  </si>
  <si>
    <t>Driloxim 500</t>
  </si>
  <si>
    <t>539/Strip</t>
  </si>
  <si>
    <t>QTY 800 box</t>
  </si>
  <si>
    <t>53.8/Strip</t>
  </si>
  <si>
    <t>Shivoxim-500</t>
  </si>
  <si>
    <t>549/Strip</t>
  </si>
  <si>
    <t>Lesowak 25</t>
  </si>
  <si>
    <t xml:space="preserve">195/Strip </t>
  </si>
  <si>
    <t xml:space="preserve"> "10*15 ALU ALU" compositionLevosulpride 25 mg Tab</t>
  </si>
  <si>
    <t>JMS (Marketed by Moulins)</t>
  </si>
  <si>
    <t>Zymocod-C</t>
  </si>
  <si>
    <t>200mL "Diastase (1:2000) IP – 50 mg Cinnamon Oil BP – 0.2 mg
Caraway Oil IP – 0.4 mg Cardamom Oil IP – 0.4 mg"</t>
  </si>
  <si>
    <t>Esomel-L</t>
  </si>
  <si>
    <t>225/Strip</t>
  </si>
  <si>
    <t xml:space="preserve">10*15 aluminum composition Esomeprazole 40 mg Levosulpride 75 mg SR
</t>
  </si>
  <si>
    <t>Verymox CV 625</t>
  </si>
  <si>
    <t>195.5/Strip</t>
  </si>
  <si>
    <t>Packing "10*1*10 aluminum strip" Amoxycillin + Clavulanic acid 625 mg</t>
  </si>
  <si>
    <t>Ask Dr Arup for confirmation</t>
  </si>
  <si>
    <t>25.4/Unit</t>
  </si>
  <si>
    <t>TRYPNIC</t>
  </si>
  <si>
    <t>389/Strip</t>
  </si>
  <si>
    <t>20x10 Blister Composition TRYPSIN-CHYMOTRYPSIN 100000 AU TABLET</t>
  </si>
  <si>
    <t>Rezal</t>
  </si>
  <si>
    <t>Packing 14 gm</t>
  </si>
  <si>
    <t>Dibbi filling 4.8+2.7 dibbi</t>
  </si>
  <si>
    <t>Vicks Vaporub</t>
  </si>
  <si>
    <t>160/sTRIP</t>
  </si>
  <si>
    <t>KashAir M</t>
  </si>
  <si>
    <t>60.83/Sachet</t>
  </si>
  <si>
    <t>Composition:  L ARGININE 3 GM PROANTHOCYNADINE 75 MG  PACKING 6.5 GM ORANGE</t>
  </si>
  <si>
    <t>MUSTBON-D3 ASSORTED FLAVOUR BOX</t>
  </si>
  <si>
    <t>MRP 35.00 PER SACHET</t>
  </si>
  <si>
    <t>40 SACHETS OF 5 FLAVOURS</t>
  </si>
  <si>
    <t>Linokot 600</t>
  </si>
  <si>
    <t xml:space="preserve">Rs 374.00 per strip  </t>
  </si>
  <si>
    <t>composition: Linezolid 600 mg Tablet  Packing: 10*1*10 Alu-Alu</t>
  </si>
  <si>
    <t>Repeat design, Please confirm</t>
  </si>
  <si>
    <t>Ursokot 300</t>
  </si>
  <si>
    <t>Rs 430.00 per strip</t>
  </si>
  <si>
    <t>Composition: Ursodiol 300 mg Tablet Packing: 10*1*10 Alu Alu</t>
  </si>
  <si>
    <t>Kotler's D3 Nano Shots</t>
  </si>
  <si>
    <t>Rs 320.00 per pack</t>
  </si>
  <si>
    <t>Cholecalciferol Suspension 60000 IU / 5 ml (Butterscotch Flavour) Packing: Pack of 4 bottles (4*5 ml)</t>
  </si>
  <si>
    <t>Neurokot Gold</t>
  </si>
  <si>
    <t>Rs 175/Strip</t>
  </si>
  <si>
    <t>Packing: 10*10 Alu-Alu Composition: Methylcobalamin 1500 mcg + ALA 100 mg + Thiamine 10 mg + Pyridoxine 3 mg + Folic Acid 1.5 mg Capsules</t>
  </si>
  <si>
    <t>Shared with Designer (Hold composition change)</t>
  </si>
  <si>
    <t xml:space="preserve">Cerebeut 60 </t>
  </si>
  <si>
    <t>1499/unit</t>
  </si>
  <si>
    <t>Cerebroprotein Hydrolysate Injection 60 mg/Vial</t>
  </si>
  <si>
    <t>Cremcal K2 forte Tablet</t>
  </si>
  <si>
    <t>260/STRIP</t>
  </si>
  <si>
    <t>10*1*10 ALU ALU Calcium Citrate Malate 1250 mg, Methylcobalamin IP 1500 mcg, Magnesium Oxide IP 50 mg, Zinc Oxide IP 15 mg, Vitamin K27 90 mcg, Vitamin D3 IP 1000 IU TABLET</t>
  </si>
  <si>
    <t xml:space="preserve">fosbact </t>
  </si>
  <si>
    <t>Composition:  fosfomycin trometrol powder 3gm sachet packing 10*1*8 gm</t>
  </si>
  <si>
    <t>Bruscon Tabs</t>
  </si>
  <si>
    <t xml:space="preserve">64.68 per strip of 20 tablets </t>
  </si>
  <si>
    <t>Composition: Ibuprofen 400 paracetamol 325 mg  packing 30*20 metallic foil</t>
  </si>
  <si>
    <t xml:space="preserve">CICnorm-2  </t>
  </si>
  <si>
    <t>330.00 per strip</t>
  </si>
  <si>
    <t>Composition: prucalopride 2mg Packing: 10*10 aluminum strip</t>
  </si>
  <si>
    <t>Norified-TZ</t>
  </si>
  <si>
    <t>DPCO Max</t>
  </si>
  <si>
    <t xml:space="preserve">Composition: Norfloxacin 400 mg Tinidazole 600 mg packing 10*10 blister </t>
  </si>
  <si>
    <t>TF7-250</t>
  </si>
  <si>
    <t>165.00 per strip</t>
  </si>
  <si>
    <t>Composition: Terfinadine-250 mg Tab Packing: 10*7 blister</t>
  </si>
  <si>
    <t>Coxcalm 90</t>
  </si>
  <si>
    <t>Anthena</t>
  </si>
  <si>
    <t>164.00
 PER STRIP</t>
  </si>
  <si>
    <t>Already being made in Bionexy</t>
  </si>
  <si>
    <t>Ridsclav LB 625</t>
  </si>
  <si>
    <t>ROO2 PLUS</t>
  </si>
  <si>
    <t>99/unit</t>
  </si>
  <si>
    <t>60mL with carton composition: "Ofloxacin 100 mg Metronidazole 200 mg"</t>
  </si>
  <si>
    <t>Saar Biotech</t>
  </si>
  <si>
    <t>3RD PARTY</t>
  </si>
  <si>
    <t>Flosvect M Forte</t>
  </si>
  <si>
    <t>Onzora Drops</t>
  </si>
  <si>
    <t>C-K27  SOFTGELS</t>
  </si>
  <si>
    <t>10 *10 SOFTGEL (RED CAP  ) Composition: Calcitriol 0.25 mcg, Calcium Citrate Maleate 500 mg, Vitamin K2-7 45 mcg, Methylcobalamin 1500 mcg, Zinc Oxide 7.5 mg, Magnesium Oxide 20 mg, L-Methyl Folate 800 mcg</t>
  </si>
  <si>
    <t>KUFJAO- AL 100mL</t>
  </si>
  <si>
    <t>120/Unit</t>
  </si>
  <si>
    <t>Packing: 100ML(WITH CARTON)
 Composition: Ambroxol HCL 30 mg + Guaiphenesin 50 mg &amp; Levosalbutamol Sulphate 1 mg</t>
  </si>
  <si>
    <t>RAMICUF-LS</t>
  </si>
  <si>
    <t>113.7/Unit</t>
  </si>
  <si>
    <t>Packing: 100ML
 Composition: Ambroxol HCL 30 mg + Guaiphenesin 50 mg &amp; Levosalbutamol Sulphate 1 mg</t>
  </si>
  <si>
    <t>Mobidap-T 10/20</t>
  </si>
  <si>
    <t>Dapagliflozin 10 mg + Teneligliptin 20 mg Tablet Packing :10*10 Alu-Alu</t>
  </si>
  <si>
    <t>Helax ROORKEE</t>
  </si>
  <si>
    <t>Jivogyl 600 ER</t>
  </si>
  <si>
    <t>91/Strip</t>
  </si>
  <si>
    <t>Metronidazole 600 Extended release tablet, Packing 10x10 Blister</t>
  </si>
  <si>
    <t>Volksmin Recovery</t>
  </si>
  <si>
    <t>350/unit</t>
  </si>
  <si>
    <t>200 gm Jar   (with scoop)</t>
  </si>
  <si>
    <t>M-CISS</t>
  </si>
  <si>
    <t>220/strip</t>
  </si>
  <si>
    <t>Spec Velvet Touch Cissus Packing 10*1*10 Alu-Alu
 Composition:  Quadrangularis – 500 mg, Moringa Oleifera – 100 mg, Calcium Citrate – 500 mg, Vitamin D3 (From Lichen Source) – 400 IU</t>
  </si>
  <si>
    <t>INTERCART</t>
  </si>
  <si>
    <t>Packing: 10*1*10 Alu-Alu (Base Foil Printed) Composition: 	
Boswellia Serrata – 50 mg
Chondroitin Sulfate – 100 mg
Collagen Peptide Type-II – 50 mg
Glucosamine Sulphate – 750 mg
Hyaluronic Acid – 5 mg
Methylsulphonyl Methane (MSM) – 200 mg</t>
  </si>
  <si>
    <t>Sipram</t>
  </si>
  <si>
    <t>Rs 84.37 per strip</t>
  </si>
  <si>
    <t>Escitalopram 10mg Packing: 10x10 alu alu</t>
  </si>
  <si>
    <t>Sugamin-2</t>
  </si>
  <si>
    <t>90/Strip</t>
  </si>
  <si>
    <t>Glimepiride 2 mg + Metformin 500 mg SR Packing: 10x15 Blister</t>
  </si>
  <si>
    <t>Viskrub 5</t>
  </si>
  <si>
    <t>25/Unit</t>
  </si>
  <si>
    <t>Packing 5g, composition: Vicks balm</t>
  </si>
  <si>
    <t>Viskrub 10</t>
  </si>
  <si>
    <t>45/Unit</t>
  </si>
  <si>
    <t>Packing 10g, composition: Vicks balm</t>
  </si>
  <si>
    <t>MRP Revised to 115</t>
  </si>
  <si>
    <t>Packing: 10*10 ALU ALU Composition: Aceclofenac 100 mg + Paracetamol 325 mg + Serratiopeptidase 15 mg</t>
  </si>
  <si>
    <t>154/unit</t>
  </si>
  <si>
    <t xml:space="preserve">225 ML metallic Packing </t>
  </si>
  <si>
    <t>Design finalised</t>
  </si>
  <si>
    <t>795/Strip</t>
  </si>
  <si>
    <t>168/Strip</t>
  </si>
  <si>
    <t>150/unit</t>
  </si>
  <si>
    <t>MUSTBON-D3 NANO SHOTS(Strawberry)  4*5ML</t>
  </si>
  <si>
    <t>102/Strip</t>
  </si>
  <si>
    <t>aSKED THEM TO HOLD, LETS SEE WHAT HAPPENS</t>
  </si>
  <si>
    <t>Truslide-P Blue</t>
  </si>
  <si>
    <t>42/strip of 10 tabs</t>
  </si>
  <si>
    <t>20*10 Blister (Blue)</t>
  </si>
  <si>
    <t>553/strip</t>
  </si>
  <si>
    <t>Mulsibile susp</t>
  </si>
  <si>
    <t>350/Unit</t>
  </si>
  <si>
    <t>100ML(WITH CARTON)
COMPOSITOIN: Ursodiol suspension 125 mg/5 ml</t>
  </si>
  <si>
    <t>Qty issue. Hold till client confirmation.</t>
  </si>
  <si>
    <t>Citikay-P </t>
  </si>
  <si>
    <t>TBG</t>
  </si>
  <si>
    <t xml:space="preserve">Packing: 10*1*10 Alu Alu Composition: Citicoline 500 mg + Piracetam 800 mg Tablet  </t>
  </si>
  <si>
    <t xml:space="preserve">JM 50/1000 </t>
  </si>
  <si>
    <t>10*1*10 Alu-Alu Composition: Vildagliptin 50 mg + Metformin 1000 mg Tablet</t>
  </si>
  <si>
    <t xml:space="preserve">JM 50/500 </t>
  </si>
  <si>
    <t>10*1*10 Alu-Alu Composition: Vildagliptin 50 mg + Metformin 500 mg Tablet</t>
  </si>
  <si>
    <t>Tripcalm-M</t>
  </si>
  <si>
    <t>192/strip</t>
  </si>
  <si>
    <t xml:space="preserve">Packing: 10*10 ALU ALU Composition: AMITRYPTALINE 10 MG METHYLCOBALAMIN 1500 MCG </t>
  </si>
  <si>
    <t>misbella E Moisturizing lotion</t>
  </si>
  <si>
    <t>Milky Glow</t>
  </si>
  <si>
    <t>4×5X2.5 mL</t>
  </si>
  <si>
    <t>Cantbeat Total</t>
  </si>
  <si>
    <t>Packing 100mL with carton Composition: Ketoconazole 1%, ZPTO, D-Panthenol, Biotin &amp; Aloe Vera Extract.</t>
  </si>
  <si>
    <t>Shampoo</t>
  </si>
  <si>
    <t>Astonia</t>
  </si>
  <si>
    <t>Nurokot Gold</t>
  </si>
  <si>
    <t>Packing: 10*10 Alu-Alu Methylcobalamin  + Alpha Lipoic Acid  + Folic Acid +  Pyridoxine Hydrochloride + Vitamin D3 .</t>
  </si>
  <si>
    <t>Beupan sb</t>
  </si>
  <si>
    <t>1850/Unit</t>
  </si>
  <si>
    <t>Meropenem 1000 mg + Sulbactam 500 mg</t>
  </si>
  <si>
    <t>pipratan 4.5 INJ</t>
  </si>
  <si>
    <t>447/Unit</t>
  </si>
  <si>
    <t>Piperacillin Sodium 4 g + Tazobactam Sodium 0.5 g</t>
  </si>
  <si>
    <t>145/strip</t>
  </si>
  <si>
    <t xml:space="preserve">Mefaprox </t>
  </si>
  <si>
    <t>95/unit</t>
  </si>
  <si>
    <t xml:space="preserve">Track final </t>
  </si>
  <si>
    <t>Macszyme 200mL</t>
  </si>
  <si>
    <t>140/Unit</t>
  </si>
  <si>
    <t>200mL with carton and Label</t>
  </si>
  <si>
    <t>POSTNAC EYE DROP</t>
  </si>
  <si>
    <t>175/Unit</t>
  </si>
  <si>
    <t>5 ML WITH CARTON  Composition: Nepafenac 0.1% w/v Ophthalmic Suspension</t>
  </si>
  <si>
    <t>Blinkmox-P</t>
  </si>
  <si>
    <t>130/unit</t>
  </si>
  <si>
    <t>5 ML WITH CARTON Composition: Moxifloxacin 0.5% + Prednisolone Acetate 1% Ophthalmic Solution</t>
  </si>
  <si>
    <t>MP1004</t>
  </si>
  <si>
    <t>Pyrostop 240</t>
  </si>
  <si>
    <t>105/unit</t>
  </si>
  <si>
    <t>Packing: 100 mL Bottle with Metallic Vinyl Label Composition: Paracetamol 240 mg Suspension/5mL (Mango Flavour)</t>
  </si>
  <si>
    <t>Next time, White Pet Bottle</t>
  </si>
  <si>
    <t>Windpack AZ</t>
  </si>
  <si>
    <t>440/Unit</t>
  </si>
  <si>
    <t>Packing: 10mL Composition: Fluticasone Furoate 0.05% w/v + Azelastine Hcl 0.14% w/v Nasal Spray</t>
  </si>
  <si>
    <t>Leerox-M</t>
  </si>
  <si>
    <t>217.50 PER STRIP</t>
  </si>
  <si>
    <t>Packing: 10*15 ALU ALU Composition: Levocetirizine 5 mg + Montelukast 10 mg</t>
  </si>
  <si>
    <t>85/unit</t>
  </si>
  <si>
    <t xml:space="preserve">Soap </t>
  </si>
  <si>
    <t>Misbella-E Soap</t>
  </si>
  <si>
    <t>MP01009</t>
  </si>
  <si>
    <t>Coliraft</t>
  </si>
  <si>
    <t>197/Unit</t>
  </si>
  <si>
    <t>Packing 150mL Pet Bottle and Label with Leafing, composition: Sodium Alginate 250 mg + Sodium Bicarbonate 133.5  mg + Calcium Carbonate 80 mg  Suspension (Flavour Mint)</t>
  </si>
  <si>
    <t>MP01010</t>
  </si>
  <si>
    <t>185/Unit</t>
  </si>
  <si>
    <t>Syncrab DSR (Aluminium Strip)</t>
  </si>
  <si>
    <t>rATE ISSUE</t>
  </si>
  <si>
    <t>Lanofast D</t>
  </si>
  <si>
    <t>Packing: 10x15 Aluminum Strip Composition:  Lansoprazole 30 mg + Dompridone 30 mg pellets capsules</t>
  </si>
  <si>
    <t>182/Strip</t>
  </si>
  <si>
    <t xml:space="preserve">170 ML Composition:  Magaldrate 400 mg + Simethicone 20 mg + Sorbitol Solution (70%) I.P. Suspension / 5 ml (Sugar Free)  </t>
  </si>
  <si>
    <t>RATE ISSUE</t>
  </si>
  <si>
    <t>318/Strip</t>
  </si>
  <si>
    <t>rate increase to  11</t>
  </si>
  <si>
    <t>ECHOBID-LS DROPS              15 ML</t>
  </si>
  <si>
    <t>Wait</t>
  </si>
  <si>
    <t>107/STRIP</t>
  </si>
  <si>
    <t>116/STRIP</t>
  </si>
  <si>
    <t>167/STRIP</t>
  </si>
  <si>
    <t>98/Unit</t>
  </si>
  <si>
    <t>10*10 ALU ALU Ursodeoxycholic Acid 150 mg</t>
  </si>
  <si>
    <t>206/sTRIP</t>
  </si>
  <si>
    <t>10*10 BLISTER hpmc capsule</t>
  </si>
  <si>
    <t xml:space="preserve">10*1*10 BLISTER Golden Colour Capsule </t>
  </si>
  <si>
    <t>MUSTBON-D3 NANO SHOTS(Mango)  4*5ML</t>
  </si>
  <si>
    <t>Rate and flavour</t>
  </si>
  <si>
    <t>rate and qty</t>
  </si>
  <si>
    <t>56.5 / sTRIP</t>
  </si>
  <si>
    <t>73/sTRIP</t>
  </si>
  <si>
    <t>Rate issue</t>
  </si>
  <si>
    <t>243/STRIP</t>
  </si>
  <si>
    <t>VOLKSMIN-MAMA VANILLA FLAVOUR 200 GM</t>
  </si>
  <si>
    <t>181/sTRIP</t>
  </si>
  <si>
    <t>AVmate-25</t>
  </si>
  <si>
    <t>149/strip</t>
  </si>
  <si>
    <t>10x10 Blister Composition: topiramate 25mg tablets</t>
  </si>
  <si>
    <t>Echobid 200 SR</t>
  </si>
  <si>
    <t>220/Strip</t>
  </si>
  <si>
    <t>10x10 Alu Alu Composition Acebrophylline 200mg</t>
  </si>
  <si>
    <t xml:space="preserve">10*10 ALU ALU Composition:  Rabeprazole 20 mg + Domperidone 30 mg SR </t>
  </si>
  <si>
    <t xml:space="preserve">UDCA FAST 300 </t>
  </si>
  <si>
    <t>395/Strip</t>
  </si>
  <si>
    <t>10*1*10 ALU+ALU Base foil Printed COMPOSITION: Ursodeoxycholic Acid 300 mg</t>
  </si>
  <si>
    <t>Cm to mm Syrup</t>
  </si>
  <si>
    <t>230/Bottle</t>
  </si>
  <si>
    <t xml:space="preserve">200 ML PET BOTTLE WITH BOX EMBOSS (SUGAR FREE)  Composition: Potassium Citrate 1100 mg + Magnesium Citrate 375 mg + Pyridoxine 20 mg / 5 mL </t>
  </si>
  <si>
    <t>UTIDELIGHT Syp</t>
  </si>
  <si>
    <t>160/Bottle</t>
  </si>
  <si>
    <t xml:space="preserve">150 ML PET BOTTLE WITH BOX EMBOSS (SUGAR FREE) composition: Each 15 ml contains: 
- Cranberry Extract – 200 mg 
- D Mannose – 300 mg 
- Potassium Magnesium Citrate – 978 mg 
  • Potassium Citrate Anhydrous – 714.9 mg 
  • Magnesium Citrate Anhydrous – 263.10 mg </t>
  </si>
  <si>
    <t>Galentra's Rabilane 20 TAB</t>
  </si>
  <si>
    <t>10*10 ALU+ALU Base foil Printed (SMALL ROUND) Composition: RABEPRAZOLE 20 MG TAB</t>
  </si>
  <si>
    <t>Galentra's Rabilane DSR CAP</t>
  </si>
  <si>
    <t>10*15 ALU+ALU Base foil Printed Composition: RABEPRAZOLE + DOMPE SR CAP</t>
  </si>
  <si>
    <t>Galentra's Pantalane 40 TAB</t>
  </si>
  <si>
    <t>10*15 ALU+ALU Base foil Printed Composition: PANTAPRAZOLE 40 TAB</t>
  </si>
  <si>
    <t>Nervilane GOLD CAP</t>
  </si>
  <si>
    <t>10*15 ALU+ALU  SMALL ROUND Composition: Methylcobalamin 1500mg  + Alpha Lipoic Acid  100mg+ Folic Acid + Pyridoxine Hydrochloride + Vitamin D3 .</t>
  </si>
  <si>
    <t>NERVILANE NT TAB</t>
  </si>
  <si>
    <t>180/Strip</t>
  </si>
  <si>
    <t>10*10 ALU+ALU Basefoil Printed SMALL ROUND Composition: Pregabalin 75 mg (SR), Methylcobalamin 1500 mcg &amp; Nortriptyline 10 mg Film coated SR Tablets</t>
  </si>
  <si>
    <t>Cerenoon PGN</t>
  </si>
  <si>
    <t>Galentra's Calentra MAX TAB</t>
  </si>
  <si>
    <t>10*1*15 Blister  SMALL LONG Composition: Each film-coated tablet contains:
Calcium Carbonate – 1250 mg
(Equivalent to Elemental Calcium 500 mg)
Vitamin D3 (Cholecalciferol) – 2000 IU
Methylcobalamin – 1500 mcg
L-Methylfolate Calcium – 1 mg
Pyridoxal-5-Phosphate – 0.5 mg
Excipients – q.s. (quantity sufficient)</t>
  </si>
  <si>
    <t>Cremcal CC</t>
  </si>
  <si>
    <t>Galentra's Calentra TAB</t>
  </si>
  <si>
    <t>105/Strip</t>
  </si>
  <si>
    <t xml:space="preserve">10*1*15 Blister  SMALL LONG Compsition: Calcium Citrate 1000 mg + Vit D3 200 IU + Zinc Sulphate 4 mg + Magnesium Hydroxide 100 mg </t>
  </si>
  <si>
    <t>One2 plus SYP</t>
  </si>
  <si>
    <t>200/Bottle</t>
  </si>
  <si>
    <t xml:space="preserve">200 ML PET BOTTLE WITH BOX EMBOSS+ UV SUGAR FREE/ TASTY Composition: Ferrous Ascorbate 30 mg Folic acid 550 mcg </t>
  </si>
  <si>
    <t>Design approved by client</t>
  </si>
  <si>
    <t>One2 plus TAB</t>
  </si>
  <si>
    <t>5*2*10 ALU+ALU Basefoil Printed SMALL LONG 	
Ferrous Ascorbate (eq. to elemental Iron): 100 mg
Folic Acid IP: 1.5 mg
Zinc Sulphate Monohydrate (eq. to elemental Zinc): 22.5 mg
Excipients: q.s. (quantity sufficient)
 Colour: Red Oxide of Iron</t>
  </si>
  <si>
    <t>confirm 10 tablet strip</t>
  </si>
  <si>
    <t>Some changed asked by client</t>
  </si>
  <si>
    <t>Galentra's CEFILANE 400 TAB</t>
  </si>
  <si>
    <t>250/STRIP</t>
  </si>
  <si>
    <t>10*10 ALU+ALU Basefoil Printed SMALL ROUND CEFIXIME400 MG TAB</t>
  </si>
  <si>
    <t>RESPILANE 3D TAB</t>
  </si>
  <si>
    <t>10*10 ALU+ALU Basefoil Printed SMALL LONG Composition: Acebrophylline 200 mg + Montelukast 10 mg + Desloratadine 5 mg</t>
  </si>
  <si>
    <t>Spirakot</t>
  </si>
  <si>
    <t>Galentra's Indoor D3 60K</t>
  </si>
  <si>
    <t>10*1*8 BLISTER  SOFTGEL Composition: Cholecalciferol 60000 I.U Softgel Capsules</t>
  </si>
  <si>
    <t>SG</t>
  </si>
  <si>
    <t>mustbon D3</t>
  </si>
  <si>
    <t>Nervilane GOLD INJ</t>
  </si>
  <si>
    <t>80/unit</t>
  </si>
  <si>
    <t>WITH SYRING COMBIPACK OUTER BOX+ Dispo Pack Composition: 	
Methylcobalamin 1500 mcg + Pyridoxine 100 mg + Niacinamide 100 mg</t>
  </si>
  <si>
    <t>Cereboon Plus inj</t>
  </si>
  <si>
    <t>Galentra's Pantalane DSR CAP</t>
  </si>
  <si>
    <t>10*15 ALU+ALU Basefoil Printed Composition: Pantoprazole 40 mg (EC) + Domperidone 30 mg (SR) Capsules</t>
  </si>
  <si>
    <t>Pentapra DSR</t>
  </si>
  <si>
    <t>Misbella E</t>
  </si>
  <si>
    <t xml:space="preserve">60 ML GUM Label  (MANGO flavour ONLY) </t>
  </si>
  <si>
    <t>Mefaprox</t>
  </si>
  <si>
    <t>PACKING: 60ML (WITH CARTON)
COMPOSITION: Mefenamic Acid 100 mg + Paracetamol 250 mg</t>
  </si>
  <si>
    <t>OMBLIS-D 10x10</t>
  </si>
  <si>
    <t>INSTAVIBE 105 (Orange)</t>
  </si>
  <si>
    <t>290/Strip</t>
  </si>
  <si>
    <t>Packing 10x10 blister Composition: Cilostazol 100mg</t>
  </si>
  <si>
    <t xml:space="preserve">Sipram Plus </t>
  </si>
  <si>
    <t>93.75 PER STRIP</t>
  </si>
  <si>
    <t>Packing: 10*10 ALU ALU
Composition: Clonazepam 0.5 mg + Escitalopram 10 mg</t>
  </si>
  <si>
    <t>MEDWOR PHARMA</t>
  </si>
  <si>
    <t>Hydrobile 300</t>
  </si>
  <si>
    <t>130  PER STRIP</t>
  </si>
  <si>
    <t>REPEAT</t>
  </si>
  <si>
    <t>Coldshi</t>
  </si>
  <si>
    <t>99.99/Unit</t>
  </si>
  <si>
    <t>60 ML  (WITH CARTON  &amp; M-CAP) Composition: Each 5 ml contains: Phenylephrine Hydrochloride I.P. — 5 mg, Chlorpheniramine Maleate I.P. — 2 mg</t>
  </si>
  <si>
    <t>AND SHUHAM AS WELL</t>
  </si>
  <si>
    <t>Instavibe 105 (Rose)</t>
  </si>
  <si>
    <t>Instavibe 105 (Litchi)</t>
  </si>
  <si>
    <t xml:space="preserve">rATE @247 </t>
  </si>
  <si>
    <t>84/dpco</t>
  </si>
  <si>
    <t>Rate @32</t>
  </si>
  <si>
    <t>126/strip</t>
  </si>
  <si>
    <t>use different change part in whatsapp</t>
  </si>
  <si>
    <t>Wait 15v days</t>
  </si>
  <si>
    <t>Food only.</t>
  </si>
  <si>
    <t>Supply shortage paracetamol</t>
  </si>
  <si>
    <t>590/Strip</t>
  </si>
  <si>
    <t>111/Strip</t>
  </si>
  <si>
    <t>225/unit</t>
  </si>
  <si>
    <t>170/Strip</t>
  </si>
  <si>
    <t>Asked for confirmation</t>
  </si>
  <si>
    <t>Change QR Code in the next Repeat Order.
cHANGE TO SHUBHAM</t>
  </si>
  <si>
    <t>103/Strip</t>
  </si>
  <si>
    <t>HOLDBACK-200 SR TAB           10*1*10</t>
  </si>
  <si>
    <t>Need to revive sales</t>
  </si>
  <si>
    <t>VOLKSMIN-Q10 SG CAP</t>
  </si>
  <si>
    <t>558/strip</t>
  </si>
  <si>
    <t>Same as Volksvit Q10</t>
  </si>
  <si>
    <t>Holdpack 200 SR</t>
  </si>
  <si>
    <t>375/Strip</t>
  </si>
  <si>
    <t>10*1*10 Blister</t>
  </si>
  <si>
    <t xml:space="preserve">Same as Holdback </t>
  </si>
  <si>
    <t>Refused Trademark</t>
  </si>
  <si>
    <t xml:space="preserve">CABITOS </t>
  </si>
  <si>
    <t xml:space="preserve">PACKING 5*2ML
Composition: CARBAPROS 250 MG INJ </t>
  </si>
  <si>
    <t>MAYA BIOTECH</t>
  </si>
  <si>
    <t>tRACK FINAL DESIGN</t>
  </si>
  <si>
    <t>100mL Carton sticker label with M cap, MOULINS CAP</t>
  </si>
  <si>
    <t xml:space="preserve">Gowentgone </t>
  </si>
  <si>
    <t>145/box rate</t>
  </si>
  <si>
    <t>RABISET-IT CAPSULES</t>
  </si>
  <si>
    <t>300.00 PER STRIP </t>
  </si>
  <si>
    <t>Packing: 10*15 ALUMINIUM STRIP 
Composition: RABIPRAZOLE 20 MG (ENTERIC COATED) ITOPRIDE 150 MG SUSTAINED RELEASE </t>
  </si>
  <si>
    <t>356.00 PER STRIP</t>
  </si>
  <si>
    <t>EMOSET</t>
  </si>
  <si>
    <t>Packing: 10*15 ALUMINIUM STRIP 
Composition: ESOMEPRAZOLE 40 MG (ENTERIC COATED) ITOPRIDE 150 MG SUSTAINED RELEASE </t>
  </si>
  <si>
    <t>PRAZOLE 40 INJ</t>
  </si>
  <si>
    <t>Composition: Pantoprazole 40 mg
PACKING: 1’S WITH WATER</t>
  </si>
  <si>
    <t>CEREBUET PARTY</t>
  </si>
  <si>
    <t>HOLDBACK -200 SR TAB</t>
  </si>
  <si>
    <t>370/Strip</t>
  </si>
  <si>
    <t>Packing: 10*1*10 BLISTER
Composition: Natural Micronized Progesterone 200 mg (Sustained Release)</t>
  </si>
  <si>
    <t>FORGEST-200 SR TAB</t>
  </si>
  <si>
    <t>465/Strip</t>
  </si>
  <si>
    <t>Packing: 10*10</t>
  </si>
  <si>
    <t xml:space="preserve">TEERED </t>
  </si>
  <si>
    <t>PACKING	10*1*15 (Some confusion here)</t>
  </si>
  <si>
    <t>BITSOME 40 INJ</t>
  </si>
  <si>
    <t>COMPOSITION: Esomeprazole Sodium 40 mg
PACKING: 1’S WITH WATER</t>
  </si>
  <si>
    <t>ASKING FOR PLATE CHARGES</t>
  </si>
  <si>
    <t>MOBIDAP-T 10/20</t>
  </si>
  <si>
    <t>Packing: 10*10 (ALU-ALU)</t>
  </si>
  <si>
    <t xml:space="preserve">FLUPI-MT </t>
  </si>
  <si>
    <t>215/Strip</t>
  </si>
  <si>
    <t>COMPOSITION: Flupentixol 0.5 mg + Melitracen 10 mg
PACKING: 10*15 (ALU-ALU)</t>
  </si>
  <si>
    <t>Rate @35</t>
  </si>
  <si>
    <t>Rate @240</t>
  </si>
  <si>
    <t>Rate @44</t>
  </si>
  <si>
    <t>Ursokot 150 Tab</t>
  </si>
  <si>
    <t>Rate 105, altar 95</t>
  </si>
  <si>
    <t>1218/Strip</t>
  </si>
  <si>
    <t>190/Strip</t>
  </si>
  <si>
    <t>103/unit</t>
  </si>
  <si>
    <t>Rate 155</t>
  </si>
  <si>
    <t>Rate 540</t>
  </si>
  <si>
    <t>Rate 2.25</t>
  </si>
  <si>
    <t>sOME RATE THING</t>
  </si>
  <si>
    <t>112/Strip</t>
  </si>
  <si>
    <t>GUMSNORM MOUTH WASH           100 ML</t>
  </si>
  <si>
    <t>80/bottle</t>
  </si>
  <si>
    <t>Asked for 110/box</t>
  </si>
  <si>
    <t>125/Strip</t>
  </si>
  <si>
    <t>BITSOME-40 TAB                10*10</t>
  </si>
  <si>
    <t>BLINKMOX-D EYE DROPS          5 ML</t>
  </si>
  <si>
    <t>CETMOLIN-10 TAB               10*10</t>
  </si>
  <si>
    <t xml:space="preserve">Switch to alps? </t>
  </si>
  <si>
    <t>DRILSPAS-DS TAB               10*10</t>
  </si>
  <si>
    <t>DUCKLIV SYP 100 ML            100 ML</t>
  </si>
  <si>
    <t>ECHOTUSS-D  SYP               60 ML</t>
  </si>
  <si>
    <t>GUMSNORM TOOTH GEL            50 GM</t>
  </si>
  <si>
    <t>HOLDBACK-300 SR TAB           10*1*10</t>
  </si>
  <si>
    <t>JOYSCOOP-PLUS SG CAP          10*1*10</t>
  </si>
  <si>
    <t>LAXPOSE-3 SUSP                200 ML</t>
  </si>
  <si>
    <t>MIGHTY RED-M TAB              10*15</t>
  </si>
  <si>
    <t>MIGHTY RED-XT SUSP            200 ML</t>
  </si>
  <si>
    <t>MUSTBON-D3 NANO SHOTS(COLA)   4*5 ML</t>
  </si>
  <si>
    <t>MUSTBON-D3 SG CAP             10*1*4</t>
  </si>
  <si>
    <t>NECRABAC-250 INJ              250 MG</t>
  </si>
  <si>
    <t>RECPILL TAB                   10*10</t>
  </si>
  <si>
    <t>VATSLA SYP                    225 ML</t>
  </si>
  <si>
    <t>ZENBELLY CAP                  10*10</t>
  </si>
  <si>
    <t>Linzmol-600 Tablet 10x1x10</t>
  </si>
  <si>
    <t>Griseokay 500</t>
  </si>
  <si>
    <t>240/Strip</t>
  </si>
  <si>
    <t>10x10 Blister Composition: Griseofulvin 500</t>
  </si>
  <si>
    <t>QTY 300 min</t>
  </si>
  <si>
    <t>Gabrock 600</t>
  </si>
  <si>
    <t>pRESLINA 5</t>
  </si>
  <si>
    <t>70/MRP</t>
  </si>
  <si>
    <t>Performa No:</t>
  </si>
  <si>
    <t xml:space="preserve">Brand </t>
  </si>
  <si>
    <t>Party</t>
  </si>
  <si>
    <t>Sale Price</t>
  </si>
  <si>
    <t>PO Number</t>
  </si>
  <si>
    <t>Packing/Composition</t>
  </si>
  <si>
    <t>Purchase Price</t>
  </si>
  <si>
    <t>QTY</t>
  </si>
  <si>
    <t>Last Updated</t>
  </si>
  <si>
    <t>Number of days</t>
  </si>
  <si>
    <t>Bill Value Purchase</t>
  </si>
  <si>
    <t>Jiyyo</t>
  </si>
  <si>
    <t>MP0884</t>
  </si>
  <si>
    <t>MP0885</t>
  </si>
  <si>
    <t>MP0886</t>
  </si>
  <si>
    <t>MP0887</t>
  </si>
  <si>
    <t>MP0888</t>
  </si>
  <si>
    <t>MP0889</t>
  </si>
  <si>
    <t>MP0890</t>
  </si>
  <si>
    <t>MP0891</t>
  </si>
  <si>
    <t>MP0892</t>
  </si>
  <si>
    <t>MP0893</t>
  </si>
  <si>
    <t>MP0894</t>
  </si>
  <si>
    <t>MP0895</t>
  </si>
  <si>
    <t>ADVENTUS PHARMA</t>
  </si>
  <si>
    <t>MP0898</t>
  </si>
  <si>
    <t>MP0899</t>
  </si>
  <si>
    <t>Shivaism</t>
  </si>
  <si>
    <t>MP0903</t>
  </si>
  <si>
    <t>MP0904</t>
  </si>
  <si>
    <t>G by Zuver</t>
  </si>
  <si>
    <t>MP0905</t>
  </si>
  <si>
    <t>MP0906</t>
  </si>
  <si>
    <t>MP0907</t>
  </si>
  <si>
    <t>Hygenic Pharma</t>
  </si>
  <si>
    <t>MP0910</t>
  </si>
  <si>
    <t xml:space="preserve">Boon </t>
  </si>
  <si>
    <t>MP0912</t>
  </si>
  <si>
    <t>MP0913</t>
  </si>
  <si>
    <t>Kotler Pharma</t>
  </si>
  <si>
    <t>MP0917</t>
  </si>
  <si>
    <t>MP0918</t>
  </si>
  <si>
    <t>MP0562</t>
  </si>
  <si>
    <t>MP0795</t>
  </si>
  <si>
    <t>MP0831</t>
  </si>
  <si>
    <t>MP0832</t>
  </si>
  <si>
    <t>MP0835</t>
  </si>
  <si>
    <t>MP0858</t>
  </si>
  <si>
    <t>MP0921</t>
  </si>
  <si>
    <t>MP0922</t>
  </si>
  <si>
    <t>MP0923</t>
  </si>
  <si>
    <t>MP0988</t>
  </si>
  <si>
    <t>MP0809</t>
  </si>
  <si>
    <t xml:space="preserve">JMS </t>
  </si>
  <si>
    <t>MP0927</t>
  </si>
  <si>
    <t>MP0928</t>
  </si>
  <si>
    <t>BEUTAN PHARMACEUTICAL</t>
  </si>
  <si>
    <t>MP0929</t>
  </si>
  <si>
    <t>MP0937</t>
  </si>
  <si>
    <t>MP0941</t>
  </si>
  <si>
    <t>Think Roman</t>
  </si>
  <si>
    <t>MP0802</t>
  </si>
  <si>
    <t>MP0915</t>
  </si>
  <si>
    <t>Eshbilords Pharmaceuticals</t>
  </si>
  <si>
    <t>Mp0944</t>
  </si>
  <si>
    <t>Eonica</t>
  </si>
  <si>
    <t>MP0945</t>
  </si>
  <si>
    <t>MP0946</t>
  </si>
  <si>
    <t xml:space="preserve">Prince </t>
  </si>
  <si>
    <t>MP0947</t>
  </si>
  <si>
    <t>MP0953</t>
  </si>
  <si>
    <t>Sugamin 2</t>
  </si>
  <si>
    <t>MP0954</t>
  </si>
  <si>
    <t>Rishlin</t>
  </si>
  <si>
    <t>MP0955</t>
  </si>
  <si>
    <t>MP0956</t>
  </si>
  <si>
    <t>MP0957</t>
  </si>
  <si>
    <t>MP0975</t>
  </si>
  <si>
    <t>Citykay-P </t>
  </si>
  <si>
    <t>MP0976</t>
  </si>
  <si>
    <t>MP0977</t>
  </si>
  <si>
    <t>MP0978</t>
  </si>
  <si>
    <t>MP0979</t>
  </si>
  <si>
    <t>Shree Bheem Enyterprises</t>
  </si>
  <si>
    <t>MP0992</t>
  </si>
  <si>
    <t>pipratan 4.5</t>
  </si>
  <si>
    <t>MP0993</t>
  </si>
  <si>
    <t>MP1000</t>
  </si>
  <si>
    <t xml:space="preserve">Fenaprox </t>
  </si>
  <si>
    <t>Adventus</t>
  </si>
  <si>
    <t>MP0999</t>
  </si>
  <si>
    <t>MP1003</t>
  </si>
  <si>
    <t>MP1006</t>
  </si>
  <si>
    <t>UDCA FAST TAB</t>
  </si>
  <si>
    <t>Galentra</t>
  </si>
  <si>
    <t>MP1057</t>
  </si>
  <si>
    <t>GOSTONE B6 SYP</t>
  </si>
  <si>
    <t>MP1058</t>
  </si>
  <si>
    <t>UTGLOW SYP</t>
  </si>
  <si>
    <t>MP1059</t>
  </si>
  <si>
    <t>RABEKWIK 20 TAB</t>
  </si>
  <si>
    <t>MP1060</t>
  </si>
  <si>
    <t>RABEKWIK DSR CAP</t>
  </si>
  <si>
    <t>MP1061</t>
  </si>
  <si>
    <t>PENTALEN 40 TAB</t>
  </si>
  <si>
    <t>MP1062</t>
  </si>
  <si>
    <t>NEUROLANE GOLD CAP</t>
  </si>
  <si>
    <t>MP1063</t>
  </si>
  <si>
    <t>MP1064</t>
  </si>
  <si>
    <t>CALENTRA MAX TAB</t>
  </si>
  <si>
    <t>MP1065</t>
  </si>
  <si>
    <t>CALENTRA 500 TAB</t>
  </si>
  <si>
    <t>MP1066</t>
  </si>
  <si>
    <t>FEROLANE XT SYP</t>
  </si>
  <si>
    <t>MP1067</t>
  </si>
  <si>
    <t>FEROLANE XT TAB</t>
  </si>
  <si>
    <t>MP1068</t>
  </si>
  <si>
    <t>CEFENTRA 400 TAB</t>
  </si>
  <si>
    <t>MP1069</t>
  </si>
  <si>
    <t>MP1070</t>
  </si>
  <si>
    <t>VDGLOW 60K</t>
  </si>
  <si>
    <t>MP1071</t>
  </si>
  <si>
    <t>NEUROLANE GOLD INJ</t>
  </si>
  <si>
    <t>MP1072</t>
  </si>
  <si>
    <t>PENTALEN DSR CAP</t>
  </si>
  <si>
    <t>MP1073</t>
  </si>
  <si>
    <t>OMBLISS-D 10x10</t>
  </si>
  <si>
    <t>MP1080</t>
  </si>
  <si>
    <t>Mp1084</t>
  </si>
  <si>
    <t>Mp1086</t>
  </si>
  <si>
    <t>MP1076</t>
  </si>
  <si>
    <t>MP1078</t>
  </si>
  <si>
    <t>MP1079</t>
  </si>
  <si>
    <t>VOLKSVIT-Q10 Plus SG CAP</t>
  </si>
  <si>
    <t>MP1115</t>
  </si>
  <si>
    <t>MP1116</t>
  </si>
  <si>
    <t>KOTLER</t>
  </si>
  <si>
    <t>MP1117</t>
  </si>
  <si>
    <t>MP1118</t>
  </si>
  <si>
    <t>MP1123</t>
  </si>
  <si>
    <t>MP1124</t>
  </si>
  <si>
    <t>MP1125</t>
  </si>
  <si>
    <t>MP1126</t>
  </si>
  <si>
    <t>jms</t>
  </si>
  <si>
    <t>MP1127</t>
  </si>
  <si>
    <t>MP1128</t>
  </si>
  <si>
    <t>MP1129</t>
  </si>
  <si>
    <t>MP1130</t>
  </si>
  <si>
    <t>MP1131</t>
  </si>
  <si>
    <t>MP1132</t>
  </si>
  <si>
    <t>MP1134</t>
  </si>
  <si>
    <t>zUVER</t>
  </si>
  <si>
    <t>MP1136</t>
  </si>
  <si>
    <t>MP1139</t>
  </si>
  <si>
    <t>kOTLER</t>
  </si>
  <si>
    <t>MP1143</t>
  </si>
  <si>
    <t>MP1144</t>
  </si>
  <si>
    <t>MP1145</t>
  </si>
  <si>
    <t>Farokot 300 ER</t>
  </si>
  <si>
    <t>MP1149</t>
  </si>
  <si>
    <t>MP1146</t>
  </si>
  <si>
    <t>MP1203</t>
  </si>
  <si>
    <t>MP1204</t>
  </si>
  <si>
    <t>Manfacturer</t>
  </si>
  <si>
    <t>Mock Up Received</t>
  </si>
  <si>
    <t>Lavanya Healthcare</t>
  </si>
  <si>
    <t>DM Pharma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</si>
</sst>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 #,##0_ ;_ * \-#,##0_ ;_ * &quot;-&quot;??_ ;_ @_ "/>
  </numFmts>
  <fonts count="31">
    <font>
      <sz val="11"/>
      <color theme="1"/>
      <name val="Calibri"/>
      <family val="2"/>
      <scheme val="minor"/>
    </font>
    <font>
      <sz val="11"/>
      <color theme="1"/>
      <name val="Calibri"/>
      <scheme val="minor"/>
    </font>
    <font>
      <sz val="8"/>
      <name val="Calibri"/>
      <family val="2"/>
      <scheme val="minor"/>
    </font>
    <font>
      <sz val="11"/>
      <color rgb="FF000000"/>
      <name val="Calibri"/>
      <family val="2"/>
    </font>
    <font>
      <sz val="12"/>
      <color rgb="FF000000"/>
      <name val="Calibri"/>
      <family val="2"/>
    </font>
    <font>
      <sz val="11"/>
      <color rgb="FFFF0000"/>
      <name val="Calibri"/>
      <family val="2"/>
    </font>
    <font>
      <sz val="12"/>
      <color rgb="FF000000"/>
      <name val="Calibri"/>
      <family val="2"/>
      <charset val="1"/>
    </font>
    <font>
      <i/>
      <sz val="12"/>
      <color rgb="FF000000"/>
      <name val="Calibri"/>
      <family val="2"/>
      <charset val="1"/>
    </font>
    <font>
      <sz val="11"/>
      <color rgb="FF000000"/>
      <name val="Calibri"/>
    </font>
    <font>
      <sz val="12"/>
      <color rgb="FF000000"/>
      <name val="Aptos"/>
      <charset val="1"/>
    </font>
    <font>
      <sz val="12"/>
      <color theme="1"/>
      <name val="Calibri"/>
      <family val="2"/>
      <charset val="1"/>
    </font>
    <font>
      <sz val="11"/>
      <color theme="1"/>
      <name val="Calibri"/>
      <family val="2"/>
    </font>
    <font>
      <sz val="11"/>
      <color rgb="FF000000"/>
      <name val="Aptos"/>
      <family val="2"/>
    </font>
    <font>
      <sz val="11"/>
      <name val="Calibri"/>
      <family val="2"/>
    </font>
    <font>
      <sz val="11"/>
      <color rgb="FF000000"/>
      <name val="Aptos"/>
      <charset val="1"/>
    </font>
    <font>
      <sz val="11"/>
      <color rgb="FFFF0000"/>
      <name val="Calibri"/>
      <family val="2"/>
      <scheme val="minor"/>
    </font>
    <font>
      <sz val="11"/>
      <color theme="1"/>
      <name val="Cambria"/>
      <family val="1"/>
      <charset val="1"/>
    </font>
    <font>
      <sz val="11"/>
      <color rgb="FF242424"/>
      <name val="Segoe UI"/>
      <charset val="1"/>
    </font>
    <font>
      <sz val="11"/>
      <color rgb="FF000000"/>
      <name val="Cambria"/>
      <charset val="1"/>
    </font>
    <font>
      <sz val="11"/>
      <color rgb="FFFF0000"/>
      <name val="Calibri"/>
    </font>
    <font>
      <sz val="12"/>
      <color rgb="FF000000"/>
      <name val="Calibri"/>
    </font>
    <font>
      <sz val="11"/>
      <color rgb="FF000000"/>
      <name val="Calibri"/>
      <charset val="1"/>
    </font>
    <font>
      <sz val="12"/>
      <color rgb="FFFF0000"/>
      <name val="Aptos"/>
      <charset val="1"/>
    </font>
    <font>
      <sz val="11"/>
      <color rgb="FF000000"/>
      <name val="Aptos Narrow"/>
      <family val="2"/>
    </font>
    <font>
      <sz val="11"/>
      <color theme="1"/>
      <name val="Calibri"/>
    </font>
    <font>
      <sz val="11"/>
      <color rgb="FF242424"/>
      <name val="Aptos Narrow"/>
      <charset val="1"/>
    </font>
    <font>
      <u/>
      <sz val="11"/>
      <color theme="10"/>
      <name val="Calibri"/>
      <family val="2"/>
      <scheme val="minor"/>
    </font>
    <font>
      <sz val="10"/>
      <color rgb="FF000000"/>
      <name val="Arial"/>
      <family val="2"/>
    </font>
    <font>
      <sz val="10"/>
      <color rgb="FF000000"/>
      <name val="Arial"/>
    </font>
    <font>
      <sz val="12"/>
      <color theme="1"/>
      <name val="Aptos"/>
      <family val="2"/>
      <charset val="1"/>
    </font>
    <font>
      <sz val="10"/>
      <color rgb="FF000000"/>
      <name val="Courier New"/>
      <family val="3"/>
    </font>
  </fonts>
  <fills count="18">
    <fill>
      <patternFill patternType="none"/>
    </fill>
    <fill>
      <patternFill patternType="gray125"/>
    </fill>
    <fill>
      <patternFill patternType="solid">
        <fgColor theme="9" tint="0.79998168889431442"/>
        <bgColor indexed="64"/>
      </patternFill>
    </fill>
    <fill>
      <patternFill patternType="solid">
        <fgColor rgb="FFD9D9D9"/>
        <bgColor rgb="FF000000"/>
      </patternFill>
    </fill>
    <fill>
      <patternFill patternType="solid">
        <fgColor rgb="FFFDE9D9"/>
        <bgColor rgb="FF000000"/>
      </patternFill>
    </fill>
    <fill>
      <patternFill patternType="solid">
        <fgColor rgb="FFEBF1DE"/>
        <bgColor rgb="FF000000"/>
      </patternFill>
    </fill>
    <fill>
      <patternFill patternType="solid">
        <fgColor theme="6" tint="0.79998168889431442"/>
        <bgColor rgb="FF000000"/>
      </patternFill>
    </fill>
    <fill>
      <patternFill patternType="solid">
        <fgColor theme="8"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FF00"/>
        <bgColor rgb="FF000000"/>
      </patternFill>
    </fill>
    <fill>
      <patternFill patternType="solid">
        <fgColor rgb="FFDAEEF3"/>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BE2D5"/>
        <bgColor rgb="FF000000"/>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indexed="64"/>
      </bottom>
      <diagonal/>
    </border>
    <border>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bottom style="thin">
        <color indexed="64"/>
      </bottom>
      <diagonal/>
    </border>
    <border>
      <left/>
      <right style="thin">
        <color rgb="FFAAAAAA"/>
      </right>
      <top style="thin">
        <color rgb="FFAAAAAA"/>
      </top>
      <bottom style="thin">
        <color rgb="FFAAAAAA"/>
      </bottom>
      <diagonal/>
    </border>
    <border>
      <left style="thin">
        <color rgb="FFAAAAAA"/>
      </left>
      <right style="thin">
        <color rgb="FFAAAAAA"/>
      </right>
      <top style="thin">
        <color rgb="FFAAAAAA"/>
      </top>
      <bottom style="thin">
        <color rgb="FFAAAAAA"/>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thin">
        <color rgb="FF000000"/>
      </left>
      <right style="thin">
        <color rgb="FF000000"/>
      </right>
      <top/>
      <bottom/>
      <diagonal/>
    </border>
  </borders>
  <cellStyleXfs count="2">
    <xf numFmtId="0" fontId="0" fillId="0" borderId="0"/>
    <xf numFmtId="0" fontId="26" fillId="0" borderId="0" applyNumberFormat="0" applyFill="0" applyBorder="0" applyAlignment="0" applyProtection="0"/>
  </cellStyleXfs>
  <cellXfs count="512">
    <xf numFmtId="0" fontId="0" fillId="0" borderId="0" xfId="0"/>
    <xf numFmtId="0" fontId="0" fillId="0" borderId="0" xfId="0" applyAlignment="1">
      <alignment horizontal="center"/>
    </xf>
    <xf numFmtId="0" fontId="0" fillId="0" borderId="1" xfId="0" applyBorder="1"/>
    <xf numFmtId="14" fontId="0" fillId="0" borderId="1" xfId="0" applyNumberFormat="1" applyBorder="1" applyAlignment="1">
      <alignment horizontal="center" vertical="center"/>
    </xf>
    <xf numFmtId="14" fontId="0" fillId="2" borderId="1" xfId="0" applyNumberFormat="1" applyFill="1" applyBorder="1" applyAlignment="1">
      <alignment horizontal="center" vertical="center"/>
    </xf>
    <xf numFmtId="0" fontId="0" fillId="2" borderId="1" xfId="0" applyFill="1" applyBorder="1"/>
    <xf numFmtId="0" fontId="0" fillId="0" borderId="0" xfId="0" applyAlignment="1">
      <alignment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3" fillId="0" borderId="0" xfId="0" applyFont="1"/>
    <xf numFmtId="0" fontId="3" fillId="3" borderId="1" xfId="0" applyFont="1" applyFill="1" applyBorder="1"/>
    <xf numFmtId="0" fontId="3" fillId="3" borderId="3" xfId="0" applyFont="1" applyFill="1" applyBorder="1"/>
    <xf numFmtId="0" fontId="3" fillId="3" borderId="5" xfId="0" applyFont="1" applyFill="1" applyBorder="1"/>
    <xf numFmtId="0" fontId="3" fillId="4" borderId="4" xfId="0" applyFont="1" applyFill="1" applyBorder="1"/>
    <xf numFmtId="0" fontId="3" fillId="5" borderId="4" xfId="0" applyFont="1" applyFill="1" applyBorder="1"/>
    <xf numFmtId="0" fontId="5" fillId="4" borderId="4" xfId="0" applyFont="1" applyFill="1" applyBorder="1"/>
    <xf numFmtId="0" fontId="3" fillId="3" borderId="4" xfId="0" applyFont="1" applyFill="1" applyBorder="1"/>
    <xf numFmtId="0" fontId="3" fillId="5" borderId="4" xfId="0" applyFont="1" applyFill="1" applyBorder="1" applyAlignment="1">
      <alignment wrapText="1"/>
    </xf>
    <xf numFmtId="0" fontId="4" fillId="5" borderId="4" xfId="0" applyFont="1" applyFill="1" applyBorder="1"/>
    <xf numFmtId="0" fontId="4" fillId="4" borderId="4" xfId="0" applyFont="1" applyFill="1" applyBorder="1"/>
    <xf numFmtId="0" fontId="3" fillId="4" borderId="4" xfId="0" applyFont="1" applyFill="1" applyBorder="1" applyAlignment="1">
      <alignment wrapText="1"/>
    </xf>
    <xf numFmtId="0" fontId="3" fillId="0" borderId="4" xfId="0" applyFont="1" applyBorder="1"/>
    <xf numFmtId="0" fontId="3" fillId="3" borderId="4" xfId="0" applyFont="1" applyFill="1" applyBorder="1" applyAlignment="1">
      <alignment wrapText="1"/>
    </xf>
    <xf numFmtId="0" fontId="3" fillId="0" borderId="1" xfId="0" applyFont="1" applyBorder="1"/>
    <xf numFmtId="0" fontId="3" fillId="0" borderId="0" xfId="0" applyFont="1" applyAlignment="1">
      <alignment wrapText="1"/>
    </xf>
    <xf numFmtId="0" fontId="3" fillId="3" borderId="3" xfId="0" applyFont="1" applyFill="1" applyBorder="1" applyAlignment="1">
      <alignment wrapText="1"/>
    </xf>
    <xf numFmtId="0" fontId="5" fillId="4" borderId="4" xfId="0" applyFont="1" applyFill="1" applyBorder="1" applyAlignment="1">
      <alignment wrapText="1"/>
    </xf>
    <xf numFmtId="0" fontId="5" fillId="5" borderId="4" xfId="0" applyFont="1" applyFill="1" applyBorder="1" applyAlignment="1">
      <alignment wrapText="1"/>
    </xf>
    <xf numFmtId="0" fontId="3" fillId="3" borderId="5" xfId="0" applyFont="1" applyFill="1" applyBorder="1" applyAlignment="1">
      <alignment wrapText="1"/>
    </xf>
    <xf numFmtId="0" fontId="3" fillId="2" borderId="4" xfId="0" applyFont="1" applyFill="1" applyBorder="1"/>
    <xf numFmtId="14" fontId="3" fillId="4" borderId="4" xfId="0" applyNumberFormat="1" applyFont="1" applyFill="1" applyBorder="1" applyAlignment="1">
      <alignment horizontal="center" vertical="center"/>
    </xf>
    <xf numFmtId="14" fontId="3" fillId="5" borderId="4" xfId="0" applyNumberFormat="1" applyFont="1" applyFill="1" applyBorder="1" applyAlignment="1">
      <alignment horizontal="center" vertical="center"/>
    </xf>
    <xf numFmtId="14" fontId="5" fillId="4" borderId="4" xfId="0" applyNumberFormat="1" applyFont="1" applyFill="1" applyBorder="1" applyAlignment="1">
      <alignment horizontal="center" vertical="center"/>
    </xf>
    <xf numFmtId="14" fontId="3" fillId="3" borderId="4" xfId="0" applyNumberFormat="1" applyFont="1" applyFill="1" applyBorder="1" applyAlignment="1">
      <alignment horizontal="center" vertical="center"/>
    </xf>
    <xf numFmtId="14" fontId="3" fillId="0" borderId="4" xfId="0" applyNumberFormat="1" applyFont="1" applyBorder="1" applyAlignment="1">
      <alignment horizontal="center" vertical="center"/>
    </xf>
    <xf numFmtId="14" fontId="3" fillId="2" borderId="4" xfId="0" applyNumberFormat="1" applyFont="1" applyFill="1" applyBorder="1" applyAlignment="1">
      <alignment horizontal="center" vertical="center"/>
    </xf>
    <xf numFmtId="0" fontId="3" fillId="4" borderId="4" xfId="0" applyFont="1" applyFill="1" applyBorder="1" applyAlignment="1">
      <alignment horizontal="center" vertical="center"/>
    </xf>
    <xf numFmtId="0" fontId="3" fillId="5" borderId="4" xfId="0" applyFont="1" applyFill="1" applyBorder="1" applyAlignment="1">
      <alignment horizontal="center" vertical="center"/>
    </xf>
    <xf numFmtId="0" fontId="5" fillId="4" borderId="4" xfId="0" applyFont="1" applyFill="1" applyBorder="1" applyAlignment="1">
      <alignment horizontal="center" vertical="center"/>
    </xf>
    <xf numFmtId="0" fontId="3" fillId="3" borderId="4" xfId="0" applyFont="1" applyFill="1" applyBorder="1" applyAlignment="1">
      <alignment horizontal="center" vertical="center"/>
    </xf>
    <xf numFmtId="0" fontId="3" fillId="0" borderId="4" xfId="0" applyFont="1" applyBorder="1" applyAlignment="1">
      <alignment horizontal="center" vertical="center"/>
    </xf>
    <xf numFmtId="0" fontId="3" fillId="2" borderId="4" xfId="0" applyFont="1" applyFill="1" applyBorder="1" applyAlignment="1">
      <alignment horizontal="center" vertical="center"/>
    </xf>
    <xf numFmtId="0" fontId="3" fillId="0" borderId="1" xfId="0" applyFont="1" applyBorder="1" applyAlignment="1">
      <alignment horizontal="center" vertical="center"/>
    </xf>
    <xf numFmtId="14" fontId="3" fillId="0" borderId="1" xfId="0" applyNumberFormat="1" applyFont="1" applyBorder="1" applyAlignment="1">
      <alignment horizontal="center" vertical="center"/>
    </xf>
    <xf numFmtId="0" fontId="3" fillId="0" borderId="1" xfId="0" applyFont="1" applyBorder="1" applyAlignment="1">
      <alignment wrapText="1"/>
    </xf>
    <xf numFmtId="0" fontId="4" fillId="0" borderId="1" xfId="0" applyFont="1" applyBorder="1"/>
    <xf numFmtId="0" fontId="3" fillId="0" borderId="0" xfId="0" applyFont="1" applyAlignment="1">
      <alignment horizontal="center"/>
    </xf>
    <xf numFmtId="0" fontId="3" fillId="3" borderId="3" xfId="0" applyFont="1" applyFill="1" applyBorder="1" applyAlignment="1">
      <alignment horizontal="center"/>
    </xf>
    <xf numFmtId="0" fontId="3" fillId="4" borderId="4" xfId="0" applyFont="1" applyFill="1" applyBorder="1" applyAlignment="1">
      <alignment horizontal="center"/>
    </xf>
    <xf numFmtId="0" fontId="3" fillId="5" borderId="4" xfId="0" applyFont="1" applyFill="1" applyBorder="1" applyAlignment="1">
      <alignment horizontal="center"/>
    </xf>
    <xf numFmtId="0" fontId="5" fillId="4" borderId="4" xfId="0" applyFont="1" applyFill="1" applyBorder="1" applyAlignment="1">
      <alignment horizontal="center"/>
    </xf>
    <xf numFmtId="0" fontId="3" fillId="3" borderId="4" xfId="0" applyFont="1" applyFill="1" applyBorder="1" applyAlignment="1">
      <alignment horizontal="center"/>
    </xf>
    <xf numFmtId="0" fontId="3" fillId="0" borderId="1" xfId="0" applyFont="1" applyBorder="1" applyAlignment="1">
      <alignment horizontal="center"/>
    </xf>
    <xf numFmtId="0" fontId="3" fillId="5" borderId="4" xfId="0" applyFont="1" applyFill="1" applyBorder="1" applyAlignment="1">
      <alignment vertical="center"/>
    </xf>
    <xf numFmtId="0" fontId="3" fillId="5" borderId="4" xfId="0" applyFont="1" applyFill="1" applyBorder="1" applyAlignment="1">
      <alignment vertical="center" wrapText="1"/>
    </xf>
    <xf numFmtId="0" fontId="3" fillId="0" borderId="0" xfId="0" applyFont="1" applyAlignment="1">
      <alignment vertical="center"/>
    </xf>
    <xf numFmtId="0" fontId="3" fillId="6" borderId="4" xfId="0" applyFont="1" applyFill="1" applyBorder="1" applyAlignment="1">
      <alignment horizontal="center" vertical="center"/>
    </xf>
    <xf numFmtId="14" fontId="3" fillId="6" borderId="4" xfId="0" applyNumberFormat="1" applyFont="1" applyFill="1" applyBorder="1" applyAlignment="1">
      <alignment horizontal="center" vertical="center"/>
    </xf>
    <xf numFmtId="0" fontId="3" fillId="6" borderId="4" xfId="0" applyFont="1" applyFill="1" applyBorder="1"/>
    <xf numFmtId="0" fontId="3" fillId="6" borderId="4" xfId="0" applyFont="1" applyFill="1" applyBorder="1" applyAlignment="1">
      <alignment horizontal="center"/>
    </xf>
    <xf numFmtId="0" fontId="3" fillId="6" borderId="4" xfId="0" applyFont="1" applyFill="1" applyBorder="1" applyAlignment="1">
      <alignment wrapText="1"/>
    </xf>
    <xf numFmtId="0" fontId="3" fillId="0" borderId="0" xfId="0" applyFont="1" applyAlignment="1">
      <alignment horizontal="center" wrapText="1"/>
    </xf>
    <xf numFmtId="0" fontId="3" fillId="3" borderId="3" xfId="0" applyFont="1" applyFill="1" applyBorder="1" applyAlignment="1">
      <alignment horizontal="center" wrapText="1"/>
    </xf>
    <xf numFmtId="0" fontId="3" fillId="4" borderId="4" xfId="0" applyFont="1" applyFill="1" applyBorder="1" applyAlignment="1">
      <alignment horizontal="center" wrapText="1"/>
    </xf>
    <xf numFmtId="0" fontId="3" fillId="5" borderId="4" xfId="0" applyFont="1" applyFill="1" applyBorder="1" applyAlignment="1">
      <alignment horizontal="center" wrapText="1"/>
    </xf>
    <xf numFmtId="0" fontId="3" fillId="6" borderId="4" xfId="0" applyFont="1" applyFill="1" applyBorder="1" applyAlignment="1">
      <alignment horizontal="center" wrapText="1"/>
    </xf>
    <xf numFmtId="0" fontId="5" fillId="4" borderId="4" xfId="0" applyFont="1" applyFill="1" applyBorder="1" applyAlignment="1">
      <alignment horizontal="center" wrapText="1"/>
    </xf>
    <xf numFmtId="0" fontId="3" fillId="3" borderId="4" xfId="0" applyFont="1" applyFill="1" applyBorder="1" applyAlignment="1">
      <alignment horizontal="center" wrapText="1"/>
    </xf>
    <xf numFmtId="0" fontId="3" fillId="5" borderId="4" xfId="0" applyFont="1" applyFill="1" applyBorder="1" applyAlignment="1">
      <alignment horizontal="center" vertical="center" wrapText="1"/>
    </xf>
    <xf numFmtId="0" fontId="3" fillId="0" borderId="1" xfId="0" applyFont="1" applyBorder="1" applyAlignment="1">
      <alignment horizontal="center" wrapText="1"/>
    </xf>
    <xf numFmtId="0" fontId="3" fillId="0" borderId="4" xfId="0" applyFont="1" applyBorder="1" applyAlignment="1">
      <alignment vertical="center"/>
    </xf>
    <xf numFmtId="0" fontId="3" fillId="3" borderId="4" xfId="0" applyFont="1" applyFill="1" applyBorder="1" applyAlignment="1">
      <alignment vertical="center"/>
    </xf>
    <xf numFmtId="0" fontId="3" fillId="0" borderId="1" xfId="0" applyFont="1" applyBorder="1" applyAlignment="1">
      <alignment vertical="center"/>
    </xf>
    <xf numFmtId="0" fontId="3" fillId="3" borderId="1" xfId="0" applyFont="1" applyFill="1" applyBorder="1" applyAlignment="1">
      <alignment vertical="center"/>
    </xf>
    <xf numFmtId="0" fontId="4" fillId="0" borderId="1" xfId="0" applyFont="1" applyBorder="1" applyAlignment="1">
      <alignment vertical="center"/>
    </xf>
    <xf numFmtId="0" fontId="4" fillId="4" borderId="1" xfId="0" applyFont="1" applyFill="1" applyBorder="1"/>
    <xf numFmtId="0" fontId="3" fillId="2" borderId="1" xfId="0" applyFont="1" applyFill="1" applyBorder="1"/>
    <xf numFmtId="0" fontId="3" fillId="0" borderId="1" xfId="0" applyFont="1" applyBorder="1" applyAlignment="1">
      <alignment vertical="center" wrapText="1"/>
    </xf>
    <xf numFmtId="0" fontId="3" fillId="4" borderId="1" xfId="0" applyFont="1" applyFill="1" applyBorder="1"/>
    <xf numFmtId="0" fontId="3" fillId="4" borderId="1" xfId="0" applyFont="1" applyFill="1" applyBorder="1" applyAlignment="1">
      <alignment horizontal="center"/>
    </xf>
    <xf numFmtId="0" fontId="3" fillId="4" borderId="1" xfId="0" applyFont="1" applyFill="1" applyBorder="1" applyAlignment="1">
      <alignment horizontal="center" wrapText="1"/>
    </xf>
    <xf numFmtId="0" fontId="3" fillId="4" borderId="1" xfId="0" applyFont="1" applyFill="1" applyBorder="1" applyAlignment="1">
      <alignment wrapText="1"/>
    </xf>
    <xf numFmtId="0" fontId="5" fillId="0" borderId="1" xfId="0" applyFont="1" applyBorder="1" applyAlignment="1">
      <alignment wrapText="1"/>
    </xf>
    <xf numFmtId="0" fontId="3" fillId="0" borderId="1" xfId="0" applyFont="1" applyBorder="1" applyAlignment="1">
      <alignment horizontal="center" vertical="center" wrapText="1"/>
    </xf>
    <xf numFmtId="0" fontId="4" fillId="3" borderId="1" xfId="0" applyFont="1" applyFill="1" applyBorder="1" applyAlignment="1">
      <alignment vertical="center"/>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1" xfId="0" applyFont="1" applyFill="1" applyBorder="1"/>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3" fillId="2" borderId="1" xfId="0" applyFont="1" applyFill="1" applyBorder="1" applyAlignment="1">
      <alignment wrapText="1"/>
    </xf>
    <xf numFmtId="0" fontId="3" fillId="3" borderId="1" xfId="0" applyFont="1" applyFill="1" applyBorder="1" applyAlignment="1">
      <alignment horizontal="center"/>
    </xf>
    <xf numFmtId="0" fontId="4" fillId="5" borderId="4" xfId="0" applyFont="1" applyFill="1" applyBorder="1" applyAlignment="1">
      <alignment vertical="center"/>
    </xf>
    <xf numFmtId="0" fontId="5" fillId="5" borderId="4" xfId="0" applyFont="1" applyFill="1" applyBorder="1" applyAlignment="1">
      <alignment horizontal="center" vertical="center" wrapText="1"/>
    </xf>
    <xf numFmtId="0" fontId="4" fillId="2" borderId="1" xfId="0" applyFont="1" applyFill="1" applyBorder="1" applyAlignment="1">
      <alignment wrapText="1"/>
    </xf>
    <xf numFmtId="1" fontId="3" fillId="0" borderId="0" xfId="0" applyNumberFormat="1" applyFont="1" applyAlignment="1">
      <alignment wrapText="1"/>
    </xf>
    <xf numFmtId="14" fontId="3" fillId="0" borderId="0" xfId="0" applyNumberFormat="1" applyFont="1" applyAlignment="1">
      <alignment horizontal="center"/>
    </xf>
    <xf numFmtId="14" fontId="3" fillId="3" borderId="5" xfId="0" applyNumberFormat="1" applyFont="1" applyFill="1" applyBorder="1" applyAlignment="1">
      <alignment horizontal="left"/>
    </xf>
    <xf numFmtId="14" fontId="3" fillId="0" borderId="0" xfId="0" quotePrefix="1" applyNumberFormat="1" applyFont="1" applyAlignment="1">
      <alignment horizontal="center"/>
    </xf>
    <xf numFmtId="14" fontId="3" fillId="0" borderId="0" xfId="0" applyNumberFormat="1" applyFont="1" applyAlignment="1">
      <alignment horizontal="center" vertical="center"/>
    </xf>
    <xf numFmtId="14" fontId="3" fillId="0" borderId="2" xfId="0" applyNumberFormat="1" applyFont="1" applyBorder="1" applyAlignment="1">
      <alignment horizontal="center"/>
    </xf>
    <xf numFmtId="14" fontId="3" fillId="0" borderId="0" xfId="0" applyNumberFormat="1" applyFont="1" applyAlignment="1">
      <alignment vertical="center"/>
    </xf>
    <xf numFmtId="14" fontId="0" fillId="0" borderId="0" xfId="0" applyNumberFormat="1" applyAlignment="1">
      <alignment horizontal="center"/>
    </xf>
    <xf numFmtId="1" fontId="3" fillId="0" borderId="0" xfId="0" applyNumberFormat="1" applyFont="1" applyAlignment="1">
      <alignment vertical="center" wrapText="1"/>
    </xf>
    <xf numFmtId="0" fontId="3" fillId="2" borderId="4" xfId="0" applyFont="1" applyFill="1" applyBorder="1" applyAlignment="1">
      <alignment vertical="center"/>
    </xf>
    <xf numFmtId="0" fontId="4" fillId="2" borderId="1" xfId="0" applyFont="1" applyFill="1" applyBorder="1" applyAlignment="1">
      <alignment vertical="center"/>
    </xf>
    <xf numFmtId="0" fontId="3" fillId="2" borderId="1" xfId="0" applyFont="1" applyFill="1" applyBorder="1" applyAlignment="1">
      <alignment horizontal="center" vertical="center"/>
    </xf>
    <xf numFmtId="0" fontId="3" fillId="2" borderId="1" xfId="0" applyFont="1" applyFill="1" applyBorder="1" applyAlignment="1">
      <alignment vertical="center"/>
    </xf>
    <xf numFmtId="0" fontId="3" fillId="2" borderId="1" xfId="0" applyFont="1" applyFill="1" applyBorder="1" applyAlignment="1">
      <alignment horizontal="center" vertical="center" wrapText="1"/>
    </xf>
    <xf numFmtId="0" fontId="3" fillId="2" borderId="1" xfId="0" applyFont="1" applyFill="1" applyBorder="1" applyAlignment="1">
      <alignment vertical="center" wrapText="1"/>
    </xf>
    <xf numFmtId="14" fontId="3" fillId="2" borderId="1" xfId="0" applyNumberFormat="1" applyFont="1" applyFill="1" applyBorder="1" applyAlignment="1">
      <alignment horizontal="center" vertical="center"/>
    </xf>
    <xf numFmtId="0" fontId="3" fillId="0" borderId="4" xfId="0" applyFont="1" applyBorder="1" applyAlignment="1">
      <alignment horizontal="center"/>
    </xf>
    <xf numFmtId="0" fontId="3" fillId="0" borderId="4" xfId="0" applyFont="1" applyBorder="1" applyAlignment="1">
      <alignment horizontal="center" wrapText="1"/>
    </xf>
    <xf numFmtId="0" fontId="3" fillId="0" borderId="4" xfId="0" applyFont="1" applyBorder="1" applyAlignment="1">
      <alignment wrapText="1"/>
    </xf>
    <xf numFmtId="0" fontId="5" fillId="2" borderId="1" xfId="0" applyFont="1" applyFill="1" applyBorder="1" applyAlignment="1">
      <alignment wrapText="1"/>
    </xf>
    <xf numFmtId="0" fontId="8" fillId="2" borderId="1" xfId="0" applyFont="1" applyFill="1" applyBorder="1" applyAlignment="1">
      <alignment vertical="center" wrapText="1"/>
    </xf>
    <xf numFmtId="0" fontId="3" fillId="7" borderId="4" xfId="0" applyFont="1" applyFill="1" applyBorder="1" applyAlignment="1">
      <alignment horizontal="center" vertical="center"/>
    </xf>
    <xf numFmtId="14" fontId="3" fillId="7" borderId="1" xfId="0" applyNumberFormat="1" applyFont="1" applyFill="1" applyBorder="1" applyAlignment="1">
      <alignment horizontal="center" vertical="center"/>
    </xf>
    <xf numFmtId="0" fontId="3" fillId="7" borderId="4" xfId="0" applyFont="1" applyFill="1" applyBorder="1"/>
    <xf numFmtId="0" fontId="3" fillId="7" borderId="4" xfId="0" applyFont="1" applyFill="1" applyBorder="1" applyAlignment="1">
      <alignment horizontal="center"/>
    </xf>
    <xf numFmtId="0" fontId="3" fillId="7" borderId="4" xfId="0" applyFont="1" applyFill="1" applyBorder="1" applyAlignment="1">
      <alignment horizontal="center" wrapText="1"/>
    </xf>
    <xf numFmtId="0" fontId="3" fillId="7" borderId="4" xfId="0" applyFont="1" applyFill="1" applyBorder="1" applyAlignment="1">
      <alignment wrapText="1"/>
    </xf>
    <xf numFmtId="14" fontId="3" fillId="7" borderId="4" xfId="0" applyNumberFormat="1" applyFont="1" applyFill="1" applyBorder="1" applyAlignment="1">
      <alignment horizontal="center" vertical="center"/>
    </xf>
    <xf numFmtId="0" fontId="0" fillId="7" borderId="1" xfId="0" applyFill="1" applyBorder="1" applyAlignment="1">
      <alignment horizontal="center" vertical="center"/>
    </xf>
    <xf numFmtId="0" fontId="0" fillId="7" borderId="1" xfId="0" applyFill="1" applyBorder="1"/>
    <xf numFmtId="0" fontId="3" fillId="7" borderId="1" xfId="0" applyFont="1" applyFill="1" applyBorder="1"/>
    <xf numFmtId="0" fontId="3" fillId="7" borderId="1" xfId="0" applyFont="1" applyFill="1" applyBorder="1" applyAlignment="1">
      <alignment horizontal="center"/>
    </xf>
    <xf numFmtId="0" fontId="3" fillId="7" borderId="1" xfId="0" applyFont="1" applyFill="1" applyBorder="1" applyAlignment="1">
      <alignment horizontal="center" wrapText="1"/>
    </xf>
    <xf numFmtId="0" fontId="3" fillId="7" borderId="1" xfId="0" applyFont="1" applyFill="1" applyBorder="1" applyAlignment="1">
      <alignment wrapText="1"/>
    </xf>
    <xf numFmtId="0" fontId="4" fillId="6" borderId="4" xfId="0" applyFont="1" applyFill="1" applyBorder="1"/>
    <xf numFmtId="2" fontId="3" fillId="0" borderId="0" xfId="0" applyNumberFormat="1" applyFont="1" applyAlignment="1">
      <alignment horizontal="center"/>
    </xf>
    <xf numFmtId="2" fontId="3" fillId="3" borderId="3" xfId="0" applyNumberFormat="1" applyFont="1" applyFill="1" applyBorder="1" applyAlignment="1">
      <alignment horizontal="center"/>
    </xf>
    <xf numFmtId="2" fontId="3" fillId="6" borderId="4" xfId="0" applyNumberFormat="1" applyFont="1" applyFill="1" applyBorder="1" applyAlignment="1">
      <alignment horizontal="center"/>
    </xf>
    <xf numFmtId="2" fontId="3" fillId="5" borderId="4" xfId="0" applyNumberFormat="1" applyFont="1" applyFill="1" applyBorder="1" applyAlignment="1">
      <alignment horizontal="center"/>
    </xf>
    <xf numFmtId="2" fontId="3" fillId="4" borderId="4" xfId="0" applyNumberFormat="1" applyFont="1" applyFill="1" applyBorder="1" applyAlignment="1">
      <alignment horizontal="center"/>
    </xf>
    <xf numFmtId="2" fontId="3" fillId="4" borderId="1" xfId="0" applyNumberFormat="1" applyFont="1" applyFill="1" applyBorder="1" applyAlignment="1">
      <alignment horizontal="center"/>
    </xf>
    <xf numFmtId="2" fontId="3" fillId="2" borderId="1" xfId="0" applyNumberFormat="1" applyFont="1" applyFill="1" applyBorder="1" applyAlignment="1">
      <alignment horizontal="center"/>
    </xf>
    <xf numFmtId="2" fontId="3" fillId="0" borderId="4" xfId="0" applyNumberFormat="1" applyFont="1" applyBorder="1" applyAlignment="1">
      <alignment horizontal="center"/>
    </xf>
    <xf numFmtId="2" fontId="3" fillId="0" borderId="1" xfId="0" applyNumberFormat="1" applyFont="1" applyBorder="1" applyAlignment="1">
      <alignment horizontal="center"/>
    </xf>
    <xf numFmtId="2" fontId="0" fillId="0" borderId="0" xfId="0" applyNumberFormat="1" applyAlignment="1">
      <alignment horizontal="center"/>
    </xf>
    <xf numFmtId="22" fontId="3" fillId="0" borderId="0" xfId="0" applyNumberFormat="1" applyFont="1"/>
    <xf numFmtId="0" fontId="3" fillId="6" borderId="1" xfId="0" applyFont="1" applyFill="1" applyBorder="1"/>
    <xf numFmtId="0" fontId="3" fillId="6" borderId="3" xfId="0" applyFont="1" applyFill="1" applyBorder="1" applyAlignment="1">
      <alignment horizontal="center"/>
    </xf>
    <xf numFmtId="0" fontId="3" fillId="6" borderId="3" xfId="0" applyFont="1" applyFill="1" applyBorder="1"/>
    <xf numFmtId="0" fontId="3" fillId="6" borderId="4" xfId="0" applyFont="1" applyFill="1" applyBorder="1" applyAlignment="1">
      <alignment vertical="center"/>
    </xf>
    <xf numFmtId="0" fontId="3" fillId="6" borderId="4" xfId="0" applyFont="1" applyFill="1" applyBorder="1" applyAlignment="1">
      <alignment vertical="center" wrapText="1"/>
    </xf>
    <xf numFmtId="0" fontId="3" fillId="6" borderId="4" xfId="0" applyFont="1" applyFill="1" applyBorder="1" applyAlignment="1">
      <alignment horizontal="center" vertical="center" wrapText="1"/>
    </xf>
    <xf numFmtId="14" fontId="3" fillId="2" borderId="4" xfId="0" applyNumberFormat="1" applyFont="1" applyFill="1" applyBorder="1" applyAlignment="1">
      <alignment vertical="center"/>
    </xf>
    <xf numFmtId="14" fontId="8" fillId="0" borderId="1" xfId="0" applyNumberFormat="1" applyFont="1" applyBorder="1" applyAlignment="1">
      <alignment horizontal="center" vertical="center"/>
    </xf>
    <xf numFmtId="0" fontId="8" fillId="0" borderId="1" xfId="0" applyFont="1" applyBorder="1"/>
    <xf numFmtId="0" fontId="8" fillId="0" borderId="1" xfId="0" applyFont="1" applyBorder="1" applyAlignment="1">
      <alignment wrapText="1"/>
    </xf>
    <xf numFmtId="0" fontId="3" fillId="9" borderId="4" xfId="0" applyFont="1" applyFill="1" applyBorder="1" applyAlignment="1">
      <alignment horizontal="center" vertical="center"/>
    </xf>
    <xf numFmtId="14" fontId="3" fillId="9" borderId="4" xfId="0" applyNumberFormat="1" applyFont="1" applyFill="1" applyBorder="1" applyAlignment="1">
      <alignment horizontal="center" vertical="center"/>
    </xf>
    <xf numFmtId="0" fontId="3" fillId="9" borderId="4" xfId="0" applyFont="1" applyFill="1" applyBorder="1" applyAlignment="1">
      <alignment vertical="center"/>
    </xf>
    <xf numFmtId="0" fontId="3" fillId="9" borderId="1" xfId="0" applyFont="1" applyFill="1" applyBorder="1" applyAlignment="1">
      <alignment vertical="center"/>
    </xf>
    <xf numFmtId="0" fontId="3" fillId="9" borderId="1" xfId="0" applyFont="1" applyFill="1" applyBorder="1" applyAlignment="1">
      <alignment horizontal="center" vertical="center"/>
    </xf>
    <xf numFmtId="0" fontId="3" fillId="9" borderId="1" xfId="0" applyFont="1" applyFill="1" applyBorder="1" applyAlignment="1">
      <alignment horizontal="center" vertical="center" wrapText="1"/>
    </xf>
    <xf numFmtId="0" fontId="3" fillId="9" borderId="1" xfId="0" applyFont="1" applyFill="1" applyBorder="1" applyAlignment="1">
      <alignment vertical="center" wrapText="1"/>
    </xf>
    <xf numFmtId="0" fontId="9" fillId="0" borderId="0" xfId="0" applyFont="1"/>
    <xf numFmtId="0" fontId="8" fillId="0" borderId="0" xfId="0" applyFont="1"/>
    <xf numFmtId="0" fontId="8" fillId="0" borderId="0" xfId="0" applyFont="1" applyAlignment="1">
      <alignment wrapText="1"/>
    </xf>
    <xf numFmtId="1" fontId="8" fillId="0" borderId="0" xfId="0" applyNumberFormat="1" applyFont="1" applyAlignment="1">
      <alignment wrapText="1"/>
    </xf>
    <xf numFmtId="14" fontId="3" fillId="2" borderId="1" xfId="0" applyNumberFormat="1" applyFont="1" applyFill="1" applyBorder="1" applyAlignment="1">
      <alignment vertical="center"/>
    </xf>
    <xf numFmtId="0" fontId="6" fillId="2" borderId="1" xfId="0" applyFont="1" applyFill="1" applyBorder="1" applyAlignment="1">
      <alignment vertical="center"/>
    </xf>
    <xf numFmtId="0" fontId="6" fillId="2" borderId="1" xfId="0" applyFont="1" applyFill="1" applyBorder="1" applyAlignment="1">
      <alignment vertical="center" wrapText="1"/>
    </xf>
    <xf numFmtId="0" fontId="7" fillId="2" borderId="1" xfId="0" applyFont="1" applyFill="1" applyBorder="1" applyAlignment="1">
      <alignment vertical="center"/>
    </xf>
    <xf numFmtId="0" fontId="0" fillId="8" borderId="1" xfId="0" applyFill="1" applyBorder="1" applyAlignment="1">
      <alignment vertical="center"/>
    </xf>
    <xf numFmtId="14" fontId="3" fillId="8" borderId="1" xfId="0" applyNumberFormat="1" applyFont="1" applyFill="1" applyBorder="1" applyAlignment="1">
      <alignment vertical="center"/>
    </xf>
    <xf numFmtId="0" fontId="3" fillId="8" borderId="1" xfId="0" applyFont="1" applyFill="1" applyBorder="1" applyAlignment="1">
      <alignment vertical="center"/>
    </xf>
    <xf numFmtId="2" fontId="3" fillId="8" borderId="1" xfId="0" applyNumberFormat="1" applyFont="1" applyFill="1" applyBorder="1" applyAlignment="1">
      <alignment vertical="center"/>
    </xf>
    <xf numFmtId="0" fontId="3" fillId="8" borderId="1" xfId="0" applyFont="1" applyFill="1" applyBorder="1" applyAlignment="1">
      <alignment vertical="center" wrapText="1"/>
    </xf>
    <xf numFmtId="0" fontId="3" fillId="6" borderId="1" xfId="0" applyFont="1" applyFill="1" applyBorder="1" applyAlignment="1">
      <alignment horizontal="center"/>
    </xf>
    <xf numFmtId="0" fontId="3" fillId="6" borderId="1" xfId="0" applyFont="1" applyFill="1" applyBorder="1" applyAlignment="1">
      <alignment horizontal="left"/>
    </xf>
    <xf numFmtId="0" fontId="3" fillId="6" borderId="1" xfId="0" applyFont="1" applyFill="1" applyBorder="1" applyAlignment="1">
      <alignment horizontal="center" wrapText="1"/>
    </xf>
    <xf numFmtId="0" fontId="3" fillId="6" borderId="1" xfId="0" applyFont="1" applyFill="1" applyBorder="1" applyAlignment="1">
      <alignment wrapText="1"/>
    </xf>
    <xf numFmtId="0" fontId="3" fillId="0" borderId="6" xfId="0" applyFont="1" applyBorder="1"/>
    <xf numFmtId="0" fontId="3" fillId="0" borderId="6" xfId="0" applyFont="1" applyBorder="1" applyAlignment="1">
      <alignment wrapText="1"/>
    </xf>
    <xf numFmtId="14" fontId="3" fillId="0" borderId="6" xfId="0" applyNumberFormat="1" applyFont="1" applyBorder="1"/>
    <xf numFmtId="0" fontId="0" fillId="0" borderId="6" xfId="0" applyBorder="1"/>
    <xf numFmtId="0" fontId="3" fillId="3" borderId="6" xfId="0" applyFont="1" applyFill="1" applyBorder="1"/>
    <xf numFmtId="0" fontId="3" fillId="3" borderId="6" xfId="0" applyFont="1" applyFill="1" applyBorder="1" applyAlignment="1">
      <alignment wrapText="1"/>
    </xf>
    <xf numFmtId="14" fontId="3" fillId="3" borderId="6" xfId="0" applyNumberFormat="1" applyFont="1" applyFill="1" applyBorder="1"/>
    <xf numFmtId="0" fontId="3" fillId="6" borderId="6" xfId="0" applyFont="1" applyFill="1" applyBorder="1" applyAlignment="1">
      <alignment vertical="center"/>
    </xf>
    <xf numFmtId="0" fontId="3" fillId="6" borderId="6" xfId="0" applyFont="1" applyFill="1" applyBorder="1"/>
    <xf numFmtId="0" fontId="3" fillId="6" borderId="6" xfId="0" applyFont="1" applyFill="1" applyBorder="1" applyAlignment="1">
      <alignment wrapText="1"/>
    </xf>
    <xf numFmtId="1" fontId="3" fillId="0" borderId="6" xfId="0" applyNumberFormat="1" applyFont="1" applyBorder="1" applyAlignment="1">
      <alignment wrapText="1"/>
    </xf>
    <xf numFmtId="0" fontId="3" fillId="5" borderId="6" xfId="0" applyFont="1" applyFill="1" applyBorder="1" applyAlignment="1">
      <alignment vertical="center"/>
    </xf>
    <xf numFmtId="0" fontId="3" fillId="5" borderId="6" xfId="0" applyFont="1" applyFill="1" applyBorder="1"/>
    <xf numFmtId="0" fontId="3" fillId="5" borderId="6" xfId="0" applyFont="1" applyFill="1" applyBorder="1" applyAlignment="1">
      <alignment wrapText="1"/>
    </xf>
    <xf numFmtId="0" fontId="3" fillId="3" borderId="6" xfId="0" applyFont="1" applyFill="1" applyBorder="1" applyAlignment="1">
      <alignment vertical="center"/>
    </xf>
    <xf numFmtId="14" fontId="3" fillId="0" borderId="6" xfId="0" quotePrefix="1" applyNumberFormat="1" applyFont="1" applyBorder="1"/>
    <xf numFmtId="0" fontId="3" fillId="5" borderId="6" xfId="0" applyFont="1" applyFill="1" applyBorder="1" applyAlignment="1">
      <alignment vertical="center" wrapText="1"/>
    </xf>
    <xf numFmtId="0" fontId="3" fillId="0" borderId="6" xfId="0" applyFont="1" applyBorder="1" applyAlignment="1">
      <alignment vertical="center"/>
    </xf>
    <xf numFmtId="0" fontId="0" fillId="0" borderId="6" xfId="0" applyBorder="1" applyAlignment="1">
      <alignment vertical="center"/>
    </xf>
    <xf numFmtId="0" fontId="4" fillId="5" borderId="6" xfId="0" applyFont="1" applyFill="1" applyBorder="1"/>
    <xf numFmtId="0" fontId="4" fillId="6" borderId="6" xfId="0" applyFont="1" applyFill="1" applyBorder="1"/>
    <xf numFmtId="0" fontId="4" fillId="5" borderId="6" xfId="0" applyFont="1" applyFill="1" applyBorder="1" applyAlignment="1">
      <alignment vertical="center"/>
    </xf>
    <xf numFmtId="14" fontId="3" fillId="0" borderId="6" xfId="0" applyNumberFormat="1" applyFont="1" applyBorder="1" applyAlignment="1">
      <alignment vertical="center"/>
    </xf>
    <xf numFmtId="22" fontId="3" fillId="0" borderId="6" xfId="0" applyNumberFormat="1" applyFont="1" applyBorder="1"/>
    <xf numFmtId="0" fontId="3" fillId="6" borderId="6" xfId="0" applyFont="1" applyFill="1" applyBorder="1" applyAlignment="1">
      <alignment vertical="center" wrapText="1"/>
    </xf>
    <xf numFmtId="1" fontId="3" fillId="0" borderId="6" xfId="0" applyNumberFormat="1" applyFont="1" applyBorder="1" applyAlignment="1">
      <alignment vertical="center" wrapText="1"/>
    </xf>
    <xf numFmtId="0" fontId="5" fillId="5" borderId="6" xfId="0" applyFont="1" applyFill="1" applyBorder="1" applyAlignment="1">
      <alignment wrapText="1"/>
    </xf>
    <xf numFmtId="0" fontId="3" fillId="9" borderId="6" xfId="0" applyFont="1" applyFill="1" applyBorder="1" applyAlignment="1">
      <alignment vertical="center"/>
    </xf>
    <xf numFmtId="0" fontId="3" fillId="9" borderId="6" xfId="0" applyFont="1" applyFill="1" applyBorder="1" applyAlignment="1">
      <alignment vertical="center" wrapText="1"/>
    </xf>
    <xf numFmtId="0" fontId="4" fillId="3" borderId="6" xfId="0" applyFont="1" applyFill="1" applyBorder="1" applyAlignment="1">
      <alignment vertical="center"/>
    </xf>
    <xf numFmtId="0" fontId="3" fillId="3" borderId="6" xfId="0" applyFont="1" applyFill="1" applyBorder="1" applyAlignment="1">
      <alignment vertical="center" wrapText="1"/>
    </xf>
    <xf numFmtId="0" fontId="3" fillId="2" borderId="6" xfId="0" applyFont="1" applyFill="1" applyBorder="1"/>
    <xf numFmtId="0" fontId="0" fillId="2" borderId="6" xfId="0" applyFill="1" applyBorder="1"/>
    <xf numFmtId="0" fontId="0" fillId="8" borderId="6" xfId="0" applyFill="1" applyBorder="1" applyAlignment="1">
      <alignment vertical="center"/>
    </xf>
    <xf numFmtId="0" fontId="3" fillId="8" borderId="6" xfId="0" applyFont="1" applyFill="1" applyBorder="1" applyAlignment="1">
      <alignment vertical="center"/>
    </xf>
    <xf numFmtId="0" fontId="3" fillId="8" borderId="6" xfId="0" applyFont="1" applyFill="1" applyBorder="1" applyAlignment="1">
      <alignment vertical="center" wrapText="1"/>
    </xf>
    <xf numFmtId="0" fontId="0" fillId="7" borderId="6" xfId="0" applyFill="1" applyBorder="1"/>
    <xf numFmtId="0" fontId="3" fillId="7" borderId="6" xfId="0" applyFont="1" applyFill="1" applyBorder="1"/>
    <xf numFmtId="0" fontId="3" fillId="7" borderId="6" xfId="0" applyFont="1" applyFill="1" applyBorder="1" applyAlignment="1">
      <alignment wrapText="1"/>
    </xf>
    <xf numFmtId="1" fontId="8" fillId="0" borderId="6" xfId="0" applyNumberFormat="1" applyFont="1" applyBorder="1" applyAlignment="1">
      <alignment wrapText="1"/>
    </xf>
    <xf numFmtId="14" fontId="0" fillId="0" borderId="6" xfId="0" applyNumberFormat="1" applyBorder="1"/>
    <xf numFmtId="14" fontId="3" fillId="5" borderId="6" xfId="0" applyNumberFormat="1" applyFont="1" applyFill="1" applyBorder="1" applyAlignment="1">
      <alignment horizontal="center" vertical="center"/>
    </xf>
    <xf numFmtId="14" fontId="3" fillId="6" borderId="6" xfId="0" applyNumberFormat="1" applyFont="1" applyFill="1" applyBorder="1" applyAlignment="1">
      <alignment horizontal="center" vertical="center"/>
    </xf>
    <xf numFmtId="0" fontId="3" fillId="0" borderId="6" xfId="0" applyFont="1" applyBorder="1" applyAlignment="1">
      <alignment horizontal="center" vertical="center"/>
    </xf>
    <xf numFmtId="0" fontId="3" fillId="3" borderId="6" xfId="0" applyFont="1" applyFill="1" applyBorder="1" applyAlignment="1">
      <alignment horizontal="center" vertical="center"/>
    </xf>
    <xf numFmtId="14" fontId="3" fillId="3" borderId="6" xfId="0" applyNumberFormat="1" applyFont="1" applyFill="1" applyBorder="1" applyAlignment="1">
      <alignment horizontal="center" vertical="center"/>
    </xf>
    <xf numFmtId="14" fontId="3" fillId="9" borderId="6" xfId="0" applyNumberFormat="1" applyFont="1" applyFill="1" applyBorder="1" applyAlignment="1">
      <alignment horizontal="center" vertical="center"/>
    </xf>
    <xf numFmtId="14" fontId="0" fillId="2" borderId="6" xfId="0" applyNumberFormat="1" applyFill="1" applyBorder="1" applyAlignment="1">
      <alignment horizontal="center" vertical="center"/>
    </xf>
    <xf numFmtId="14" fontId="3" fillId="8" borderId="6" xfId="0" applyNumberFormat="1" applyFont="1" applyFill="1" applyBorder="1" applyAlignment="1">
      <alignment horizontal="center" vertical="center"/>
    </xf>
    <xf numFmtId="0" fontId="0" fillId="0" borderId="6" xfId="0" applyBorder="1" applyAlignment="1">
      <alignment horizontal="center" vertical="center"/>
    </xf>
    <xf numFmtId="0" fontId="8" fillId="2" borderId="6" xfId="0" applyFont="1" applyFill="1" applyBorder="1"/>
    <xf numFmtId="0" fontId="3" fillId="6" borderId="6" xfId="0" applyFont="1" applyFill="1" applyBorder="1" applyAlignment="1">
      <alignment horizontal="center" vertical="center"/>
    </xf>
    <xf numFmtId="0" fontId="3" fillId="5" borderId="6" xfId="0" applyFont="1" applyFill="1" applyBorder="1" applyAlignment="1">
      <alignment horizontal="center" vertical="center"/>
    </xf>
    <xf numFmtId="0" fontId="3" fillId="9" borderId="6" xfId="0" applyFont="1" applyFill="1" applyBorder="1" applyAlignment="1">
      <alignment horizontal="center" vertical="center"/>
    </xf>
    <xf numFmtId="0" fontId="3" fillId="8" borderId="6" xfId="0" applyFont="1" applyFill="1" applyBorder="1" applyAlignment="1">
      <alignment horizontal="center" vertical="center"/>
    </xf>
    <xf numFmtId="0" fontId="3" fillId="7" borderId="6" xfId="0" applyFont="1" applyFill="1" applyBorder="1" applyAlignment="1">
      <alignment horizontal="center" vertical="center"/>
    </xf>
    <xf numFmtId="2" fontId="3" fillId="0" borderId="6" xfId="0" applyNumberFormat="1" applyFont="1" applyBorder="1" applyAlignment="1">
      <alignment horizontal="center" vertical="center"/>
    </xf>
    <xf numFmtId="0" fontId="8" fillId="2" borderId="6" xfId="0" applyFont="1" applyFill="1" applyBorder="1" applyAlignment="1">
      <alignment vertical="center"/>
    </xf>
    <xf numFmtId="0" fontId="3" fillId="0" borderId="6" xfId="0" applyFont="1" applyBorder="1" applyAlignment="1">
      <alignment horizontal="center" vertical="center" wrapText="1"/>
    </xf>
    <xf numFmtId="0" fontId="3" fillId="3" borderId="6" xfId="0" applyFont="1" applyFill="1" applyBorder="1" applyAlignment="1">
      <alignment horizontal="center" vertical="center" wrapText="1"/>
    </xf>
    <xf numFmtId="0" fontId="3" fillId="6" borderId="6" xfId="0" applyFont="1" applyFill="1" applyBorder="1" applyAlignment="1">
      <alignment horizontal="center" vertical="center" wrapText="1"/>
    </xf>
    <xf numFmtId="0" fontId="3" fillId="5" borderId="6"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3" fillId="9" borderId="6" xfId="0" applyFont="1" applyFill="1" applyBorder="1" applyAlignment="1">
      <alignment horizontal="center" vertical="center" wrapText="1"/>
    </xf>
    <xf numFmtId="0" fontId="3" fillId="8" borderId="6" xfId="0" applyFont="1" applyFill="1" applyBorder="1" applyAlignment="1">
      <alignment horizontal="center" vertical="center" wrapText="1"/>
    </xf>
    <xf numFmtId="0" fontId="3" fillId="7" borderId="6" xfId="0" applyFont="1" applyFill="1" applyBorder="1" applyAlignment="1">
      <alignment horizontal="center" vertical="center" wrapText="1"/>
    </xf>
    <xf numFmtId="14" fontId="3" fillId="11" borderId="6" xfId="0" applyNumberFormat="1" applyFont="1" applyFill="1" applyBorder="1" applyAlignment="1">
      <alignment horizontal="center" vertical="center"/>
    </xf>
    <xf numFmtId="0" fontId="0" fillId="11" borderId="6" xfId="0" applyFill="1" applyBorder="1"/>
    <xf numFmtId="0" fontId="3" fillId="11" borderId="6" xfId="0" applyFont="1" applyFill="1" applyBorder="1"/>
    <xf numFmtId="0" fontId="3" fillId="11" borderId="6" xfId="0" applyFont="1" applyFill="1" applyBorder="1" applyAlignment="1">
      <alignment horizontal="center" vertical="center"/>
    </xf>
    <xf numFmtId="0" fontId="3" fillId="11" borderId="6" xfId="0" applyFont="1" applyFill="1" applyBorder="1" applyAlignment="1">
      <alignment horizontal="center" vertical="center" wrapText="1"/>
    </xf>
    <xf numFmtId="0" fontId="3" fillId="11" borderId="6" xfId="0" applyFont="1" applyFill="1" applyBorder="1" applyAlignment="1">
      <alignment wrapText="1"/>
    </xf>
    <xf numFmtId="0" fontId="0" fillId="9" borderId="6" xfId="0" applyFill="1" applyBorder="1"/>
    <xf numFmtId="14" fontId="8" fillId="9" borderId="6" xfId="0" applyNumberFormat="1" applyFont="1" applyFill="1" applyBorder="1" applyAlignment="1">
      <alignment horizontal="center" vertical="center"/>
    </xf>
    <xf numFmtId="0" fontId="3" fillId="9" borderId="6" xfId="0" applyFont="1" applyFill="1" applyBorder="1"/>
    <xf numFmtId="2" fontId="3" fillId="9" borderId="6" xfId="0" applyNumberFormat="1" applyFont="1" applyFill="1" applyBorder="1" applyAlignment="1">
      <alignment horizontal="center"/>
    </xf>
    <xf numFmtId="0" fontId="8" fillId="9" borderId="6" xfId="0" applyFont="1" applyFill="1" applyBorder="1"/>
    <xf numFmtId="0" fontId="3" fillId="9" borderId="6" xfId="0" applyFont="1" applyFill="1" applyBorder="1" applyAlignment="1">
      <alignment wrapText="1"/>
    </xf>
    <xf numFmtId="14" fontId="5" fillId="9" borderId="6" xfId="0" applyNumberFormat="1" applyFont="1" applyFill="1" applyBorder="1" applyAlignment="1">
      <alignment horizontal="center" vertical="center"/>
    </xf>
    <xf numFmtId="0" fontId="5" fillId="9" borderId="6" xfId="0" applyFont="1" applyFill="1" applyBorder="1"/>
    <xf numFmtId="0" fontId="5" fillId="9" borderId="6" xfId="0" applyFont="1" applyFill="1" applyBorder="1" applyAlignment="1">
      <alignment horizontal="center" vertical="center"/>
    </xf>
    <xf numFmtId="0" fontId="5" fillId="9" borderId="6" xfId="0" applyFont="1" applyFill="1" applyBorder="1" applyAlignment="1">
      <alignment horizontal="center" vertical="center" wrapText="1"/>
    </xf>
    <xf numFmtId="0" fontId="5" fillId="9" borderId="6" xfId="0" applyFont="1" applyFill="1" applyBorder="1" applyAlignment="1">
      <alignment wrapText="1"/>
    </xf>
    <xf numFmtId="0" fontId="0" fillId="8" borderId="6" xfId="0" applyFill="1" applyBorder="1"/>
    <xf numFmtId="0" fontId="3" fillId="8" borderId="6" xfId="0" applyFont="1" applyFill="1" applyBorder="1"/>
    <xf numFmtId="0" fontId="3" fillId="8" borderId="6" xfId="0" applyFont="1" applyFill="1" applyBorder="1" applyAlignment="1">
      <alignment wrapText="1"/>
    </xf>
    <xf numFmtId="0" fontId="0" fillId="2" borderId="6" xfId="0" applyFill="1" applyBorder="1" applyAlignment="1">
      <alignment horizontal="center" vertical="center"/>
    </xf>
    <xf numFmtId="2" fontId="3" fillId="6" borderId="6" xfId="0" applyNumberFormat="1" applyFont="1" applyFill="1" applyBorder="1" applyAlignment="1">
      <alignment horizontal="center" vertical="center"/>
    </xf>
    <xf numFmtId="2" fontId="3" fillId="5" borderId="6" xfId="0" applyNumberFormat="1" applyFont="1" applyFill="1" applyBorder="1" applyAlignment="1">
      <alignment horizontal="center" vertical="center"/>
    </xf>
    <xf numFmtId="2" fontId="3" fillId="8" borderId="6" xfId="0" applyNumberFormat="1" applyFont="1" applyFill="1" applyBorder="1" applyAlignment="1">
      <alignment horizontal="center" vertical="center"/>
    </xf>
    <xf numFmtId="2" fontId="3" fillId="9" borderId="6" xfId="0" applyNumberFormat="1" applyFont="1" applyFill="1" applyBorder="1" applyAlignment="1">
      <alignment horizontal="center" vertical="center"/>
    </xf>
    <xf numFmtId="2" fontId="3" fillId="7" borderId="6" xfId="0" applyNumberFormat="1" applyFont="1" applyFill="1" applyBorder="1" applyAlignment="1">
      <alignment horizontal="center" vertical="center"/>
    </xf>
    <xf numFmtId="0" fontId="0" fillId="9" borderId="6" xfId="0" applyFill="1" applyBorder="1" applyAlignment="1">
      <alignment horizontal="center" vertical="center"/>
    </xf>
    <xf numFmtId="0" fontId="3" fillId="11" borderId="6" xfId="0" applyFont="1" applyFill="1" applyBorder="1" applyAlignment="1">
      <alignment vertical="center"/>
    </xf>
    <xf numFmtId="2" fontId="3" fillId="3" borderId="6" xfId="0" applyNumberFormat="1" applyFont="1" applyFill="1" applyBorder="1" applyAlignment="1">
      <alignment horizontal="center" vertical="center"/>
    </xf>
    <xf numFmtId="0" fontId="4" fillId="11" borderId="6" xfId="0" applyFont="1" applyFill="1" applyBorder="1"/>
    <xf numFmtId="0" fontId="3" fillId="8" borderId="8" xfId="0" applyFont="1" applyFill="1" applyBorder="1" applyAlignment="1">
      <alignment horizontal="center" vertical="center"/>
    </xf>
    <xf numFmtId="0" fontId="8" fillId="0" borderId="6" xfId="0" applyFont="1" applyBorder="1"/>
    <xf numFmtId="14" fontId="8" fillId="11" borderId="6" xfId="0" applyNumberFormat="1" applyFont="1" applyFill="1" applyBorder="1" applyAlignment="1">
      <alignment horizontal="center" vertical="center"/>
    </xf>
    <xf numFmtId="0" fontId="8" fillId="11" borderId="6" xfId="0" applyFont="1" applyFill="1" applyBorder="1"/>
    <xf numFmtId="2" fontId="3" fillId="11" borderId="6" xfId="0" applyNumberFormat="1" applyFont="1" applyFill="1" applyBorder="1" applyAlignment="1">
      <alignment horizontal="center" vertical="center"/>
    </xf>
    <xf numFmtId="0" fontId="8" fillId="11" borderId="6" xfId="0" applyFont="1" applyFill="1" applyBorder="1" applyAlignment="1">
      <alignment wrapText="1"/>
    </xf>
    <xf numFmtId="0" fontId="4" fillId="11" borderId="6" xfId="0" applyFont="1" applyFill="1" applyBorder="1" applyAlignment="1">
      <alignment vertical="center"/>
    </xf>
    <xf numFmtId="0" fontId="3" fillId="11" borderId="6" xfId="0" applyFont="1" applyFill="1" applyBorder="1" applyAlignment="1">
      <alignment vertical="center" wrapText="1"/>
    </xf>
    <xf numFmtId="0" fontId="0" fillId="7" borderId="6" xfId="0" applyFill="1" applyBorder="1" applyAlignment="1">
      <alignment horizontal="center" vertical="center"/>
    </xf>
    <xf numFmtId="14" fontId="8" fillId="0" borderId="6" xfId="0" applyNumberFormat="1" applyFont="1" applyBorder="1"/>
    <xf numFmtId="14" fontId="0" fillId="11" borderId="6" xfId="0" applyNumberFormat="1" applyFill="1" applyBorder="1" applyAlignment="1">
      <alignment horizontal="center" vertical="center"/>
    </xf>
    <xf numFmtId="14" fontId="0" fillId="0" borderId="6" xfId="0" applyNumberFormat="1" applyBorder="1" applyAlignment="1">
      <alignment horizontal="center" vertical="center"/>
    </xf>
    <xf numFmtId="14" fontId="0" fillId="7" borderId="6" xfId="0" applyNumberFormat="1" applyFill="1" applyBorder="1" applyAlignment="1">
      <alignment horizontal="center" vertical="center"/>
    </xf>
    <xf numFmtId="0" fontId="3" fillId="0" borderId="6" xfId="0" applyFont="1" applyBorder="1" applyAlignment="1">
      <alignment horizontal="center"/>
    </xf>
    <xf numFmtId="0" fontId="3" fillId="3" borderId="6" xfId="0" applyFont="1" applyFill="1" applyBorder="1" applyAlignment="1">
      <alignment horizontal="center"/>
    </xf>
    <xf numFmtId="0" fontId="0" fillId="11" borderId="6" xfId="0" applyFill="1" applyBorder="1" applyAlignment="1">
      <alignment horizontal="center" vertical="center"/>
    </xf>
    <xf numFmtId="0" fontId="0" fillId="8" borderId="6" xfId="0" applyFill="1" applyBorder="1" applyAlignment="1">
      <alignment horizontal="center" vertical="center"/>
    </xf>
    <xf numFmtId="0" fontId="0" fillId="9" borderId="6" xfId="0" applyFill="1" applyBorder="1" applyAlignment="1">
      <alignment horizontal="center"/>
    </xf>
    <xf numFmtId="0" fontId="0" fillId="11" borderId="6" xfId="0" applyFill="1" applyBorder="1" applyAlignment="1">
      <alignment horizontal="center"/>
    </xf>
    <xf numFmtId="0" fontId="0" fillId="8" borderId="6" xfId="0" applyFill="1" applyBorder="1" applyAlignment="1">
      <alignment horizontal="center"/>
    </xf>
    <xf numFmtId="0" fontId="8" fillId="11" borderId="6" xfId="0" applyFont="1" applyFill="1" applyBorder="1" applyAlignment="1">
      <alignment vertical="center" wrapText="1"/>
    </xf>
    <xf numFmtId="0" fontId="11" fillId="11" borderId="6" xfId="0" applyFont="1" applyFill="1" applyBorder="1" applyAlignment="1">
      <alignment wrapText="1"/>
    </xf>
    <xf numFmtId="14" fontId="0" fillId="9" borderId="6" xfId="0" applyNumberFormat="1" applyFill="1" applyBorder="1" applyAlignment="1">
      <alignment horizontal="center" vertical="center"/>
    </xf>
    <xf numFmtId="0" fontId="5" fillId="11" borderId="6" xfId="0" applyFont="1" applyFill="1" applyBorder="1" applyAlignment="1">
      <alignment wrapText="1"/>
    </xf>
    <xf numFmtId="0" fontId="4" fillId="11" borderId="6" xfId="0" applyFont="1" applyFill="1" applyBorder="1" applyAlignment="1">
      <alignment wrapText="1"/>
    </xf>
    <xf numFmtId="0" fontId="6" fillId="11" borderId="6" xfId="0" applyFont="1" applyFill="1" applyBorder="1" applyAlignment="1">
      <alignment vertical="center"/>
    </xf>
    <xf numFmtId="0" fontId="6" fillId="11" borderId="6" xfId="0" applyFont="1" applyFill="1" applyBorder="1" applyAlignment="1">
      <alignment vertical="center" wrapText="1"/>
    </xf>
    <xf numFmtId="0" fontId="7" fillId="11" borderId="6" xfId="0" applyFont="1" applyFill="1" applyBorder="1" applyAlignment="1">
      <alignment vertical="center"/>
    </xf>
    <xf numFmtId="0" fontId="9" fillId="11" borderId="6" xfId="0" applyFont="1" applyFill="1" applyBorder="1"/>
    <xf numFmtId="0" fontId="3" fillId="11" borderId="6" xfId="0" applyFont="1" applyFill="1" applyBorder="1" applyAlignment="1">
      <alignment horizontal="center"/>
    </xf>
    <xf numFmtId="0" fontId="10" fillId="11" borderId="0" xfId="0" applyFont="1" applyFill="1"/>
    <xf numFmtId="0" fontId="10" fillId="11" borderId="1" xfId="0" applyFont="1" applyFill="1" applyBorder="1"/>
    <xf numFmtId="0" fontId="13" fillId="11" borderId="6" xfId="0" applyFont="1" applyFill="1" applyBorder="1" applyAlignment="1">
      <alignment wrapText="1"/>
    </xf>
    <xf numFmtId="14" fontId="0" fillId="7" borderId="6" xfId="0" applyNumberFormat="1" applyFill="1" applyBorder="1"/>
    <xf numFmtId="14" fontId="0" fillId="9" borderId="6" xfId="0" applyNumberFormat="1" applyFill="1" applyBorder="1"/>
    <xf numFmtId="1" fontId="3" fillId="9" borderId="6" xfId="0" applyNumberFormat="1" applyFont="1" applyFill="1" applyBorder="1" applyAlignment="1">
      <alignment wrapText="1"/>
    </xf>
    <xf numFmtId="0" fontId="0" fillId="12" borderId="6" xfId="0" applyFill="1" applyBorder="1"/>
    <xf numFmtId="0" fontId="3" fillId="12" borderId="6" xfId="0" applyFont="1" applyFill="1" applyBorder="1"/>
    <xf numFmtId="14" fontId="3" fillId="7" borderId="6" xfId="0" applyNumberFormat="1" applyFont="1" applyFill="1" applyBorder="1"/>
    <xf numFmtId="0" fontId="8" fillId="7" borderId="6" xfId="0" applyFont="1" applyFill="1" applyBorder="1"/>
    <xf numFmtId="0" fontId="0" fillId="11" borderId="6" xfId="0" applyFill="1" applyBorder="1" applyAlignment="1">
      <alignment vertical="center"/>
    </xf>
    <xf numFmtId="0" fontId="8" fillId="11" borderId="6" xfId="0" applyFont="1" applyFill="1" applyBorder="1" applyAlignment="1">
      <alignment vertical="center"/>
    </xf>
    <xf numFmtId="14" fontId="3" fillId="9" borderId="6" xfId="0" applyNumberFormat="1" applyFont="1" applyFill="1" applyBorder="1"/>
    <xf numFmtId="0" fontId="0" fillId="11" borderId="0" xfId="0" applyFill="1"/>
    <xf numFmtId="0" fontId="14" fillId="11" borderId="0" xfId="0" applyFont="1" applyFill="1" applyAlignment="1">
      <alignment horizontal="center" vertical="center"/>
    </xf>
    <xf numFmtId="0" fontId="14" fillId="11" borderId="0" xfId="0" applyFont="1" applyFill="1"/>
    <xf numFmtId="14" fontId="0" fillId="2" borderId="6" xfId="0" applyNumberFormat="1" applyFill="1" applyBorder="1"/>
    <xf numFmtId="1" fontId="3" fillId="2" borderId="6" xfId="0" applyNumberFormat="1" applyFont="1" applyFill="1" applyBorder="1" applyAlignment="1">
      <alignment wrapText="1"/>
    </xf>
    <xf numFmtId="0" fontId="10" fillId="0" borderId="0" xfId="0" applyFont="1"/>
    <xf numFmtId="0" fontId="0" fillId="12" borderId="6" xfId="0" applyFill="1" applyBorder="1" applyAlignment="1">
      <alignment horizontal="center" vertical="center"/>
    </xf>
    <xf numFmtId="14" fontId="0" fillId="12" borderId="6" xfId="0" applyNumberFormat="1" applyFill="1" applyBorder="1" applyAlignment="1">
      <alignment horizontal="center" vertical="center"/>
    </xf>
    <xf numFmtId="14" fontId="0" fillId="12" borderId="6" xfId="0" applyNumberFormat="1" applyFill="1" applyBorder="1"/>
    <xf numFmtId="14" fontId="0" fillId="11" borderId="6" xfId="0" applyNumberFormat="1" applyFill="1" applyBorder="1"/>
    <xf numFmtId="1" fontId="3" fillId="11" borderId="6" xfId="0" applyNumberFormat="1" applyFont="1" applyFill="1" applyBorder="1" applyAlignment="1">
      <alignment wrapText="1"/>
    </xf>
    <xf numFmtId="14" fontId="3" fillId="11" borderId="6" xfId="0" applyNumberFormat="1" applyFont="1" applyFill="1" applyBorder="1"/>
    <xf numFmtId="1" fontId="8" fillId="11" borderId="6" xfId="0" applyNumberFormat="1" applyFont="1" applyFill="1" applyBorder="1" applyAlignment="1">
      <alignment wrapText="1"/>
    </xf>
    <xf numFmtId="0" fontId="3" fillId="11" borderId="9" xfId="0" applyFont="1" applyFill="1" applyBorder="1"/>
    <xf numFmtId="14" fontId="8" fillId="11" borderId="6" xfId="0" applyNumberFormat="1" applyFont="1" applyFill="1" applyBorder="1"/>
    <xf numFmtId="0" fontId="12" fillId="11" borderId="6" xfId="0" applyFont="1" applyFill="1" applyBorder="1" applyAlignment="1">
      <alignment horizontal="center" vertical="center"/>
    </xf>
    <xf numFmtId="0" fontId="0" fillId="9" borderId="6" xfId="0" applyFill="1" applyBorder="1" applyAlignment="1">
      <alignment wrapText="1"/>
    </xf>
    <xf numFmtId="0" fontId="3" fillId="11" borderId="10" xfId="0" applyFont="1" applyFill="1" applyBorder="1"/>
    <xf numFmtId="0" fontId="8" fillId="7" borderId="6" xfId="0" applyFont="1" applyFill="1" applyBorder="1" applyAlignment="1">
      <alignment vertical="center"/>
    </xf>
    <xf numFmtId="0" fontId="0" fillId="2" borderId="6" xfId="0" applyFill="1" applyBorder="1" applyAlignment="1">
      <alignment wrapText="1"/>
    </xf>
    <xf numFmtId="0" fontId="8" fillId="11" borderId="6" xfId="0" applyFont="1" applyFill="1" applyBorder="1" applyAlignment="1">
      <alignment horizontal="center" vertical="center"/>
    </xf>
    <xf numFmtId="0" fontId="8" fillId="11" borderId="6" xfId="0" applyFont="1" applyFill="1" applyBorder="1" applyAlignment="1">
      <alignment horizontal="center" vertical="center" wrapText="1"/>
    </xf>
    <xf numFmtId="0" fontId="0" fillId="11" borderId="7" xfId="0" applyFill="1" applyBorder="1"/>
    <xf numFmtId="0" fontId="3" fillId="11" borderId="8" xfId="0" applyFont="1" applyFill="1" applyBorder="1" applyAlignment="1">
      <alignment horizontal="center" vertical="center"/>
    </xf>
    <xf numFmtId="2" fontId="3" fillId="11" borderId="6" xfId="0" applyNumberFormat="1" applyFont="1" applyFill="1" applyBorder="1" applyAlignment="1">
      <alignment horizontal="center"/>
    </xf>
    <xf numFmtId="0" fontId="16" fillId="11" borderId="0" xfId="0" applyFont="1" applyFill="1"/>
    <xf numFmtId="0" fontId="4" fillId="7" borderId="6" xfId="0" applyFont="1" applyFill="1" applyBorder="1"/>
    <xf numFmtId="0" fontId="3" fillId="12" borderId="6" xfId="0" applyFont="1" applyFill="1" applyBorder="1" applyAlignment="1">
      <alignment horizontal="center" vertical="center" wrapText="1"/>
    </xf>
    <xf numFmtId="0" fontId="3" fillId="12" borderId="6" xfId="0" applyFont="1" applyFill="1" applyBorder="1" applyAlignment="1">
      <alignment wrapText="1"/>
    </xf>
    <xf numFmtId="0" fontId="0" fillId="11" borderId="1" xfId="0" applyFill="1" applyBorder="1"/>
    <xf numFmtId="0" fontId="0" fillId="11" borderId="11" xfId="0" applyFill="1" applyBorder="1"/>
    <xf numFmtId="2" fontId="8" fillId="11" borderId="6" xfId="0" applyNumberFormat="1" applyFont="1" applyFill="1" applyBorder="1" applyAlignment="1">
      <alignment horizontal="center" vertical="center"/>
    </xf>
    <xf numFmtId="0" fontId="0" fillId="9" borderId="7" xfId="0" applyFill="1" applyBorder="1"/>
    <xf numFmtId="0" fontId="0" fillId="9" borderId="8" xfId="0" applyFill="1" applyBorder="1" applyAlignment="1">
      <alignment horizontal="center" vertical="center"/>
    </xf>
    <xf numFmtId="14" fontId="8" fillId="9" borderId="6" xfId="0" applyNumberFormat="1" applyFont="1" applyFill="1" applyBorder="1"/>
    <xf numFmtId="0" fontId="0" fillId="9" borderId="6" xfId="0" applyFill="1" applyBorder="1" applyAlignment="1">
      <alignment vertical="center"/>
    </xf>
    <xf numFmtId="1" fontId="8" fillId="9" borderId="6" xfId="0" applyNumberFormat="1" applyFont="1" applyFill="1" applyBorder="1" applyAlignment="1">
      <alignment wrapText="1"/>
    </xf>
    <xf numFmtId="14" fontId="0" fillId="0" borderId="0" xfId="0" applyNumberFormat="1"/>
    <xf numFmtId="0" fontId="8" fillId="9" borderId="6" xfId="0" applyFont="1" applyFill="1" applyBorder="1" applyAlignment="1">
      <alignment vertical="center"/>
    </xf>
    <xf numFmtId="0" fontId="0" fillId="9" borderId="0" xfId="0" applyFill="1"/>
    <xf numFmtId="14" fontId="3" fillId="11" borderId="6" xfId="0" applyNumberFormat="1" applyFont="1" applyFill="1" applyBorder="1" applyAlignment="1">
      <alignment vertical="center"/>
    </xf>
    <xf numFmtId="1" fontId="3" fillId="11" borderId="6" xfId="0" applyNumberFormat="1" applyFont="1" applyFill="1" applyBorder="1" applyAlignment="1">
      <alignment vertical="center" wrapText="1"/>
    </xf>
    <xf numFmtId="0" fontId="15" fillId="9" borderId="6" xfId="0" applyFont="1" applyFill="1" applyBorder="1" applyAlignment="1">
      <alignment horizontal="center" vertical="center"/>
    </xf>
    <xf numFmtId="14" fontId="15" fillId="9" borderId="6" xfId="0" applyNumberFormat="1" applyFont="1" applyFill="1" applyBorder="1" applyAlignment="1">
      <alignment horizontal="center" vertical="center"/>
    </xf>
    <xf numFmtId="0" fontId="15" fillId="9" borderId="6" xfId="0" applyFont="1" applyFill="1" applyBorder="1"/>
    <xf numFmtId="0" fontId="19" fillId="9" borderId="6" xfId="0" applyFont="1" applyFill="1" applyBorder="1" applyAlignment="1">
      <alignment vertical="center"/>
    </xf>
    <xf numFmtId="14" fontId="15" fillId="9" borderId="6" xfId="0" applyNumberFormat="1" applyFont="1" applyFill="1" applyBorder="1"/>
    <xf numFmtId="0" fontId="0" fillId="7" borderId="6" xfId="0" applyFill="1" applyBorder="1" applyAlignment="1">
      <alignment wrapText="1"/>
    </xf>
    <xf numFmtId="0" fontId="8" fillId="2" borderId="6" xfId="0" applyFont="1" applyFill="1" applyBorder="1" applyAlignment="1">
      <alignment horizontal="center" vertical="center"/>
    </xf>
    <xf numFmtId="0" fontId="15" fillId="11" borderId="6" xfId="0" applyFont="1" applyFill="1" applyBorder="1"/>
    <xf numFmtId="0" fontId="0" fillId="11" borderId="8" xfId="0" applyFill="1" applyBorder="1" applyAlignment="1">
      <alignment horizontal="center" vertical="center"/>
    </xf>
    <xf numFmtId="22" fontId="3" fillId="11" borderId="6" xfId="0" applyNumberFormat="1" applyFont="1" applyFill="1" applyBorder="1"/>
    <xf numFmtId="0" fontId="19" fillId="11" borderId="6" xfId="0" applyFont="1" applyFill="1" applyBorder="1" applyAlignment="1">
      <alignment wrapText="1"/>
    </xf>
    <xf numFmtId="0" fontId="0" fillId="11" borderId="6" xfId="0" applyFill="1" applyBorder="1" applyAlignment="1">
      <alignment wrapText="1"/>
    </xf>
    <xf numFmtId="0" fontId="11" fillId="11" borderId="6" xfId="0" applyFont="1" applyFill="1" applyBorder="1" applyAlignment="1">
      <alignment horizontal="center" vertical="center"/>
    </xf>
    <xf numFmtId="14" fontId="11" fillId="11" borderId="6" xfId="0" applyNumberFormat="1" applyFont="1" applyFill="1" applyBorder="1" applyAlignment="1">
      <alignment horizontal="center" vertical="center"/>
    </xf>
    <xf numFmtId="0" fontId="11" fillId="11" borderId="6" xfId="0" applyFont="1" applyFill="1" applyBorder="1"/>
    <xf numFmtId="0" fontId="11" fillId="11" borderId="6" xfId="0" applyFont="1" applyFill="1" applyBorder="1" applyAlignment="1">
      <alignment horizontal="center" vertical="center" wrapText="1"/>
    </xf>
    <xf numFmtId="14" fontId="11" fillId="11" borderId="6" xfId="0" applyNumberFormat="1" applyFont="1" applyFill="1" applyBorder="1"/>
    <xf numFmtId="1" fontId="11" fillId="11" borderId="6" xfId="0" applyNumberFormat="1" applyFont="1" applyFill="1" applyBorder="1" applyAlignment="1">
      <alignment wrapText="1"/>
    </xf>
    <xf numFmtId="0" fontId="9" fillId="11" borderId="1" xfId="0" applyFont="1" applyFill="1" applyBorder="1" applyAlignment="1">
      <alignment wrapText="1" readingOrder="1"/>
    </xf>
    <xf numFmtId="2" fontId="0" fillId="11" borderId="6" xfId="0" applyNumberFormat="1" applyFill="1" applyBorder="1" applyAlignment="1">
      <alignment horizontal="center" vertical="center"/>
    </xf>
    <xf numFmtId="0" fontId="18" fillId="11" borderId="0" xfId="0" applyFont="1" applyFill="1"/>
    <xf numFmtId="0" fontId="9" fillId="11" borderId="0" xfId="0" applyFont="1" applyFill="1"/>
    <xf numFmtId="0" fontId="16" fillId="11" borderId="1" xfId="0" applyFont="1" applyFill="1" applyBorder="1"/>
    <xf numFmtId="0" fontId="0" fillId="11" borderId="6" xfId="0" applyFill="1" applyBorder="1" applyAlignment="1">
      <alignment horizontal="center" vertical="center" wrapText="1"/>
    </xf>
    <xf numFmtId="0" fontId="20" fillId="9" borderId="6" xfId="0" applyFont="1" applyFill="1" applyBorder="1"/>
    <xf numFmtId="14" fontId="0" fillId="9" borderId="0" xfId="0" applyNumberFormat="1" applyFill="1"/>
    <xf numFmtId="0" fontId="3" fillId="2" borderId="6" xfId="0" applyFont="1" applyFill="1" applyBorder="1" applyAlignment="1">
      <alignment horizontal="center" vertical="center"/>
    </xf>
    <xf numFmtId="0" fontId="0" fillId="2" borderId="6" xfId="0" applyFill="1" applyBorder="1" applyAlignment="1">
      <alignment horizontal="left" vertical="center"/>
    </xf>
    <xf numFmtId="0" fontId="0" fillId="10" borderId="6" xfId="0" applyFill="1" applyBorder="1" applyAlignment="1">
      <alignment horizontal="center" vertical="center"/>
    </xf>
    <xf numFmtId="0" fontId="8" fillId="7" borderId="6" xfId="0" applyFont="1" applyFill="1" applyBorder="1" applyAlignment="1">
      <alignment horizontal="center" vertical="center"/>
    </xf>
    <xf numFmtId="0" fontId="4" fillId="9" borderId="6" xfId="0" applyFont="1" applyFill="1" applyBorder="1"/>
    <xf numFmtId="0" fontId="11" fillId="9" borderId="6" xfId="0" applyFont="1" applyFill="1" applyBorder="1" applyAlignment="1">
      <alignment wrapText="1"/>
    </xf>
    <xf numFmtId="0" fontId="24" fillId="2" borderId="6" xfId="0" applyFont="1" applyFill="1" applyBorder="1" applyAlignment="1">
      <alignment vertical="center"/>
    </xf>
    <xf numFmtId="0" fontId="21" fillId="11" borderId="0" xfId="0" applyFont="1" applyFill="1"/>
    <xf numFmtId="2" fontId="8" fillId="7" borderId="6" xfId="0" applyNumberFormat="1" applyFont="1" applyFill="1" applyBorder="1" applyAlignment="1">
      <alignment horizontal="center" vertical="center"/>
    </xf>
    <xf numFmtId="0" fontId="8" fillId="7" borderId="6" xfId="0" applyFont="1" applyFill="1" applyBorder="1" applyAlignment="1">
      <alignment vertical="center" wrapText="1"/>
    </xf>
    <xf numFmtId="0" fontId="0" fillId="0" borderId="12" xfId="0" applyBorder="1" applyAlignment="1">
      <alignment horizontal="center" vertical="center"/>
    </xf>
    <xf numFmtId="14" fontId="0" fillId="0" borderId="9" xfId="0" applyNumberFormat="1" applyBorder="1" applyAlignment="1">
      <alignment horizontal="center" vertical="center"/>
    </xf>
    <xf numFmtId="0" fontId="0" fillId="0" borderId="9" xfId="0" applyBorder="1"/>
    <xf numFmtId="0" fontId="0" fillId="0" borderId="9" xfId="0" applyBorder="1" applyAlignment="1">
      <alignment horizontal="center" vertical="center"/>
    </xf>
    <xf numFmtId="14" fontId="0" fillId="0" borderId="9" xfId="0" applyNumberFormat="1" applyBorder="1"/>
    <xf numFmtId="0" fontId="0" fillId="0" borderId="13" xfId="0" applyBorder="1"/>
    <xf numFmtId="0" fontId="0" fillId="2" borderId="6" xfId="0" applyFill="1" applyBorder="1" applyAlignment="1">
      <alignment horizontal="center" vertical="center" wrapText="1"/>
    </xf>
    <xf numFmtId="0" fontId="0" fillId="11" borderId="10" xfId="0" applyFill="1" applyBorder="1"/>
    <xf numFmtId="14" fontId="0" fillId="8" borderId="6" xfId="0" applyNumberFormat="1" applyFill="1" applyBorder="1" applyAlignment="1">
      <alignment horizontal="center" vertical="center"/>
    </xf>
    <xf numFmtId="0" fontId="24" fillId="8" borderId="6" xfId="0" applyFont="1" applyFill="1" applyBorder="1" applyAlignment="1">
      <alignment vertical="center"/>
    </xf>
    <xf numFmtId="14" fontId="0" fillId="8" borderId="6" xfId="0" applyNumberFormat="1" applyFill="1" applyBorder="1"/>
    <xf numFmtId="0" fontId="0" fillId="0" borderId="6" xfId="0" applyBorder="1" applyAlignment="1">
      <alignment wrapText="1"/>
    </xf>
    <xf numFmtId="0" fontId="24" fillId="11" borderId="6" xfId="0" applyFont="1" applyFill="1" applyBorder="1" applyAlignment="1">
      <alignment vertical="center"/>
    </xf>
    <xf numFmtId="0" fontId="0" fillId="11" borderId="6" xfId="0" applyFill="1" applyBorder="1" applyAlignment="1">
      <alignment vertical="center" wrapText="1"/>
    </xf>
    <xf numFmtId="14" fontId="0" fillId="11" borderId="6" xfId="0" applyNumberFormat="1" applyFill="1" applyBorder="1" applyAlignment="1">
      <alignment vertical="center"/>
    </xf>
    <xf numFmtId="1" fontId="3" fillId="3" borderId="6" xfId="0" applyNumberFormat="1" applyFont="1" applyFill="1" applyBorder="1" applyAlignment="1">
      <alignment wrapText="1"/>
    </xf>
    <xf numFmtId="1" fontId="0" fillId="0" borderId="6" xfId="0" applyNumberFormat="1" applyBorder="1"/>
    <xf numFmtId="0" fontId="8" fillId="12" borderId="6" xfId="0" applyFont="1" applyFill="1" applyBorder="1" applyAlignment="1">
      <alignment vertical="center"/>
    </xf>
    <xf numFmtId="0" fontId="0" fillId="2" borderId="0" xfId="0" applyFill="1"/>
    <xf numFmtId="2" fontId="3" fillId="2" borderId="6" xfId="0" applyNumberFormat="1" applyFont="1" applyFill="1" applyBorder="1" applyAlignment="1">
      <alignment horizontal="center" vertical="center"/>
    </xf>
    <xf numFmtId="0" fontId="25" fillId="9" borderId="0" xfId="0" applyFont="1" applyFill="1"/>
    <xf numFmtId="0" fontId="24" fillId="9" borderId="6" xfId="0" applyFont="1" applyFill="1" applyBorder="1" applyAlignment="1">
      <alignment vertical="center"/>
    </xf>
    <xf numFmtId="2" fontId="0" fillId="11" borderId="6" xfId="0" applyNumberFormat="1" applyFill="1" applyBorder="1"/>
    <xf numFmtId="2" fontId="3" fillId="11" borderId="6" xfId="0" applyNumberFormat="1" applyFont="1" applyFill="1" applyBorder="1"/>
    <xf numFmtId="164" fontId="0" fillId="11" borderId="6" xfId="0" applyNumberFormat="1" applyFill="1" applyBorder="1"/>
    <xf numFmtId="164" fontId="0" fillId="9" borderId="6" xfId="0" applyNumberFormat="1" applyFill="1" applyBorder="1"/>
    <xf numFmtId="164" fontId="0" fillId="2" borderId="6" xfId="0" applyNumberFormat="1" applyFill="1" applyBorder="1"/>
    <xf numFmtId="164" fontId="3" fillId="11" borderId="6" xfId="0" applyNumberFormat="1" applyFont="1" applyFill="1" applyBorder="1"/>
    <xf numFmtId="164" fontId="0" fillId="7" borderId="6" xfId="0" applyNumberFormat="1" applyFill="1" applyBorder="1"/>
    <xf numFmtId="164" fontId="15" fillId="9" borderId="6" xfId="0" applyNumberFormat="1" applyFont="1" applyFill="1" applyBorder="1"/>
    <xf numFmtId="164" fontId="3" fillId="9" borderId="6" xfId="0" applyNumberFormat="1" applyFont="1" applyFill="1" applyBorder="1"/>
    <xf numFmtId="164" fontId="0" fillId="8" borderId="6" xfId="0" applyNumberFormat="1" applyFill="1" applyBorder="1"/>
    <xf numFmtId="164" fontId="0" fillId="11" borderId="6" xfId="0" applyNumberFormat="1" applyFill="1" applyBorder="1" applyAlignment="1">
      <alignment vertical="center"/>
    </xf>
    <xf numFmtId="14" fontId="21" fillId="11" borderId="0" xfId="0" applyNumberFormat="1" applyFont="1" applyFill="1"/>
    <xf numFmtId="0" fontId="23" fillId="11" borderId="0" xfId="0" applyFont="1" applyFill="1"/>
    <xf numFmtId="0" fontId="0" fillId="0" borderId="0" xfId="0" applyAlignment="1">
      <alignment wrapText="1"/>
    </xf>
    <xf numFmtId="0" fontId="22" fillId="9" borderId="0" xfId="0" applyFont="1" applyFill="1"/>
    <xf numFmtId="1" fontId="5" fillId="9" borderId="6" xfId="0" applyNumberFormat="1" applyFont="1" applyFill="1" applyBorder="1" applyAlignment="1">
      <alignment wrapText="1"/>
    </xf>
    <xf numFmtId="0" fontId="26" fillId="11" borderId="6" xfId="1" applyFill="1" applyBorder="1" applyAlignment="1">
      <alignment horizontal="center" vertical="center"/>
    </xf>
    <xf numFmtId="0" fontId="4" fillId="7" borderId="6" xfId="0" applyFont="1" applyFill="1" applyBorder="1" applyAlignment="1">
      <alignment vertical="center"/>
    </xf>
    <xf numFmtId="0" fontId="3" fillId="2" borderId="6" xfId="0" applyFont="1" applyFill="1" applyBorder="1" applyAlignment="1">
      <alignment horizontal="center" vertical="center" wrapText="1"/>
    </xf>
    <xf numFmtId="14" fontId="3" fillId="2" borderId="6" xfId="0" applyNumberFormat="1" applyFont="1" applyFill="1" applyBorder="1"/>
    <xf numFmtId="0" fontId="16" fillId="2" borderId="0" xfId="0" applyFont="1" applyFill="1"/>
    <xf numFmtId="0" fontId="3" fillId="11" borderId="14" xfId="0" applyFont="1" applyFill="1" applyBorder="1" applyAlignment="1">
      <alignment wrapText="1"/>
    </xf>
    <xf numFmtId="1" fontId="0" fillId="0" borderId="9" xfId="0" applyNumberFormat="1" applyBorder="1"/>
    <xf numFmtId="0" fontId="3" fillId="2" borderId="6" xfId="0" applyFont="1" applyFill="1" applyBorder="1" applyAlignment="1">
      <alignment wrapText="1"/>
    </xf>
    <xf numFmtId="0" fontId="16" fillId="9" borderId="1" xfId="0" applyFont="1" applyFill="1" applyBorder="1"/>
    <xf numFmtId="0" fontId="16" fillId="9" borderId="0" xfId="0" applyFont="1" applyFill="1" applyAlignment="1">
      <alignment wrapText="1"/>
    </xf>
    <xf numFmtId="1" fontId="3" fillId="7" borderId="6" xfId="0" applyNumberFormat="1" applyFont="1" applyFill="1" applyBorder="1" applyAlignment="1">
      <alignment wrapText="1"/>
    </xf>
    <xf numFmtId="0" fontId="3" fillId="11" borderId="0" xfId="0" applyFont="1" applyFill="1"/>
    <xf numFmtId="0" fontId="24" fillId="7" borderId="6" xfId="0" applyFont="1" applyFill="1" applyBorder="1" applyAlignment="1">
      <alignment vertical="center"/>
    </xf>
    <xf numFmtId="0" fontId="27" fillId="0" borderId="17" xfId="0" applyFont="1" applyBorder="1" applyAlignment="1">
      <alignment wrapText="1"/>
    </xf>
    <xf numFmtId="0" fontId="27" fillId="0" borderId="18" xfId="0" applyFont="1" applyBorder="1" applyAlignment="1">
      <alignment wrapText="1"/>
    </xf>
    <xf numFmtId="0" fontId="27" fillId="13" borderId="18" xfId="0" applyFont="1" applyFill="1" applyBorder="1" applyAlignment="1">
      <alignment wrapText="1"/>
    </xf>
    <xf numFmtId="0" fontId="0" fillId="14" borderId="6" xfId="0" applyFill="1" applyBorder="1"/>
    <xf numFmtId="0" fontId="30" fillId="12" borderId="1" xfId="0" applyFont="1" applyFill="1" applyBorder="1"/>
    <xf numFmtId="0" fontId="3" fillId="7" borderId="6" xfId="0" applyFont="1" applyFill="1" applyBorder="1" applyAlignment="1">
      <alignment vertical="center"/>
    </xf>
    <xf numFmtId="0" fontId="27" fillId="11" borderId="1" xfId="0" applyFont="1" applyFill="1" applyBorder="1"/>
    <xf numFmtId="0" fontId="29" fillId="11" borderId="0" xfId="0" applyFont="1" applyFill="1"/>
    <xf numFmtId="0" fontId="0" fillId="0" borderId="10" xfId="0" applyBorder="1"/>
    <xf numFmtId="0" fontId="0" fillId="0" borderId="19" xfId="0" applyBorder="1"/>
    <xf numFmtId="0" fontId="28" fillId="11" borderId="15" xfId="0" applyFont="1" applyFill="1" applyBorder="1" applyAlignment="1">
      <alignment wrapText="1"/>
    </xf>
    <xf numFmtId="0" fontId="28" fillId="11" borderId="16" xfId="0" applyFont="1" applyFill="1" applyBorder="1" applyAlignment="1">
      <alignment wrapText="1"/>
    </xf>
    <xf numFmtId="0" fontId="8" fillId="7" borderId="6" xfId="0" applyFont="1" applyFill="1" applyBorder="1" applyAlignment="1">
      <alignment wrapText="1"/>
    </xf>
    <xf numFmtId="2" fontId="0" fillId="7" borderId="6" xfId="0" applyNumberFormat="1" applyFill="1" applyBorder="1" applyAlignment="1">
      <alignment horizontal="center" vertical="center"/>
    </xf>
    <xf numFmtId="0" fontId="16" fillId="11" borderId="0" xfId="0" applyFont="1" applyFill="1" applyAlignment="1">
      <alignment wrapText="1"/>
    </xf>
    <xf numFmtId="0" fontId="8" fillId="12" borderId="6" xfId="0" applyFont="1" applyFill="1" applyBorder="1"/>
    <xf numFmtId="0" fontId="8" fillId="8" borderId="6" xfId="0" applyFont="1" applyFill="1" applyBorder="1"/>
    <xf numFmtId="0" fontId="16" fillId="7" borderId="0" xfId="0" applyFont="1" applyFill="1"/>
    <xf numFmtId="0" fontId="0" fillId="15" borderId="6" xfId="0" applyFill="1" applyBorder="1" applyAlignment="1">
      <alignment horizontal="center" vertical="center"/>
    </xf>
    <xf numFmtId="14" fontId="0" fillId="15" borderId="6" xfId="0" applyNumberFormat="1" applyFill="1" applyBorder="1" applyAlignment="1">
      <alignment horizontal="center" vertical="center"/>
    </xf>
    <xf numFmtId="0" fontId="0" fillId="15" borderId="6" xfId="0" applyFill="1" applyBorder="1"/>
    <xf numFmtId="0" fontId="3" fillId="15" borderId="6" xfId="0" applyFont="1" applyFill="1" applyBorder="1"/>
    <xf numFmtId="14" fontId="0" fillId="15" borderId="6" xfId="0" applyNumberFormat="1" applyFill="1" applyBorder="1"/>
    <xf numFmtId="0" fontId="27" fillId="0" borderId="1" xfId="0" applyFont="1" applyBorder="1" applyAlignment="1">
      <alignment wrapText="1"/>
    </xf>
    <xf numFmtId="2" fontId="8" fillId="2" borderId="6" xfId="0" applyNumberFormat="1" applyFont="1" applyFill="1" applyBorder="1" applyAlignment="1">
      <alignment horizontal="center" vertical="center"/>
    </xf>
    <xf numFmtId="0" fontId="8" fillId="2" borderId="6" xfId="0" applyFont="1" applyFill="1" applyBorder="1" applyAlignment="1">
      <alignment vertical="center" wrapText="1"/>
    </xf>
    <xf numFmtId="0" fontId="4" fillId="7" borderId="6" xfId="0" applyFont="1" applyFill="1" applyBorder="1" applyAlignment="1">
      <alignment wrapText="1"/>
    </xf>
    <xf numFmtId="0" fontId="18" fillId="9" borderId="0" xfId="0" applyFont="1" applyFill="1"/>
    <xf numFmtId="0" fontId="17" fillId="9" borderId="1" xfId="0" applyFont="1" applyFill="1" applyBorder="1" applyAlignment="1">
      <alignment wrapText="1" readingOrder="1"/>
    </xf>
    <xf numFmtId="0" fontId="30" fillId="9" borderId="1" xfId="0" applyFont="1" applyFill="1" applyBorder="1"/>
    <xf numFmtId="0" fontId="0" fillId="7" borderId="0" xfId="0" applyFill="1"/>
    <xf numFmtId="0" fontId="30" fillId="9" borderId="14" xfId="0" applyFont="1" applyFill="1" applyBorder="1"/>
    <xf numFmtId="0" fontId="27" fillId="7" borderId="1" xfId="0" applyFont="1" applyFill="1" applyBorder="1"/>
    <xf numFmtId="0" fontId="3" fillId="2" borderId="14" xfId="0" applyFont="1" applyFill="1" applyBorder="1" applyAlignment="1">
      <alignment wrapText="1"/>
    </xf>
    <xf numFmtId="0" fontId="27" fillId="16" borderId="18" xfId="0" applyFont="1" applyFill="1" applyBorder="1" applyAlignment="1">
      <alignment wrapText="1"/>
    </xf>
    <xf numFmtId="0" fontId="27" fillId="2" borderId="17" xfId="0" applyFont="1" applyFill="1" applyBorder="1" applyAlignment="1">
      <alignment wrapText="1"/>
    </xf>
    <xf numFmtId="0" fontId="27" fillId="2" borderId="18" xfId="0" applyFont="1" applyFill="1" applyBorder="1" applyAlignment="1">
      <alignment wrapText="1"/>
    </xf>
    <xf numFmtId="0" fontId="3" fillId="2" borderId="0" xfId="0" applyFont="1" applyFill="1"/>
    <xf numFmtId="0" fontId="3" fillId="2" borderId="0" xfId="0" applyFont="1" applyFill="1" applyAlignment="1">
      <alignment wrapText="1"/>
    </xf>
    <xf numFmtId="0" fontId="9" fillId="7" borderId="1" xfId="0" applyFont="1" applyFill="1" applyBorder="1" applyAlignment="1">
      <alignment wrapText="1" readingOrder="1"/>
    </xf>
    <xf numFmtId="0" fontId="16" fillId="2" borderId="1" xfId="0" applyFont="1" applyFill="1" applyBorder="1"/>
    <xf numFmtId="0" fontId="27" fillId="2" borderId="1" xfId="0" applyFont="1" applyFill="1" applyBorder="1" applyAlignment="1">
      <alignment wrapText="1"/>
    </xf>
    <xf numFmtId="0" fontId="20" fillId="11" borderId="6" xfId="0" applyFont="1" applyFill="1" applyBorder="1"/>
    <xf numFmtId="0" fontId="8" fillId="7" borderId="6" xfId="0" applyFont="1" applyFill="1" applyBorder="1" applyAlignment="1">
      <alignment horizontal="center" vertical="center" wrapText="1"/>
    </xf>
    <xf numFmtId="14" fontId="8" fillId="7" borderId="6" xfId="0" applyNumberFormat="1" applyFont="1" applyFill="1" applyBorder="1"/>
    <xf numFmtId="1" fontId="8" fillId="7" borderId="6" xfId="0" applyNumberFormat="1" applyFont="1" applyFill="1" applyBorder="1" applyAlignment="1">
      <alignment wrapText="1"/>
    </xf>
    <xf numFmtId="0" fontId="10" fillId="7" borderId="0" xfId="0" applyFont="1" applyFill="1"/>
    <xf numFmtId="0" fontId="3" fillId="7" borderId="6" xfId="0" applyFont="1" applyFill="1" applyBorder="1" applyAlignment="1">
      <alignment vertical="center" wrapText="1"/>
    </xf>
    <xf numFmtId="0" fontId="30" fillId="17" borderId="14" xfId="0" applyFont="1" applyFill="1" applyBorder="1"/>
    <xf numFmtId="0" fontId="30" fillId="13" borderId="1" xfId="0" applyFont="1" applyFill="1" applyBorder="1"/>
    <xf numFmtId="0" fontId="30" fillId="13" borderId="14" xfId="0" applyFont="1" applyFill="1" applyBorder="1"/>
    <xf numFmtId="0" fontId="3" fillId="12" borderId="6" xfId="0" applyFont="1" applyFill="1" applyBorder="1" applyAlignment="1">
      <alignment horizontal="center" vertical="center"/>
    </xf>
    <xf numFmtId="0" fontId="0" fillId="0" borderId="6" xfId="0" applyBorder="1" applyAlignment="1">
      <alignment horizontal="center" vertical="center" wrapText="1"/>
    </xf>
    <xf numFmtId="0" fontId="0" fillId="0" borderId="6" xfId="0" applyBorder="1" applyAlignment="1">
      <alignment vertical="center" wrapText="1"/>
    </xf>
    <xf numFmtId="0" fontId="11" fillId="7" borderId="6" xfId="0" applyFont="1" applyFill="1" applyBorder="1"/>
    <xf numFmtId="0" fontId="11" fillId="7" borderId="6" xfId="0" applyFont="1" applyFill="1" applyBorder="1" applyAlignment="1">
      <alignment horizontal="center" vertical="center"/>
    </xf>
    <xf numFmtId="0" fontId="11" fillId="7" borderId="6" xfId="0" applyFont="1" applyFill="1" applyBorder="1" applyAlignment="1">
      <alignment horizontal="center" vertical="center" wrapText="1"/>
    </xf>
    <xf numFmtId="0" fontId="11" fillId="7" borderId="6" xfId="0" applyFont="1" applyFill="1" applyBorder="1" applyAlignment="1">
      <alignment wrapText="1"/>
    </xf>
    <xf numFmtId="14" fontId="11" fillId="7" borderId="6" xfId="0" applyNumberFormat="1" applyFont="1" applyFill="1" applyBorder="1"/>
    <xf numFmtId="1" fontId="11" fillId="7" borderId="6" xfId="0" applyNumberFormat="1" applyFont="1" applyFill="1" applyBorder="1" applyAlignment="1">
      <alignment wrapText="1"/>
    </xf>
    <xf numFmtId="0" fontId="0" fillId="7" borderId="8" xfId="0" applyFill="1" applyBorder="1" applyAlignment="1">
      <alignment horizontal="center" vertical="center"/>
    </xf>
    <xf numFmtId="0" fontId="8" fillId="0" borderId="6" xfId="0" applyFont="1" applyBorder="1" applyAlignment="1">
      <alignment vertical="center"/>
    </xf>
    <xf numFmtId="0" fontId="8" fillId="0" borderId="6" xfId="0" applyFont="1" applyBorder="1" applyAlignment="1">
      <alignment horizontal="center" vertical="center"/>
    </xf>
    <xf numFmtId="2" fontId="8" fillId="0" borderId="6" xfId="0" applyNumberFormat="1" applyFont="1" applyBorder="1" applyAlignment="1">
      <alignment horizontal="center" vertical="center"/>
    </xf>
    <xf numFmtId="0" fontId="8" fillId="0" borderId="6" xfId="0" applyFont="1" applyBorder="1" applyAlignment="1">
      <alignment vertical="center" wrapText="1"/>
    </xf>
    <xf numFmtId="0" fontId="1" fillId="11" borderId="6" xfId="0" applyFont="1" applyFill="1" applyBorder="1"/>
  </cellXfs>
  <cellStyles count="2">
    <cellStyle name="Hyperlink" xfId="1" builtinId="8"/>
    <cellStyle name="Normal" xfId="0" builtinId="0"/>
  </cellStyles>
  <dxfs count="21">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9" formatCode="dd/mm/yyyy"/>
      <alignment horizontal="general" vertical="bottom"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general"/>
      <border outline="0">
        <left style="thin">
          <color rgb="FF000000"/>
        </left>
        <right style="thin">
          <color rgb="FF000000"/>
        </right>
        <top style="thin">
          <color rgb="FF000000"/>
        </top>
        <bottom style="thin">
          <color rgb="FF000000"/>
        </bottom>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diagonalUp="0" diagonalDown="0"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numFmt numFmtId="0" formatCode="General"/>
      <alignment horizontal="center"/>
      <border diagonalUp="0" diagonalDown="0">
        <left/>
        <right style="thin">
          <color rgb="FF000000"/>
        </right>
        <top style="thin">
          <color rgb="FF000000"/>
        </top>
        <bottom style="thin">
          <color rgb="FF000000"/>
        </bottom>
      </border>
    </dxf>
    <dxf>
      <alignment horizontal="general"/>
    </dxf>
    <dxf>
      <alignment horizontal="general"/>
      <border>
        <left style="thin">
          <color rgb="FF000000"/>
        </left>
        <right style="thin">
          <color rgb="FF000000"/>
        </right>
        <top/>
        <bottom/>
        <vertical style="thin">
          <color rgb="FF000000"/>
        </vertical>
        <horizontal style="thin">
          <color rgb="FF000000"/>
        </horizontal>
      </border>
    </dxf>
  </dxfs>
  <tableStyles count="0" defaultTableStyle="TableStyleMedium9" defaultPivotStyle="PivotStyleLight16"/>
  <colors>
    <mruColors>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59.741991898147" createdVersion="8" refreshedVersion="8" minRefreshableVersion="3" recordCount="191" xr:uid="{B3C7B07E-40A4-46AC-92EE-BD3CC3C33395}">
  <cacheSource type="worksheet">
    <worksheetSource ref="K2:K1048557" sheet="Moulins"/>
  </cacheSource>
  <cacheFields count="1">
    <cacheField name="Company" numFmtId="0">
      <sharedItems containsBlank="1" count="28">
        <s v="VZOIC PHARMACEUTICALS"/>
        <s v="SHUBHAM HEALTHCARE"/>
        <s v="PLENA REMEDIES"/>
        <s v="ALPEX PHARMACEUTICALS"/>
        <s v="ALTAR HEALTHCARE"/>
        <s v="BIONEXY"/>
        <s v="VRINDAVAN BLOBAL"/>
        <s v="UNISPEED PHARMACEUTICALS"/>
        <s v="LOGOS"/>
        <m/>
        <s v="POLESTAR"/>
        <s v="BIODEAL PHARMA"/>
        <s v="NDB HEALTHCARE"/>
        <s v="RUZETTE ORGANICS"/>
        <s v="STRAUSSWELL"/>
        <s v="ASSOCIATED BIOTECH"/>
        <s v="AKSHAR MOLECULES"/>
        <s v="RITUAL DRUGS PVT LTD"/>
        <s v="SAPHNIX PHARMACEUTICALS"/>
        <s v="ADSILA ORGANICS"/>
        <s v="MEDICANT NUTRIENTS"/>
        <s v="EUROCRIT"/>
        <s v="REALCARE HERBALS"/>
        <s v="PROLIFIC"/>
        <s v="Alpex Healthcare"/>
        <s v="Virchow Biotech Private Limited  "/>
        <s v="Aplex Healthcare"/>
        <s v="Logos Pharm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1">
  <r>
    <x v="0"/>
  </r>
  <r>
    <x v="1"/>
  </r>
  <r>
    <x v="2"/>
  </r>
  <r>
    <x v="1"/>
  </r>
  <r>
    <x v="3"/>
  </r>
  <r>
    <x v="3"/>
  </r>
  <r>
    <x v="3"/>
  </r>
  <r>
    <x v="3"/>
  </r>
  <r>
    <x v="3"/>
  </r>
  <r>
    <x v="3"/>
  </r>
  <r>
    <x v="4"/>
  </r>
  <r>
    <x v="4"/>
  </r>
  <r>
    <x v="4"/>
  </r>
  <r>
    <x v="5"/>
  </r>
  <r>
    <x v="2"/>
  </r>
  <r>
    <x v="1"/>
  </r>
  <r>
    <x v="5"/>
  </r>
  <r>
    <x v="5"/>
  </r>
  <r>
    <x v="1"/>
  </r>
  <r>
    <x v="1"/>
  </r>
  <r>
    <x v="1"/>
  </r>
  <r>
    <x v="1"/>
  </r>
  <r>
    <x v="2"/>
  </r>
  <r>
    <x v="3"/>
  </r>
  <r>
    <x v="6"/>
  </r>
  <r>
    <x v="2"/>
  </r>
  <r>
    <x v="7"/>
  </r>
  <r>
    <x v="2"/>
  </r>
  <r>
    <x v="6"/>
  </r>
  <r>
    <x v="3"/>
  </r>
  <r>
    <x v="3"/>
  </r>
  <r>
    <x v="3"/>
  </r>
  <r>
    <x v="2"/>
  </r>
  <r>
    <x v="1"/>
  </r>
  <r>
    <x v="1"/>
  </r>
  <r>
    <x v="1"/>
  </r>
  <r>
    <x v="2"/>
  </r>
  <r>
    <x v="2"/>
  </r>
  <r>
    <x v="2"/>
  </r>
  <r>
    <x v="8"/>
  </r>
  <r>
    <x v="9"/>
  </r>
  <r>
    <x v="9"/>
  </r>
  <r>
    <x v="3"/>
  </r>
  <r>
    <x v="10"/>
  </r>
  <r>
    <x v="10"/>
  </r>
  <r>
    <x v="10"/>
  </r>
  <r>
    <x v="10"/>
  </r>
  <r>
    <x v="11"/>
  </r>
  <r>
    <x v="12"/>
  </r>
  <r>
    <x v="12"/>
  </r>
  <r>
    <x v="12"/>
  </r>
  <r>
    <x v="12"/>
  </r>
  <r>
    <x v="3"/>
  </r>
  <r>
    <x v="13"/>
  </r>
  <r>
    <x v="3"/>
  </r>
  <r>
    <x v="14"/>
  </r>
  <r>
    <x v="0"/>
  </r>
  <r>
    <x v="12"/>
  </r>
  <r>
    <x v="12"/>
  </r>
  <r>
    <x v="3"/>
  </r>
  <r>
    <x v="10"/>
  </r>
  <r>
    <x v="3"/>
  </r>
  <r>
    <x v="3"/>
  </r>
  <r>
    <x v="15"/>
  </r>
  <r>
    <x v="15"/>
  </r>
  <r>
    <x v="15"/>
  </r>
  <r>
    <x v="15"/>
  </r>
  <r>
    <x v="15"/>
  </r>
  <r>
    <x v="7"/>
  </r>
  <r>
    <x v="7"/>
  </r>
  <r>
    <x v="7"/>
  </r>
  <r>
    <x v="7"/>
  </r>
  <r>
    <x v="7"/>
  </r>
  <r>
    <x v="7"/>
  </r>
  <r>
    <x v="1"/>
  </r>
  <r>
    <x v="1"/>
  </r>
  <r>
    <x v="7"/>
  </r>
  <r>
    <x v="7"/>
  </r>
  <r>
    <x v="5"/>
  </r>
  <r>
    <x v="5"/>
  </r>
  <r>
    <x v="5"/>
  </r>
  <r>
    <x v="5"/>
  </r>
  <r>
    <x v="7"/>
  </r>
  <r>
    <x v="7"/>
  </r>
  <r>
    <x v="16"/>
  </r>
  <r>
    <x v="16"/>
  </r>
  <r>
    <x v="16"/>
  </r>
  <r>
    <x v="16"/>
  </r>
  <r>
    <x v="17"/>
  </r>
  <r>
    <x v="17"/>
  </r>
  <r>
    <x v="3"/>
  </r>
  <r>
    <x v="17"/>
  </r>
  <r>
    <x v="13"/>
  </r>
  <r>
    <x v="18"/>
  </r>
  <r>
    <x v="18"/>
  </r>
  <r>
    <x v="1"/>
  </r>
  <r>
    <x v="1"/>
  </r>
  <r>
    <x v="1"/>
  </r>
  <r>
    <x v="1"/>
  </r>
  <r>
    <x v="1"/>
  </r>
  <r>
    <x v="16"/>
  </r>
  <r>
    <x v="15"/>
  </r>
  <r>
    <x v="15"/>
  </r>
  <r>
    <x v="6"/>
  </r>
  <r>
    <x v="19"/>
  </r>
  <r>
    <x v="6"/>
  </r>
  <r>
    <x v="6"/>
  </r>
  <r>
    <x v="20"/>
  </r>
  <r>
    <x v="20"/>
  </r>
  <r>
    <x v="6"/>
  </r>
  <r>
    <x v="13"/>
  </r>
  <r>
    <x v="3"/>
  </r>
  <r>
    <x v="3"/>
  </r>
  <r>
    <x v="3"/>
  </r>
  <r>
    <x v="6"/>
  </r>
  <r>
    <x v="16"/>
  </r>
  <r>
    <x v="3"/>
  </r>
  <r>
    <x v="3"/>
  </r>
  <r>
    <x v="5"/>
  </r>
  <r>
    <x v="21"/>
  </r>
  <r>
    <x v="2"/>
  </r>
  <r>
    <x v="22"/>
  </r>
  <r>
    <x v="22"/>
  </r>
  <r>
    <x v="7"/>
  </r>
  <r>
    <x v="13"/>
  </r>
  <r>
    <x v="13"/>
  </r>
  <r>
    <x v="13"/>
  </r>
  <r>
    <x v="13"/>
  </r>
  <r>
    <x v="13"/>
  </r>
  <r>
    <x v="13"/>
  </r>
  <r>
    <x v="13"/>
  </r>
  <r>
    <x v="17"/>
  </r>
  <r>
    <x v="0"/>
  </r>
  <r>
    <x v="3"/>
  </r>
  <r>
    <x v="15"/>
  </r>
  <r>
    <x v="15"/>
  </r>
  <r>
    <x v="3"/>
  </r>
  <r>
    <x v="2"/>
  </r>
  <r>
    <x v="15"/>
  </r>
  <r>
    <x v="3"/>
  </r>
  <r>
    <x v="3"/>
  </r>
  <r>
    <x v="3"/>
  </r>
  <r>
    <x v="0"/>
  </r>
  <r>
    <x v="6"/>
  </r>
  <r>
    <x v="5"/>
  </r>
  <r>
    <x v="7"/>
  </r>
  <r>
    <x v="7"/>
  </r>
  <r>
    <x v="21"/>
  </r>
  <r>
    <x v="23"/>
  </r>
  <r>
    <x v="1"/>
  </r>
  <r>
    <x v="7"/>
  </r>
  <r>
    <x v="15"/>
  </r>
  <r>
    <x v="15"/>
  </r>
  <r>
    <x v="1"/>
  </r>
  <r>
    <x v="24"/>
  </r>
  <r>
    <x v="24"/>
  </r>
  <r>
    <x v="24"/>
  </r>
  <r>
    <x v="5"/>
  </r>
  <r>
    <x v="25"/>
  </r>
  <r>
    <x v="26"/>
  </r>
  <r>
    <x v="24"/>
  </r>
  <r>
    <x v="27"/>
  </r>
  <r>
    <x v="6"/>
  </r>
  <r>
    <x v="20"/>
  </r>
  <r>
    <x v="9"/>
  </r>
  <r>
    <x v="9"/>
  </r>
  <r>
    <x v="9"/>
  </r>
  <r>
    <x v="9"/>
  </r>
  <r>
    <x v="9"/>
  </r>
  <r>
    <x v="9"/>
  </r>
  <r>
    <x v="9"/>
  </r>
  <r>
    <x v="9"/>
  </r>
  <r>
    <x v="9"/>
  </r>
  <r>
    <x v="9"/>
  </r>
  <r>
    <x v="9"/>
  </r>
  <r>
    <x v="9"/>
  </r>
  <r>
    <x v="9"/>
  </r>
  <r>
    <x v="9"/>
  </r>
  <r>
    <x v="9"/>
  </r>
  <r>
    <x v="9"/>
  </r>
  <r>
    <x v="9"/>
  </r>
  <r>
    <x v="9"/>
  </r>
  <r>
    <x v="9"/>
  </r>
  <r>
    <x v="9"/>
  </r>
  <r>
    <x v="9"/>
  </r>
  <r>
    <x v="9"/>
  </r>
  <r>
    <x v="9"/>
  </r>
  <r>
    <x v="9"/>
  </r>
  <r>
    <x v="9"/>
  </r>
  <r>
    <x v="9"/>
  </r>
  <r>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FD10DF-5BF9-4A70-A749-D20325F388BE}" name="PivotTable1" cacheId="1112"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A32" firstHeaderRow="1" firstDataRow="1" firstDataCol="1"/>
  <pivotFields count="1">
    <pivotField axis="axisRow" showAll="0">
      <items count="29">
        <item x="19"/>
        <item x="16"/>
        <item x="24"/>
        <item x="3"/>
        <item x="4"/>
        <item x="26"/>
        <item x="15"/>
        <item x="11"/>
        <item x="5"/>
        <item x="21"/>
        <item x="8"/>
        <item x="27"/>
        <item x="20"/>
        <item x="12"/>
        <item x="2"/>
        <item x="10"/>
        <item x="23"/>
        <item x="22"/>
        <item x="17"/>
        <item x="13"/>
        <item x="18"/>
        <item x="1"/>
        <item x="14"/>
        <item x="7"/>
        <item x="25"/>
        <item x="6"/>
        <item x="0"/>
        <item x="9"/>
        <item t="default"/>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246687-A2C0-47D1-9302-50935C9866D3}" name="Table1" displayName="Table1" ref="A2:S1048557" totalsRowShown="0" headerRowDxfId="20" dataDxfId="19">
  <autoFilter ref="A2:S1048557" xr:uid="{F0246687-A2C0-47D1-9302-50935C9866D3}">
    <filterColumn colId="3">
      <filters>
        <filter val="ACTSMART 100"/>
        <filter val="EXCELACT"/>
        <filter val="fosbact"/>
        <filter val="Lactiret drops"/>
      </filters>
    </filterColumn>
  </autoFilter>
  <tableColumns count="19">
    <tableColumn id="1" xr3:uid="{672131FA-7368-4EF7-8B59-737291458B43}" name="SR NO" dataDxfId="18"/>
    <tableColumn id="2" xr3:uid="{96C6CC10-C139-42C2-AE88-67119CEDFE42}" name="P-O Date" dataDxfId="17"/>
    <tableColumn id="3" xr3:uid="{C95F3BB0-4FA9-4582-8116-26D4A829DD75}" name="P-O Number" dataDxfId="16"/>
    <tableColumn id="4" xr3:uid="{0A392A86-8C39-4CAC-9557-75CC72605D7A}" name="Product Name" dataDxfId="15"/>
    <tableColumn id="5" xr3:uid="{812D7383-73C8-4A72-8A71-F76F2196002D}" name="Quantity" dataDxfId="14"/>
    <tableColumn id="6" xr3:uid="{262231E5-C8ED-48BD-A1DB-6643E88D31C0}" name="MRP" dataDxfId="13"/>
    <tableColumn id="7" xr3:uid="{DFBCB476-1A3A-4064-A294-FE10A03478B7}" name="RATE" dataDxfId="12"/>
    <tableColumn id="8" xr3:uid="{CE500BEB-E84D-480B-B218-C073D0260EE6}" name="ESTIMATE" dataDxfId="11"/>
    <tableColumn id="9" xr3:uid="{3A1DE4E3-08A9-40D9-86C1-00D5A7CEB83B}" name="Specifications" dataDxfId="10"/>
    <tableColumn id="10" xr3:uid="{677EB123-E5AA-4936-8136-B0B08B19DFBB}" name="TYPE" dataDxfId="9"/>
    <tableColumn id="11" xr3:uid="{3DCC9AE1-AFF4-43E3-808E-A90E3F924B4C}" name="Company" dataDxfId="8"/>
    <tableColumn id="12" xr3:uid="{8B52F38A-A678-4864-8B1E-AAC588B7A29B}" name="Qty Received" dataDxfId="7"/>
    <tableColumn id="13" xr3:uid="{2418FA83-EEA1-4A59-972A-C435A8FFEA0C}" name="Remarks" dataDxfId="6"/>
    <tableColumn id="14" xr3:uid="{D9226D1B-2492-40EC-84E5-7A472FC62C88}" name="Category" dataDxfId="5"/>
    <tableColumn id="15" xr3:uid="{E408F980-6F22-469A-845C-18691BAC0D3D}" name="Status" dataDxfId="4"/>
    <tableColumn id="16" xr3:uid="{9374004F-90AC-4C54-83DA-99C18D2C28D7}" name="Time Stamp" dataDxfId="3"/>
    <tableColumn id="17" xr3:uid="{8DB9D713-43D0-4ED5-95DE-A09136B29EC0}" name="Days Diff from Today" dataDxfId="2"/>
    <tableColumn id="18" xr3:uid="{6A510ECB-FE70-4977-B96A-8460DD4A032A}" name="Bill Number" dataDxfId="1"/>
    <tableColumn id="19" xr3:uid="{AF0CA03A-D183-4FEA-AB31-0595EE35A1D7}" name="Column1" dataDxfId="0"/>
  </tableColumns>
  <tableStyleInfo showFirstColumn="0"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Sale@34.5/bo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240AD-D4C5-486E-A838-78AD1F4660E5}">
  <dimension ref="A3:A32"/>
  <sheetViews>
    <sheetView workbookViewId="0">
      <selection activeCell="E20" sqref="E20"/>
    </sheetView>
  </sheetViews>
  <sheetFormatPr defaultRowHeight="15"/>
  <cols>
    <col min="1" max="1" width="30.85546875" bestFit="1" customWidth="1"/>
  </cols>
  <sheetData>
    <row r="3" spans="1:1">
      <c r="A3" s="9" t="s">
        <v>0</v>
      </c>
    </row>
    <row r="4" spans="1:1">
      <c r="A4" s="10" t="s">
        <v>1</v>
      </c>
    </row>
    <row r="5" spans="1:1">
      <c r="A5" s="10" t="s">
        <v>2</v>
      </c>
    </row>
    <row r="6" spans="1:1">
      <c r="A6" s="10" t="s">
        <v>3</v>
      </c>
    </row>
    <row r="7" spans="1:1">
      <c r="A7" s="10" t="s">
        <v>4</v>
      </c>
    </row>
    <row r="8" spans="1:1">
      <c r="A8" s="10" t="s">
        <v>5</v>
      </c>
    </row>
    <row r="9" spans="1:1">
      <c r="A9" s="10" t="s">
        <v>6</v>
      </c>
    </row>
    <row r="10" spans="1:1">
      <c r="A10" s="10" t="s">
        <v>7</v>
      </c>
    </row>
    <row r="11" spans="1:1">
      <c r="A11" s="10" t="s">
        <v>8</v>
      </c>
    </row>
    <row r="12" spans="1:1">
      <c r="A12" s="10" t="s">
        <v>9</v>
      </c>
    </row>
    <row r="13" spans="1:1">
      <c r="A13" s="10" t="s">
        <v>10</v>
      </c>
    </row>
    <row r="14" spans="1:1">
      <c r="A14" s="10" t="s">
        <v>11</v>
      </c>
    </row>
    <row r="15" spans="1:1">
      <c r="A15" s="10" t="s">
        <v>12</v>
      </c>
    </row>
    <row r="16" spans="1:1">
      <c r="A16" s="10" t="s">
        <v>13</v>
      </c>
    </row>
    <row r="17" spans="1:1">
      <c r="A17" s="10" t="s">
        <v>14</v>
      </c>
    </row>
    <row r="18" spans="1:1">
      <c r="A18" s="10" t="s">
        <v>15</v>
      </c>
    </row>
    <row r="19" spans="1:1">
      <c r="A19" s="10" t="s">
        <v>16</v>
      </c>
    </row>
    <row r="20" spans="1:1">
      <c r="A20" s="10" t="s">
        <v>17</v>
      </c>
    </row>
    <row r="21" spans="1:1">
      <c r="A21" s="10" t="s">
        <v>18</v>
      </c>
    </row>
    <row r="22" spans="1:1">
      <c r="A22" s="10" t="s">
        <v>19</v>
      </c>
    </row>
    <row r="23" spans="1:1">
      <c r="A23" s="10" t="s">
        <v>20</v>
      </c>
    </row>
    <row r="24" spans="1:1">
      <c r="A24" s="10" t="s">
        <v>21</v>
      </c>
    </row>
    <row r="25" spans="1:1">
      <c r="A25" s="10" t="s">
        <v>22</v>
      </c>
    </row>
    <row r="26" spans="1:1">
      <c r="A26" s="10" t="s">
        <v>23</v>
      </c>
    </row>
    <row r="27" spans="1:1">
      <c r="A27" s="10" t="s">
        <v>24</v>
      </c>
    </row>
    <row r="28" spans="1:1">
      <c r="A28" s="10" t="s">
        <v>25</v>
      </c>
    </row>
    <row r="29" spans="1:1">
      <c r="A29" s="10" t="s">
        <v>26</v>
      </c>
    </row>
    <row r="30" spans="1:1">
      <c r="A30" s="10" t="s">
        <v>27</v>
      </c>
    </row>
    <row r="31" spans="1:1">
      <c r="A31" s="10" t="s">
        <v>28</v>
      </c>
    </row>
    <row r="32" spans="1:1">
      <c r="A32" s="10" t="s">
        <v>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01F2C-B096-46F7-A0B1-0F78384C8F35}">
  <sheetPr codeName="Sheet3"/>
  <dimension ref="A1:R322"/>
  <sheetViews>
    <sheetView zoomScaleNormal="100" workbookViewId="0">
      <pane xSplit="4" ySplit="2" topLeftCell="E3" activePane="bottomRight" state="frozen"/>
      <selection pane="bottomRight" activeCell="E1" sqref="E1"/>
      <selection pane="bottomLeft" activeCell="A3" sqref="A3"/>
      <selection pane="topRight" activeCell="E1" sqref="E1"/>
    </sheetView>
  </sheetViews>
  <sheetFormatPr defaultRowHeight="15"/>
  <cols>
    <col min="1" max="1" width="5.42578125" style="2" bestFit="1" customWidth="1"/>
    <col min="2" max="2" width="11.140625" bestFit="1" customWidth="1"/>
    <col min="3" max="3" width="11.85546875" style="2" bestFit="1" customWidth="1"/>
    <col min="4" max="4" width="27.7109375" bestFit="1" customWidth="1"/>
    <col min="5" max="5" width="8.7109375" style="1" bestFit="1" customWidth="1"/>
    <col min="6" max="6" width="13.5703125" style="1" customWidth="1"/>
    <col min="7" max="7" width="9.28515625" style="1" bestFit="1" customWidth="1"/>
    <col min="8" max="8" width="10.7109375" customWidth="1"/>
    <col min="9" max="9" width="36.5703125" bestFit="1" customWidth="1"/>
    <col min="10" max="10" width="24.7109375" bestFit="1" customWidth="1"/>
    <col min="11" max="11" width="31.42578125" bestFit="1" customWidth="1"/>
    <col min="12" max="12" width="12.7109375" style="1" customWidth="1"/>
    <col min="13" max="13" width="34" customWidth="1"/>
    <col min="14" max="14" width="26.7109375" customWidth="1"/>
    <col min="15" max="15" width="34.28515625" customWidth="1"/>
    <col min="16" max="16" width="16.7109375" style="105" customWidth="1"/>
    <col min="17" max="18" width="11.42578125" bestFit="1" customWidth="1"/>
  </cols>
  <sheetData>
    <row r="1" spans="1:18">
      <c r="A1" s="11"/>
      <c r="B1" s="11"/>
      <c r="C1" s="11"/>
      <c r="D1" s="11"/>
      <c r="E1" s="48"/>
      <c r="F1" s="48"/>
      <c r="G1" s="133"/>
      <c r="H1" s="11">
        <f>SUBTOTAL(9,H3:H29799)/10^5</f>
        <v>111.6825</v>
      </c>
      <c r="I1" s="11">
        <f>H1*1.12</f>
        <v>125.08440000000002</v>
      </c>
      <c r="J1" s="11"/>
      <c r="K1" s="11"/>
      <c r="L1" s="63"/>
      <c r="M1" s="26"/>
      <c r="N1" s="11"/>
      <c r="O1" s="11"/>
      <c r="P1" s="99"/>
      <c r="Q1" s="26"/>
    </row>
    <row r="2" spans="1:18" ht="30">
      <c r="A2" s="12" t="s">
        <v>30</v>
      </c>
      <c r="B2" s="13" t="s">
        <v>31</v>
      </c>
      <c r="C2" s="13" t="s">
        <v>32</v>
      </c>
      <c r="D2" s="13" t="s">
        <v>33</v>
      </c>
      <c r="E2" s="49" t="s">
        <v>34</v>
      </c>
      <c r="F2" s="49" t="s">
        <v>35</v>
      </c>
      <c r="G2" s="134" t="s">
        <v>36</v>
      </c>
      <c r="H2" s="13" t="s">
        <v>37</v>
      </c>
      <c r="I2" s="13" t="s">
        <v>38</v>
      </c>
      <c r="J2" s="13" t="s">
        <v>39</v>
      </c>
      <c r="K2" s="13" t="s">
        <v>40</v>
      </c>
      <c r="L2" s="64" t="s">
        <v>41</v>
      </c>
      <c r="M2" s="27" t="s">
        <v>42</v>
      </c>
      <c r="N2" s="13" t="s">
        <v>43</v>
      </c>
      <c r="O2" s="14" t="s">
        <v>44</v>
      </c>
      <c r="P2" s="100" t="s">
        <v>45</v>
      </c>
      <c r="Q2" s="30" t="s">
        <v>46</v>
      </c>
      <c r="R2" t="s">
        <v>47</v>
      </c>
    </row>
    <row r="3" spans="1:18">
      <c r="A3" s="58">
        <f t="shared" ref="A3:A66" si="0">IF(B3="","",ROW()-2)</f>
        <v>1</v>
      </c>
      <c r="B3" s="59" t="s">
        <v>48</v>
      </c>
      <c r="C3" s="60" t="s">
        <v>49</v>
      </c>
      <c r="D3" s="60" t="s">
        <v>50</v>
      </c>
      <c r="E3" s="61">
        <v>1000</v>
      </c>
      <c r="F3" s="61">
        <v>168</v>
      </c>
      <c r="G3" s="61">
        <v>24</v>
      </c>
      <c r="H3" s="60">
        <f t="shared" ref="H3:H66" si="1">IF(G3="","",E3*G3)</f>
        <v>24000</v>
      </c>
      <c r="I3" s="60" t="s">
        <v>51</v>
      </c>
      <c r="J3" s="60" t="s">
        <v>52</v>
      </c>
      <c r="K3" s="60" t="s">
        <v>27</v>
      </c>
      <c r="L3" s="67">
        <v>487</v>
      </c>
      <c r="M3" s="62" t="s">
        <v>53</v>
      </c>
      <c r="N3" s="60" t="s">
        <v>54</v>
      </c>
      <c r="O3" s="11" t="s">
        <v>55</v>
      </c>
      <c r="P3" s="99">
        <v>45769.760092592594</v>
      </c>
      <c r="Q3" s="98">
        <f ca="1">TODAY()-P3</f>
        <v>355.23990740740555</v>
      </c>
    </row>
    <row r="4" spans="1:18">
      <c r="A4" s="39">
        <f t="shared" si="0"/>
        <v>2</v>
      </c>
      <c r="B4" s="33" t="s">
        <v>56</v>
      </c>
      <c r="C4" s="16" t="s">
        <v>57</v>
      </c>
      <c r="D4" s="16" t="s">
        <v>58</v>
      </c>
      <c r="E4" s="51">
        <v>500</v>
      </c>
      <c r="F4" s="51">
        <v>580</v>
      </c>
      <c r="G4" s="51">
        <v>38</v>
      </c>
      <c r="H4" s="16">
        <f t="shared" si="1"/>
        <v>19000</v>
      </c>
      <c r="I4" s="16" t="s">
        <v>59</v>
      </c>
      <c r="J4" s="16" t="s">
        <v>60</v>
      </c>
      <c r="K4" s="16" t="s">
        <v>22</v>
      </c>
      <c r="L4" s="66">
        <v>491</v>
      </c>
      <c r="M4" s="19" t="s">
        <v>61</v>
      </c>
      <c r="N4" s="16" t="s">
        <v>54</v>
      </c>
      <c r="O4" s="11" t="s">
        <v>55</v>
      </c>
      <c r="P4" s="99" t="s">
        <v>62</v>
      </c>
      <c r="Q4" s="98">
        <f t="shared" ref="Q4:Q67" ca="1" si="2">TODAY()-P4</f>
        <v>362.3034722222219</v>
      </c>
    </row>
    <row r="5" spans="1:18">
      <c r="A5" s="39">
        <f t="shared" si="0"/>
        <v>3</v>
      </c>
      <c r="B5" s="33" t="s">
        <v>63</v>
      </c>
      <c r="C5" s="16" t="s">
        <v>64</v>
      </c>
      <c r="D5" s="16" t="s">
        <v>65</v>
      </c>
      <c r="E5" s="51">
        <v>500</v>
      </c>
      <c r="F5" s="51">
        <v>1250</v>
      </c>
      <c r="G5" s="51">
        <v>80</v>
      </c>
      <c r="H5" s="16">
        <f t="shared" si="1"/>
        <v>40000</v>
      </c>
      <c r="I5" s="16" t="s">
        <v>66</v>
      </c>
      <c r="J5" s="16" t="s">
        <v>60</v>
      </c>
      <c r="K5" s="16" t="s">
        <v>15</v>
      </c>
      <c r="L5" s="66">
        <v>522</v>
      </c>
      <c r="M5" s="19" t="s">
        <v>67</v>
      </c>
      <c r="N5" s="16" t="s">
        <v>54</v>
      </c>
      <c r="O5" s="11" t="s">
        <v>55</v>
      </c>
      <c r="P5" s="99" t="s">
        <v>68</v>
      </c>
      <c r="Q5" s="98">
        <f t="shared" ca="1" si="2"/>
        <v>392</v>
      </c>
    </row>
    <row r="6" spans="1:18">
      <c r="A6" s="58">
        <f t="shared" si="0"/>
        <v>4</v>
      </c>
      <c r="B6" s="59" t="s">
        <v>63</v>
      </c>
      <c r="C6" s="60" t="s">
        <v>69</v>
      </c>
      <c r="D6" s="60" t="s">
        <v>70</v>
      </c>
      <c r="E6" s="61">
        <v>500</v>
      </c>
      <c r="F6" s="61">
        <v>1020</v>
      </c>
      <c r="G6" s="61">
        <v>72</v>
      </c>
      <c r="H6" s="60">
        <f t="shared" si="1"/>
        <v>36000</v>
      </c>
      <c r="I6" s="60" t="s">
        <v>66</v>
      </c>
      <c r="J6" s="60" t="s">
        <v>60</v>
      </c>
      <c r="K6" s="60" t="s">
        <v>22</v>
      </c>
      <c r="L6" s="67">
        <v>496</v>
      </c>
      <c r="M6" s="62" t="s">
        <v>71</v>
      </c>
      <c r="N6" s="60" t="s">
        <v>54</v>
      </c>
      <c r="O6" s="11" t="s">
        <v>55</v>
      </c>
      <c r="P6" s="99">
        <v>45771.512754629628</v>
      </c>
      <c r="Q6" s="98">
        <f t="shared" ca="1" si="2"/>
        <v>353.48724537037197</v>
      </c>
    </row>
    <row r="7" spans="1:18">
      <c r="A7" s="39">
        <f t="shared" si="0"/>
        <v>5</v>
      </c>
      <c r="B7" s="33" t="s">
        <v>63</v>
      </c>
      <c r="C7" s="16" t="s">
        <v>72</v>
      </c>
      <c r="D7" s="16" t="s">
        <v>73</v>
      </c>
      <c r="E7" s="51">
        <v>300</v>
      </c>
      <c r="F7" s="51">
        <v>1200</v>
      </c>
      <c r="G7" s="51">
        <v>50</v>
      </c>
      <c r="H7" s="16">
        <f t="shared" si="1"/>
        <v>15000</v>
      </c>
      <c r="I7" s="16" t="s">
        <v>74</v>
      </c>
      <c r="J7" s="16" t="s">
        <v>60</v>
      </c>
      <c r="K7" s="16" t="s">
        <v>4</v>
      </c>
      <c r="L7" s="66">
        <v>305</v>
      </c>
      <c r="M7" s="19" t="s">
        <v>75</v>
      </c>
      <c r="N7" s="16" t="s">
        <v>76</v>
      </c>
      <c r="O7" s="11" t="s">
        <v>55</v>
      </c>
      <c r="P7" s="99">
        <v>45721</v>
      </c>
      <c r="Q7" s="98">
        <f t="shared" ca="1" si="2"/>
        <v>404</v>
      </c>
    </row>
    <row r="8" spans="1:18">
      <c r="A8" s="39">
        <f t="shared" si="0"/>
        <v>6</v>
      </c>
      <c r="B8" s="33" t="s">
        <v>63</v>
      </c>
      <c r="C8" s="16" t="s">
        <v>77</v>
      </c>
      <c r="D8" s="16" t="s">
        <v>78</v>
      </c>
      <c r="E8" s="51">
        <v>300</v>
      </c>
      <c r="F8" s="51">
        <v>1800</v>
      </c>
      <c r="G8" s="51">
        <v>60</v>
      </c>
      <c r="H8" s="16">
        <f t="shared" si="1"/>
        <v>18000</v>
      </c>
      <c r="I8" s="16" t="s">
        <v>74</v>
      </c>
      <c r="J8" s="16" t="s">
        <v>60</v>
      </c>
      <c r="K8" s="16" t="s">
        <v>4</v>
      </c>
      <c r="L8" s="66">
        <v>309</v>
      </c>
      <c r="M8" s="19" t="s">
        <v>79</v>
      </c>
      <c r="N8" s="16" t="s">
        <v>76</v>
      </c>
      <c r="O8" s="11" t="s">
        <v>55</v>
      </c>
      <c r="P8" s="99" t="s">
        <v>80</v>
      </c>
      <c r="Q8" s="98">
        <f t="shared" ca="1" si="2"/>
        <v>413</v>
      </c>
    </row>
    <row r="9" spans="1:18">
      <c r="A9" s="39">
        <f t="shared" si="0"/>
        <v>7</v>
      </c>
      <c r="B9" s="33" t="s">
        <v>63</v>
      </c>
      <c r="C9" s="16" t="s">
        <v>81</v>
      </c>
      <c r="D9" s="16" t="s">
        <v>82</v>
      </c>
      <c r="E9" s="51">
        <v>300</v>
      </c>
      <c r="F9" s="51">
        <v>2250</v>
      </c>
      <c r="G9" s="51">
        <v>88</v>
      </c>
      <c r="H9" s="16">
        <f t="shared" si="1"/>
        <v>26400</v>
      </c>
      <c r="I9" s="16" t="s">
        <v>74</v>
      </c>
      <c r="J9" s="16" t="s">
        <v>60</v>
      </c>
      <c r="K9" s="16" t="s">
        <v>4</v>
      </c>
      <c r="L9" s="66">
        <v>271</v>
      </c>
      <c r="M9" s="19" t="s">
        <v>83</v>
      </c>
      <c r="N9" s="16" t="s">
        <v>76</v>
      </c>
      <c r="O9" s="11" t="s">
        <v>55</v>
      </c>
      <c r="P9" s="99">
        <v>45750</v>
      </c>
      <c r="Q9" s="98">
        <f t="shared" ca="1" si="2"/>
        <v>375</v>
      </c>
    </row>
    <row r="10" spans="1:18">
      <c r="A10" s="39">
        <f t="shared" si="0"/>
        <v>8</v>
      </c>
      <c r="B10" s="33" t="s">
        <v>63</v>
      </c>
      <c r="C10" s="16" t="s">
        <v>84</v>
      </c>
      <c r="D10" s="16" t="s">
        <v>85</v>
      </c>
      <c r="E10" s="51">
        <v>300</v>
      </c>
      <c r="F10" s="51">
        <v>1790</v>
      </c>
      <c r="G10" s="51">
        <v>135</v>
      </c>
      <c r="H10" s="16">
        <f t="shared" si="1"/>
        <v>40500</v>
      </c>
      <c r="I10" s="16" t="s">
        <v>86</v>
      </c>
      <c r="J10" s="16" t="s">
        <v>87</v>
      </c>
      <c r="K10" s="16" t="s">
        <v>4</v>
      </c>
      <c r="L10" s="66">
        <v>295</v>
      </c>
      <c r="M10" s="19" t="s">
        <v>88</v>
      </c>
      <c r="N10" s="16" t="s">
        <v>89</v>
      </c>
      <c r="O10" s="11" t="s">
        <v>55</v>
      </c>
      <c r="P10" s="99" t="s">
        <v>90</v>
      </c>
      <c r="Q10" s="98">
        <f t="shared" ca="1" si="2"/>
        <v>382</v>
      </c>
    </row>
    <row r="11" spans="1:18">
      <c r="A11" s="39">
        <f t="shared" si="0"/>
        <v>9</v>
      </c>
      <c r="B11" s="33">
        <v>45718</v>
      </c>
      <c r="C11" s="16" t="s">
        <v>91</v>
      </c>
      <c r="D11" s="16" t="s">
        <v>92</v>
      </c>
      <c r="E11" s="51">
        <v>500</v>
      </c>
      <c r="F11" s="51">
        <v>1100</v>
      </c>
      <c r="G11" s="51">
        <v>85</v>
      </c>
      <c r="H11" s="16">
        <f t="shared" si="1"/>
        <v>42500</v>
      </c>
      <c r="I11" s="16" t="s">
        <v>74</v>
      </c>
      <c r="J11" s="16" t="s">
        <v>60</v>
      </c>
      <c r="K11" s="16" t="s">
        <v>4</v>
      </c>
      <c r="L11" s="66">
        <v>501</v>
      </c>
      <c r="M11" s="19" t="s">
        <v>93</v>
      </c>
      <c r="N11" s="16" t="s">
        <v>89</v>
      </c>
      <c r="O11" s="11" t="s">
        <v>55</v>
      </c>
      <c r="P11" s="99" t="s">
        <v>94</v>
      </c>
      <c r="Q11" s="98">
        <f t="shared" ca="1" si="2"/>
        <v>388</v>
      </c>
    </row>
    <row r="12" spans="1:18">
      <c r="A12" s="39">
        <f t="shared" si="0"/>
        <v>10</v>
      </c>
      <c r="B12" s="33">
        <v>45718</v>
      </c>
      <c r="C12" s="16" t="s">
        <v>95</v>
      </c>
      <c r="D12" s="16" t="s">
        <v>96</v>
      </c>
      <c r="E12" s="51">
        <v>500</v>
      </c>
      <c r="F12" s="51">
        <v>1200</v>
      </c>
      <c r="G12" s="51">
        <v>90</v>
      </c>
      <c r="H12" s="16">
        <f t="shared" si="1"/>
        <v>45000</v>
      </c>
      <c r="I12" s="16" t="s">
        <v>74</v>
      </c>
      <c r="J12" s="16" t="s">
        <v>60</v>
      </c>
      <c r="K12" s="16" t="s">
        <v>4</v>
      </c>
      <c r="L12" s="66">
        <v>492</v>
      </c>
      <c r="M12" s="19" t="s">
        <v>93</v>
      </c>
      <c r="N12" s="16" t="s">
        <v>89</v>
      </c>
      <c r="O12" s="11" t="s">
        <v>55</v>
      </c>
      <c r="P12" s="99" t="s">
        <v>94</v>
      </c>
      <c r="Q12" s="98">
        <f t="shared" ca="1" si="2"/>
        <v>388</v>
      </c>
    </row>
    <row r="13" spans="1:18">
      <c r="A13" s="58">
        <f t="shared" si="0"/>
        <v>11</v>
      </c>
      <c r="B13" s="59">
        <v>45779</v>
      </c>
      <c r="C13" s="60" t="s">
        <v>97</v>
      </c>
      <c r="D13" s="60" t="s">
        <v>98</v>
      </c>
      <c r="E13" s="61">
        <v>2000</v>
      </c>
      <c r="F13" s="61">
        <v>85</v>
      </c>
      <c r="G13" s="61">
        <v>11</v>
      </c>
      <c r="H13" s="60">
        <f t="shared" si="1"/>
        <v>22000</v>
      </c>
      <c r="I13" s="60" t="s">
        <v>99</v>
      </c>
      <c r="J13" s="60" t="s">
        <v>100</v>
      </c>
      <c r="K13" s="60" t="s">
        <v>5</v>
      </c>
      <c r="L13" s="67">
        <v>2146</v>
      </c>
      <c r="M13" s="62" t="s">
        <v>101</v>
      </c>
      <c r="N13" s="60" t="s">
        <v>102</v>
      </c>
      <c r="O13" s="11" t="s">
        <v>55</v>
      </c>
      <c r="P13" s="99">
        <v>45769.526747685188</v>
      </c>
      <c r="Q13" s="98">
        <f t="shared" ca="1" si="2"/>
        <v>355.47325231481227</v>
      </c>
    </row>
    <row r="14" spans="1:18">
      <c r="A14" s="58">
        <f t="shared" si="0"/>
        <v>12</v>
      </c>
      <c r="B14" s="59">
        <v>45779</v>
      </c>
      <c r="C14" s="60" t="s">
        <v>103</v>
      </c>
      <c r="D14" s="60" t="s">
        <v>104</v>
      </c>
      <c r="E14" s="61">
        <v>500</v>
      </c>
      <c r="F14" s="61">
        <v>270</v>
      </c>
      <c r="G14" s="61">
        <v>44</v>
      </c>
      <c r="H14" s="60">
        <f t="shared" si="1"/>
        <v>22000</v>
      </c>
      <c r="I14" s="60" t="s">
        <v>105</v>
      </c>
      <c r="J14" s="60" t="s">
        <v>100</v>
      </c>
      <c r="K14" s="60" t="s">
        <v>5</v>
      </c>
      <c r="L14" s="67">
        <v>484</v>
      </c>
      <c r="M14" s="62" t="s">
        <v>106</v>
      </c>
      <c r="N14" s="60" t="s">
        <v>102</v>
      </c>
      <c r="O14" s="11" t="s">
        <v>55</v>
      </c>
      <c r="P14" s="99">
        <v>45783.607465277775</v>
      </c>
      <c r="Q14" s="98">
        <f t="shared" ca="1" si="2"/>
        <v>341.39253472222481</v>
      </c>
    </row>
    <row r="15" spans="1:18">
      <c r="A15" s="58">
        <f t="shared" si="0"/>
        <v>13</v>
      </c>
      <c r="B15" s="59">
        <v>45779</v>
      </c>
      <c r="C15" s="60" t="s">
        <v>107</v>
      </c>
      <c r="D15" s="60" t="s">
        <v>108</v>
      </c>
      <c r="E15" s="61">
        <v>500</v>
      </c>
      <c r="F15" s="61">
        <v>270</v>
      </c>
      <c r="G15" s="61">
        <v>42.5</v>
      </c>
      <c r="H15" s="60">
        <f t="shared" si="1"/>
        <v>21250</v>
      </c>
      <c r="I15" s="60" t="s">
        <v>109</v>
      </c>
      <c r="J15" s="60" t="s">
        <v>100</v>
      </c>
      <c r="K15" s="60" t="s">
        <v>5</v>
      </c>
      <c r="L15" s="67">
        <v>474</v>
      </c>
      <c r="M15" s="62" t="s">
        <v>106</v>
      </c>
      <c r="N15" s="60" t="s">
        <v>102</v>
      </c>
      <c r="O15" s="11" t="s">
        <v>55</v>
      </c>
      <c r="P15" s="99">
        <v>45783.60728009259</v>
      </c>
      <c r="Q15" s="98">
        <f t="shared" ca="1" si="2"/>
        <v>341.39271990740963</v>
      </c>
    </row>
    <row r="16" spans="1:18">
      <c r="A16" s="39">
        <f t="shared" si="0"/>
        <v>14</v>
      </c>
      <c r="B16" s="33">
        <v>45779</v>
      </c>
      <c r="C16" s="16" t="s">
        <v>110</v>
      </c>
      <c r="D16" s="16" t="s">
        <v>111</v>
      </c>
      <c r="E16" s="51">
        <v>300</v>
      </c>
      <c r="F16" s="51">
        <v>1090</v>
      </c>
      <c r="G16" s="51">
        <v>67</v>
      </c>
      <c r="H16" s="16">
        <f t="shared" si="1"/>
        <v>20100</v>
      </c>
      <c r="I16" s="16" t="s">
        <v>112</v>
      </c>
      <c r="J16" s="16" t="s">
        <v>113</v>
      </c>
      <c r="K16" s="16" t="s">
        <v>9</v>
      </c>
      <c r="L16" s="66">
        <v>302</v>
      </c>
      <c r="M16" s="19" t="s">
        <v>114</v>
      </c>
      <c r="N16" s="16" t="s">
        <v>54</v>
      </c>
      <c r="O16" s="11" t="s">
        <v>55</v>
      </c>
      <c r="P16" s="99" t="s">
        <v>115</v>
      </c>
      <c r="Q16" s="98">
        <f t="shared" ca="1" si="2"/>
        <v>383</v>
      </c>
    </row>
    <row r="17" spans="1:17">
      <c r="A17" s="39">
        <f t="shared" si="0"/>
        <v>15</v>
      </c>
      <c r="B17" s="33">
        <v>45810</v>
      </c>
      <c r="C17" s="16" t="s">
        <v>116</v>
      </c>
      <c r="D17" s="16" t="s">
        <v>117</v>
      </c>
      <c r="E17" s="51">
        <v>500</v>
      </c>
      <c r="F17" s="51">
        <v>1750</v>
      </c>
      <c r="G17" s="51">
        <v>65</v>
      </c>
      <c r="H17" s="16">
        <f t="shared" si="1"/>
        <v>32500</v>
      </c>
      <c r="I17" s="16" t="s">
        <v>118</v>
      </c>
      <c r="J17" s="16" t="s">
        <v>60</v>
      </c>
      <c r="K17" s="16" t="s">
        <v>15</v>
      </c>
      <c r="L17" s="66">
        <v>529</v>
      </c>
      <c r="M17" s="19" t="s">
        <v>55</v>
      </c>
      <c r="N17" s="16" t="s">
        <v>54</v>
      </c>
      <c r="O17" s="11" t="s">
        <v>55</v>
      </c>
      <c r="P17" s="99">
        <v>45720</v>
      </c>
      <c r="Q17" s="98">
        <f t="shared" ca="1" si="2"/>
        <v>405</v>
      </c>
    </row>
    <row r="18" spans="1:17">
      <c r="A18" s="39">
        <f t="shared" si="0"/>
        <v>16</v>
      </c>
      <c r="B18" s="33">
        <v>45810</v>
      </c>
      <c r="C18" s="16" t="s">
        <v>119</v>
      </c>
      <c r="D18" s="16" t="s">
        <v>120</v>
      </c>
      <c r="E18" s="51">
        <v>500</v>
      </c>
      <c r="F18" s="51">
        <v>1450</v>
      </c>
      <c r="G18" s="51">
        <v>52</v>
      </c>
      <c r="H18" s="16">
        <f t="shared" si="1"/>
        <v>26000</v>
      </c>
      <c r="I18" s="16" t="s">
        <v>118</v>
      </c>
      <c r="J18" s="16" t="s">
        <v>60</v>
      </c>
      <c r="K18" s="16" t="s">
        <v>22</v>
      </c>
      <c r="L18" s="66">
        <v>495</v>
      </c>
      <c r="M18" s="19" t="s">
        <v>55</v>
      </c>
      <c r="N18" s="16" t="s">
        <v>54</v>
      </c>
      <c r="O18" s="11" t="s">
        <v>55</v>
      </c>
      <c r="P18" s="99" t="s">
        <v>121</v>
      </c>
      <c r="Q18" s="98">
        <f t="shared" ca="1" si="2"/>
        <v>362.30277777777519</v>
      </c>
    </row>
    <row r="19" spans="1:17">
      <c r="A19" s="39">
        <f t="shared" si="0"/>
        <v>17</v>
      </c>
      <c r="B19" s="33" t="s">
        <v>122</v>
      </c>
      <c r="C19" s="16" t="s">
        <v>123</v>
      </c>
      <c r="D19" s="16" t="s">
        <v>124</v>
      </c>
      <c r="E19" s="51">
        <v>300</v>
      </c>
      <c r="F19" s="51">
        <v>2500</v>
      </c>
      <c r="G19" s="51">
        <v>150</v>
      </c>
      <c r="H19" s="16">
        <f t="shared" si="1"/>
        <v>45000</v>
      </c>
      <c r="I19" s="16" t="s">
        <v>125</v>
      </c>
      <c r="J19" s="16" t="s">
        <v>113</v>
      </c>
      <c r="K19" s="16" t="s">
        <v>9</v>
      </c>
      <c r="L19" s="66">
        <v>297</v>
      </c>
      <c r="M19" s="19" t="s">
        <v>126</v>
      </c>
      <c r="N19" s="16" t="s">
        <v>54</v>
      </c>
      <c r="O19" s="11" t="s">
        <v>55</v>
      </c>
      <c r="P19" s="99" t="s">
        <v>127</v>
      </c>
      <c r="Q19" s="98">
        <f t="shared" ca="1" si="2"/>
        <v>380</v>
      </c>
    </row>
    <row r="20" spans="1:17">
      <c r="A20" s="39">
        <f t="shared" si="0"/>
        <v>18</v>
      </c>
      <c r="B20" s="33" t="s">
        <v>122</v>
      </c>
      <c r="C20" s="16" t="s">
        <v>128</v>
      </c>
      <c r="D20" s="16" t="s">
        <v>129</v>
      </c>
      <c r="E20" s="51">
        <v>300</v>
      </c>
      <c r="F20" s="51">
        <v>1400</v>
      </c>
      <c r="G20" s="51">
        <v>70</v>
      </c>
      <c r="H20" s="16">
        <f t="shared" si="1"/>
        <v>21000</v>
      </c>
      <c r="I20" s="16" t="s">
        <v>59</v>
      </c>
      <c r="J20" s="16" t="s">
        <v>113</v>
      </c>
      <c r="K20" s="16" t="s">
        <v>9</v>
      </c>
      <c r="L20" s="66">
        <v>288</v>
      </c>
      <c r="M20" s="19" t="s">
        <v>114</v>
      </c>
      <c r="N20" s="16" t="s">
        <v>54</v>
      </c>
      <c r="O20" s="11" t="s">
        <v>55</v>
      </c>
      <c r="P20" s="99" t="s">
        <v>115</v>
      </c>
      <c r="Q20" s="98">
        <f t="shared" ca="1" si="2"/>
        <v>383</v>
      </c>
    </row>
    <row r="21" spans="1:17">
      <c r="A21" s="38">
        <f t="shared" si="0"/>
        <v>19</v>
      </c>
      <c r="B21" s="32">
        <v>45810</v>
      </c>
      <c r="C21" s="15" t="s">
        <v>130</v>
      </c>
      <c r="D21" s="15" t="s">
        <v>131</v>
      </c>
      <c r="E21" s="50">
        <v>300</v>
      </c>
      <c r="F21" s="50">
        <v>780</v>
      </c>
      <c r="G21" s="50">
        <v>72</v>
      </c>
      <c r="H21" s="15">
        <f t="shared" si="1"/>
        <v>21600</v>
      </c>
      <c r="I21" s="15" t="s">
        <v>132</v>
      </c>
      <c r="J21" s="15" t="s">
        <v>60</v>
      </c>
      <c r="K21" s="15" t="s">
        <v>22</v>
      </c>
      <c r="L21" s="65" t="s">
        <v>133</v>
      </c>
      <c r="M21" s="22" t="s">
        <v>134</v>
      </c>
      <c r="N21" s="15" t="s">
        <v>54</v>
      </c>
      <c r="O21" s="11" t="s">
        <v>135</v>
      </c>
      <c r="P21" s="99">
        <v>45726</v>
      </c>
      <c r="Q21" s="98">
        <f t="shared" ca="1" si="2"/>
        <v>399</v>
      </c>
    </row>
    <row r="22" spans="1:17">
      <c r="A22" s="58">
        <f t="shared" si="0"/>
        <v>20</v>
      </c>
      <c r="B22" s="59">
        <v>45810</v>
      </c>
      <c r="C22" s="60" t="s">
        <v>136</v>
      </c>
      <c r="D22" s="60" t="s">
        <v>137</v>
      </c>
      <c r="E22" s="61">
        <v>300</v>
      </c>
      <c r="F22" s="61">
        <v>880</v>
      </c>
      <c r="G22" s="61">
        <v>68</v>
      </c>
      <c r="H22" s="60">
        <f t="shared" si="1"/>
        <v>20400</v>
      </c>
      <c r="I22" s="60" t="s">
        <v>66</v>
      </c>
      <c r="J22" s="60" t="s">
        <v>60</v>
      </c>
      <c r="K22" s="60" t="s">
        <v>22</v>
      </c>
      <c r="L22" s="67">
        <v>296</v>
      </c>
      <c r="M22" s="62" t="s">
        <v>71</v>
      </c>
      <c r="N22" s="60" t="s">
        <v>54</v>
      </c>
      <c r="O22" s="11" t="s">
        <v>55</v>
      </c>
      <c r="P22" s="99">
        <v>45771.51363425926</v>
      </c>
      <c r="Q22" s="98">
        <f t="shared" ca="1" si="2"/>
        <v>353.48636574074044</v>
      </c>
    </row>
    <row r="23" spans="1:17">
      <c r="A23" s="39">
        <f t="shared" si="0"/>
        <v>21</v>
      </c>
      <c r="B23" s="33">
        <v>45810</v>
      </c>
      <c r="C23" s="16" t="s">
        <v>138</v>
      </c>
      <c r="D23" s="16" t="s">
        <v>139</v>
      </c>
      <c r="E23" s="51">
        <v>300</v>
      </c>
      <c r="F23" s="51">
        <v>980</v>
      </c>
      <c r="G23" s="51">
        <v>65</v>
      </c>
      <c r="H23" s="16">
        <f t="shared" si="1"/>
        <v>19500</v>
      </c>
      <c r="I23" s="16" t="s">
        <v>59</v>
      </c>
      <c r="J23" s="16" t="s">
        <v>60</v>
      </c>
      <c r="K23" s="16" t="s">
        <v>22</v>
      </c>
      <c r="L23" s="66">
        <v>298</v>
      </c>
      <c r="M23" s="19" t="s">
        <v>61</v>
      </c>
      <c r="N23" s="16" t="s">
        <v>54</v>
      </c>
      <c r="O23" s="11" t="s">
        <v>55</v>
      </c>
      <c r="P23" s="99" t="s">
        <v>140</v>
      </c>
      <c r="Q23" s="98">
        <f t="shared" ca="1" si="2"/>
        <v>362.34027777778101</v>
      </c>
    </row>
    <row r="24" spans="1:17">
      <c r="A24" s="58">
        <f t="shared" si="0"/>
        <v>22</v>
      </c>
      <c r="B24" s="59">
        <v>45810</v>
      </c>
      <c r="C24" s="60" t="s">
        <v>141</v>
      </c>
      <c r="D24" s="60" t="s">
        <v>142</v>
      </c>
      <c r="E24" s="61">
        <v>3000</v>
      </c>
      <c r="F24" s="61">
        <v>110</v>
      </c>
      <c r="G24" s="135">
        <v>9.4</v>
      </c>
      <c r="H24" s="60">
        <f t="shared" si="1"/>
        <v>28200</v>
      </c>
      <c r="I24" s="60" t="s">
        <v>143</v>
      </c>
      <c r="J24" s="60" t="s">
        <v>144</v>
      </c>
      <c r="K24" s="60" t="s">
        <v>22</v>
      </c>
      <c r="L24" s="67">
        <v>1944</v>
      </c>
      <c r="M24" s="62" t="s">
        <v>145</v>
      </c>
      <c r="N24" s="60" t="s">
        <v>54</v>
      </c>
      <c r="O24" s="11" t="s">
        <v>55</v>
      </c>
      <c r="P24" s="99">
        <v>45771.514525462961</v>
      </c>
      <c r="Q24" s="98">
        <f t="shared" ca="1" si="2"/>
        <v>353.48547453703941</v>
      </c>
    </row>
    <row r="25" spans="1:17">
      <c r="A25" s="39">
        <f t="shared" si="0"/>
        <v>23</v>
      </c>
      <c r="B25" s="33">
        <v>45810</v>
      </c>
      <c r="C25" s="16" t="s">
        <v>146</v>
      </c>
      <c r="D25" s="16" t="s">
        <v>147</v>
      </c>
      <c r="E25" s="51">
        <v>300</v>
      </c>
      <c r="F25" s="51">
        <v>1750</v>
      </c>
      <c r="G25" s="51">
        <v>150</v>
      </c>
      <c r="H25" s="16">
        <f t="shared" si="1"/>
        <v>45000</v>
      </c>
      <c r="I25" s="16" t="s">
        <v>66</v>
      </c>
      <c r="J25" s="16" t="s">
        <v>87</v>
      </c>
      <c r="K25" s="16" t="s">
        <v>15</v>
      </c>
      <c r="L25" s="66">
        <v>323</v>
      </c>
      <c r="M25" s="19" t="s">
        <v>148</v>
      </c>
      <c r="N25" s="16" t="s">
        <v>76</v>
      </c>
      <c r="O25" s="11" t="s">
        <v>55</v>
      </c>
      <c r="P25" s="99">
        <v>45758</v>
      </c>
      <c r="Q25" s="98">
        <f t="shared" ca="1" si="2"/>
        <v>367</v>
      </c>
    </row>
    <row r="26" spans="1:17">
      <c r="A26" s="39">
        <f t="shared" si="0"/>
        <v>24</v>
      </c>
      <c r="B26" s="33" t="s">
        <v>149</v>
      </c>
      <c r="C26" s="16" t="s">
        <v>150</v>
      </c>
      <c r="D26" s="16" t="s">
        <v>151</v>
      </c>
      <c r="E26" s="51">
        <v>250</v>
      </c>
      <c r="F26" s="51">
        <v>2450</v>
      </c>
      <c r="G26" s="51">
        <v>240</v>
      </c>
      <c r="H26" s="16">
        <f t="shared" si="1"/>
        <v>60000</v>
      </c>
      <c r="I26" s="16" t="s">
        <v>152</v>
      </c>
      <c r="J26" s="16" t="s">
        <v>60</v>
      </c>
      <c r="K26" s="16" t="s">
        <v>4</v>
      </c>
      <c r="L26" s="66">
        <v>247</v>
      </c>
      <c r="M26" s="19" t="s">
        <v>153</v>
      </c>
      <c r="N26" s="16" t="s">
        <v>76</v>
      </c>
      <c r="O26" s="11" t="s">
        <v>55</v>
      </c>
      <c r="P26" s="99">
        <v>45758</v>
      </c>
      <c r="Q26" s="98">
        <f t="shared" ca="1" si="2"/>
        <v>367</v>
      </c>
    </row>
    <row r="27" spans="1:17">
      <c r="A27" s="58">
        <f t="shared" si="0"/>
        <v>25</v>
      </c>
      <c r="B27" s="59">
        <v>45811</v>
      </c>
      <c r="C27" s="60" t="s">
        <v>154</v>
      </c>
      <c r="D27" s="60" t="s">
        <v>155</v>
      </c>
      <c r="E27" s="61">
        <v>300</v>
      </c>
      <c r="F27" s="61">
        <v>2200</v>
      </c>
      <c r="G27" s="61">
        <v>125</v>
      </c>
      <c r="H27" s="60">
        <f t="shared" si="1"/>
        <v>37500</v>
      </c>
      <c r="I27" s="60" t="s">
        <v>66</v>
      </c>
      <c r="J27" s="60" t="s">
        <v>60</v>
      </c>
      <c r="K27" s="60" t="s">
        <v>26</v>
      </c>
      <c r="L27" s="67">
        <v>297</v>
      </c>
      <c r="M27" s="62" t="s">
        <v>156</v>
      </c>
      <c r="N27" s="60" t="s">
        <v>76</v>
      </c>
      <c r="O27" s="11" t="s">
        <v>55</v>
      </c>
      <c r="P27" s="99">
        <v>45790.451435185183</v>
      </c>
      <c r="Q27" s="98">
        <f t="shared" ca="1" si="2"/>
        <v>334.54856481481693</v>
      </c>
    </row>
    <row r="28" spans="1:17">
      <c r="A28" s="39">
        <f t="shared" si="0"/>
        <v>26</v>
      </c>
      <c r="B28" s="33">
        <v>45810</v>
      </c>
      <c r="C28" s="16" t="s">
        <v>157</v>
      </c>
      <c r="D28" s="16" t="s">
        <v>158</v>
      </c>
      <c r="E28" s="51">
        <v>300</v>
      </c>
      <c r="F28" s="51">
        <v>1400</v>
      </c>
      <c r="G28" s="51">
        <v>90</v>
      </c>
      <c r="H28" s="16">
        <f t="shared" si="1"/>
        <v>27000</v>
      </c>
      <c r="I28" s="16" t="s">
        <v>66</v>
      </c>
      <c r="J28" s="16" t="s">
        <v>87</v>
      </c>
      <c r="K28" s="16" t="s">
        <v>15</v>
      </c>
      <c r="L28" s="66">
        <v>334</v>
      </c>
      <c r="M28" s="19" t="s">
        <v>88</v>
      </c>
      <c r="N28" s="16" t="s">
        <v>76</v>
      </c>
      <c r="O28" s="11" t="s">
        <v>55</v>
      </c>
      <c r="P28" s="99" t="s">
        <v>90</v>
      </c>
      <c r="Q28" s="98">
        <f t="shared" ca="1" si="2"/>
        <v>382</v>
      </c>
    </row>
    <row r="29" spans="1:17">
      <c r="A29" s="58">
        <f t="shared" si="0"/>
        <v>27</v>
      </c>
      <c r="B29" s="59">
        <v>45840</v>
      </c>
      <c r="C29" s="60" t="s">
        <v>159</v>
      </c>
      <c r="D29" s="60" t="s">
        <v>160</v>
      </c>
      <c r="E29" s="61">
        <v>500</v>
      </c>
      <c r="F29" s="61">
        <v>1150</v>
      </c>
      <c r="G29" s="61">
        <v>70</v>
      </c>
      <c r="H29" s="60">
        <f t="shared" si="1"/>
        <v>35000</v>
      </c>
      <c r="I29" s="60" t="s">
        <v>66</v>
      </c>
      <c r="J29" s="60" t="s">
        <v>87</v>
      </c>
      <c r="K29" s="60" t="s">
        <v>24</v>
      </c>
      <c r="L29" s="67">
        <v>495</v>
      </c>
      <c r="M29" s="62" t="s">
        <v>161</v>
      </c>
      <c r="N29" s="60" t="s">
        <v>89</v>
      </c>
      <c r="O29" s="11" t="s">
        <v>55</v>
      </c>
      <c r="P29" s="99">
        <v>45772.548090277778</v>
      </c>
      <c r="Q29" s="98">
        <f t="shared" ca="1" si="2"/>
        <v>352.4519097222219</v>
      </c>
    </row>
    <row r="30" spans="1:17">
      <c r="A30" s="58">
        <f t="shared" si="0"/>
        <v>28</v>
      </c>
      <c r="B30" s="59">
        <v>45932</v>
      </c>
      <c r="C30" s="60" t="s">
        <v>162</v>
      </c>
      <c r="D30" s="60" t="s">
        <v>163</v>
      </c>
      <c r="E30" s="61">
        <v>300</v>
      </c>
      <c r="F30" s="61">
        <v>1450</v>
      </c>
      <c r="G30" s="61">
        <v>115</v>
      </c>
      <c r="H30" s="60">
        <f t="shared" si="1"/>
        <v>34500</v>
      </c>
      <c r="I30" s="60" t="s">
        <v>66</v>
      </c>
      <c r="J30" s="60" t="s">
        <v>60</v>
      </c>
      <c r="K30" s="60" t="s">
        <v>15</v>
      </c>
      <c r="L30" s="67">
        <v>333</v>
      </c>
      <c r="M30" s="62" t="s">
        <v>164</v>
      </c>
      <c r="N30" s="60" t="s">
        <v>165</v>
      </c>
      <c r="O30" s="11" t="s">
        <v>55</v>
      </c>
      <c r="P30" s="99">
        <v>45780.529791666668</v>
      </c>
      <c r="Q30" s="98">
        <f t="shared" ca="1" si="2"/>
        <v>344.47020833333227</v>
      </c>
    </row>
    <row r="31" spans="1:17">
      <c r="A31" s="38">
        <f t="shared" si="0"/>
        <v>29</v>
      </c>
      <c r="B31" s="32">
        <v>45932</v>
      </c>
      <c r="C31" s="15" t="s">
        <v>166</v>
      </c>
      <c r="D31" s="15" t="s">
        <v>167</v>
      </c>
      <c r="E31" s="50">
        <v>300</v>
      </c>
      <c r="F31" s="50">
        <v>1950</v>
      </c>
      <c r="G31" s="50">
        <v>210</v>
      </c>
      <c r="H31" s="15">
        <f t="shared" si="1"/>
        <v>63000</v>
      </c>
      <c r="I31" s="15" t="s">
        <v>66</v>
      </c>
      <c r="J31" s="15" t="s">
        <v>60</v>
      </c>
      <c r="K31" s="15" t="s">
        <v>26</v>
      </c>
      <c r="L31" s="65" t="s">
        <v>133</v>
      </c>
      <c r="M31" s="22" t="s">
        <v>168</v>
      </c>
      <c r="N31" s="15" t="s">
        <v>165</v>
      </c>
      <c r="O31" s="11" t="s">
        <v>135</v>
      </c>
      <c r="P31" s="99" t="s">
        <v>68</v>
      </c>
      <c r="Q31" s="98">
        <f t="shared" ca="1" si="2"/>
        <v>392</v>
      </c>
    </row>
    <row r="32" spans="1:17">
      <c r="A32" s="40">
        <f t="shared" si="0"/>
        <v>30</v>
      </c>
      <c r="B32" s="34">
        <v>45932</v>
      </c>
      <c r="C32" s="17" t="s">
        <v>169</v>
      </c>
      <c r="D32" s="17" t="s">
        <v>170</v>
      </c>
      <c r="E32" s="52">
        <v>300</v>
      </c>
      <c r="F32" s="52">
        <v>2190</v>
      </c>
      <c r="G32" s="52">
        <v>230</v>
      </c>
      <c r="H32" s="17">
        <f t="shared" si="1"/>
        <v>69000</v>
      </c>
      <c r="I32" s="17" t="s">
        <v>66</v>
      </c>
      <c r="J32" s="17" t="s">
        <v>60</v>
      </c>
      <c r="K32" s="17" t="s">
        <v>4</v>
      </c>
      <c r="L32" s="68" t="s">
        <v>133</v>
      </c>
      <c r="M32" s="28" t="s">
        <v>171</v>
      </c>
      <c r="N32" s="17" t="s">
        <v>165</v>
      </c>
      <c r="O32" s="11" t="s">
        <v>135</v>
      </c>
      <c r="P32" s="99">
        <v>45723</v>
      </c>
      <c r="Q32" s="98">
        <f t="shared" ca="1" si="2"/>
        <v>402</v>
      </c>
    </row>
    <row r="33" spans="1:17">
      <c r="A33" s="58">
        <f t="shared" si="0"/>
        <v>31</v>
      </c>
      <c r="B33" s="59" t="s">
        <v>172</v>
      </c>
      <c r="C33" s="60" t="s">
        <v>173</v>
      </c>
      <c r="D33" s="60" t="s">
        <v>174</v>
      </c>
      <c r="E33" s="61">
        <v>300</v>
      </c>
      <c r="F33" s="61">
        <v>1780</v>
      </c>
      <c r="G33" s="61">
        <v>90</v>
      </c>
      <c r="H33" s="60">
        <f t="shared" si="1"/>
        <v>27000</v>
      </c>
      <c r="I33" s="60" t="s">
        <v>66</v>
      </c>
      <c r="J33" s="60" t="s">
        <v>60</v>
      </c>
      <c r="K33" s="60" t="s">
        <v>4</v>
      </c>
      <c r="L33" s="67">
        <v>305</v>
      </c>
      <c r="M33" s="62" t="s">
        <v>175</v>
      </c>
      <c r="N33" s="60" t="s">
        <v>165</v>
      </c>
      <c r="O33" s="11" t="s">
        <v>55</v>
      </c>
      <c r="P33" s="99">
        <v>45784.710706018515</v>
      </c>
      <c r="Q33" s="98">
        <f t="shared" ca="1" si="2"/>
        <v>340.28929398148466</v>
      </c>
    </row>
    <row r="34" spans="1:17">
      <c r="A34" s="38">
        <f t="shared" si="0"/>
        <v>32</v>
      </c>
      <c r="B34" s="32">
        <v>45932</v>
      </c>
      <c r="C34" s="15" t="s">
        <v>176</v>
      </c>
      <c r="D34" s="15" t="s">
        <v>177</v>
      </c>
      <c r="E34" s="50">
        <v>300</v>
      </c>
      <c r="F34" s="50">
        <v>1950</v>
      </c>
      <c r="G34" s="50">
        <v>115</v>
      </c>
      <c r="H34" s="15">
        <f t="shared" si="1"/>
        <v>34500</v>
      </c>
      <c r="I34" s="15" t="s">
        <v>66</v>
      </c>
      <c r="J34" s="15" t="s">
        <v>60</v>
      </c>
      <c r="K34" s="15" t="s">
        <v>4</v>
      </c>
      <c r="L34" s="65" t="s">
        <v>133</v>
      </c>
      <c r="M34" s="22" t="s">
        <v>178</v>
      </c>
      <c r="N34" s="15" t="s">
        <v>165</v>
      </c>
      <c r="O34" s="11" t="s">
        <v>135</v>
      </c>
      <c r="P34" s="99">
        <v>45728</v>
      </c>
      <c r="Q34" s="98">
        <f t="shared" ca="1" si="2"/>
        <v>397</v>
      </c>
    </row>
    <row r="35" spans="1:17">
      <c r="A35" s="39">
        <f t="shared" si="0"/>
        <v>33</v>
      </c>
      <c r="B35" s="33">
        <v>45932</v>
      </c>
      <c r="C35" s="16" t="s">
        <v>179</v>
      </c>
      <c r="D35" s="16" t="s">
        <v>180</v>
      </c>
      <c r="E35" s="51">
        <v>300</v>
      </c>
      <c r="F35" s="51">
        <v>1470</v>
      </c>
      <c r="G35" s="51">
        <v>145</v>
      </c>
      <c r="H35" s="16">
        <f t="shared" si="1"/>
        <v>43500</v>
      </c>
      <c r="I35" s="16" t="s">
        <v>66</v>
      </c>
      <c r="J35" s="16" t="s">
        <v>60</v>
      </c>
      <c r="K35" s="16" t="s">
        <v>15</v>
      </c>
      <c r="L35" s="66">
        <v>346</v>
      </c>
      <c r="M35" s="19" t="s">
        <v>181</v>
      </c>
      <c r="N35" s="16" t="s">
        <v>165</v>
      </c>
      <c r="O35" s="11" t="s">
        <v>55</v>
      </c>
      <c r="P35" s="99" t="s">
        <v>182</v>
      </c>
      <c r="Q35" s="98">
        <f t="shared" ca="1" si="2"/>
        <v>358.22222222221899</v>
      </c>
    </row>
    <row r="36" spans="1:17">
      <c r="A36" s="58">
        <f t="shared" si="0"/>
        <v>34</v>
      </c>
      <c r="B36" s="59">
        <v>45932</v>
      </c>
      <c r="C36" s="60" t="s">
        <v>183</v>
      </c>
      <c r="D36" s="60" t="s">
        <v>184</v>
      </c>
      <c r="E36" s="61">
        <v>500</v>
      </c>
      <c r="F36" s="61">
        <v>480</v>
      </c>
      <c r="G36" s="61">
        <v>26</v>
      </c>
      <c r="H36" s="60">
        <f t="shared" si="1"/>
        <v>13000</v>
      </c>
      <c r="I36" s="60" t="s">
        <v>66</v>
      </c>
      <c r="J36" s="60" t="s">
        <v>60</v>
      </c>
      <c r="K36" s="60" t="s">
        <v>22</v>
      </c>
      <c r="L36" s="67">
        <v>512</v>
      </c>
      <c r="M36" s="62" t="s">
        <v>185</v>
      </c>
      <c r="N36" s="60" t="s">
        <v>186</v>
      </c>
      <c r="O36" s="11" t="s">
        <v>55</v>
      </c>
      <c r="P36" s="99">
        <v>45780.515717592592</v>
      </c>
      <c r="Q36" s="98">
        <f t="shared" ca="1" si="2"/>
        <v>344.48428240740759</v>
      </c>
    </row>
    <row r="37" spans="1:17">
      <c r="A37" s="38">
        <f t="shared" si="0"/>
        <v>35</v>
      </c>
      <c r="B37" s="32">
        <v>45932</v>
      </c>
      <c r="C37" s="15" t="s">
        <v>187</v>
      </c>
      <c r="D37" s="15" t="s">
        <v>188</v>
      </c>
      <c r="E37" s="50">
        <v>500</v>
      </c>
      <c r="F37" s="50">
        <v>970</v>
      </c>
      <c r="G37" s="50">
        <v>37</v>
      </c>
      <c r="H37" s="15">
        <f t="shared" si="1"/>
        <v>18500</v>
      </c>
      <c r="I37" s="15" t="s">
        <v>66</v>
      </c>
      <c r="J37" s="15" t="s">
        <v>60</v>
      </c>
      <c r="K37" s="15" t="s">
        <v>22</v>
      </c>
      <c r="L37" s="65" t="s">
        <v>133</v>
      </c>
      <c r="M37" s="22" t="s">
        <v>189</v>
      </c>
      <c r="N37" s="15" t="s">
        <v>186</v>
      </c>
      <c r="O37" s="11" t="s">
        <v>135</v>
      </c>
      <c r="P37" s="99">
        <v>45749</v>
      </c>
      <c r="Q37" s="98">
        <f t="shared" ca="1" si="2"/>
        <v>376</v>
      </c>
    </row>
    <row r="38" spans="1:17">
      <c r="A38" s="58">
        <f t="shared" si="0"/>
        <v>36</v>
      </c>
      <c r="B38" s="59" t="s">
        <v>190</v>
      </c>
      <c r="C38" s="60" t="s">
        <v>191</v>
      </c>
      <c r="D38" s="60" t="s">
        <v>192</v>
      </c>
      <c r="E38" s="61">
        <v>300</v>
      </c>
      <c r="F38" s="61">
        <v>1950</v>
      </c>
      <c r="G38" s="61">
        <v>97</v>
      </c>
      <c r="H38" s="60">
        <f t="shared" si="1"/>
        <v>29100</v>
      </c>
      <c r="I38" s="60" t="s">
        <v>74</v>
      </c>
      <c r="J38" s="60" t="s">
        <v>60</v>
      </c>
      <c r="K38" s="60" t="s">
        <v>22</v>
      </c>
      <c r="L38" s="67">
        <v>301</v>
      </c>
      <c r="M38" s="62" t="s">
        <v>193</v>
      </c>
      <c r="N38" s="60" t="s">
        <v>165</v>
      </c>
      <c r="O38" s="11" t="s">
        <v>55</v>
      </c>
      <c r="P38" s="99">
        <v>45789.548657407409</v>
      </c>
      <c r="Q38" s="98">
        <f t="shared" ca="1" si="2"/>
        <v>335.45134259259066</v>
      </c>
    </row>
    <row r="39" spans="1:17">
      <c r="A39" s="39">
        <f t="shared" si="0"/>
        <v>37</v>
      </c>
      <c r="B39" s="33">
        <v>45963</v>
      </c>
      <c r="C39" s="16" t="s">
        <v>194</v>
      </c>
      <c r="D39" s="16" t="s">
        <v>195</v>
      </c>
      <c r="E39" s="51">
        <v>500</v>
      </c>
      <c r="F39" s="51">
        <v>750</v>
      </c>
      <c r="G39" s="51">
        <v>48</v>
      </c>
      <c r="H39" s="16">
        <f t="shared" si="1"/>
        <v>24000</v>
      </c>
      <c r="I39" s="16" t="s">
        <v>66</v>
      </c>
      <c r="J39" s="16" t="s">
        <v>60</v>
      </c>
      <c r="K39" s="16" t="s">
        <v>15</v>
      </c>
      <c r="L39" s="66">
        <v>528</v>
      </c>
      <c r="M39" s="19" t="s">
        <v>196</v>
      </c>
      <c r="N39" s="16" t="s">
        <v>165</v>
      </c>
      <c r="O39" s="11" t="s">
        <v>55</v>
      </c>
      <c r="P39" s="99">
        <v>45749</v>
      </c>
      <c r="Q39" s="98">
        <f t="shared" ca="1" si="2"/>
        <v>376</v>
      </c>
    </row>
    <row r="40" spans="1:17">
      <c r="A40" s="39">
        <f t="shared" si="0"/>
        <v>38</v>
      </c>
      <c r="B40" s="33" t="s">
        <v>197</v>
      </c>
      <c r="C40" s="16" t="s">
        <v>198</v>
      </c>
      <c r="D40" s="16" t="s">
        <v>199</v>
      </c>
      <c r="E40" s="51">
        <v>500</v>
      </c>
      <c r="F40" s="51">
        <v>780</v>
      </c>
      <c r="G40" s="51">
        <v>50</v>
      </c>
      <c r="H40" s="16">
        <f t="shared" si="1"/>
        <v>25000</v>
      </c>
      <c r="I40" s="16" t="s">
        <v>66</v>
      </c>
      <c r="J40" s="16" t="s">
        <v>60</v>
      </c>
      <c r="K40" s="16" t="s">
        <v>15</v>
      </c>
      <c r="L40" s="66">
        <v>526</v>
      </c>
      <c r="M40" s="19" t="s">
        <v>148</v>
      </c>
      <c r="N40" s="16" t="s">
        <v>200</v>
      </c>
      <c r="O40" s="11" t="s">
        <v>55</v>
      </c>
      <c r="P40" s="99">
        <v>45758</v>
      </c>
      <c r="Q40" s="98">
        <f t="shared" ca="1" si="2"/>
        <v>367</v>
      </c>
    </row>
    <row r="41" spans="1:17">
      <c r="A41" s="39">
        <f t="shared" si="0"/>
        <v>39</v>
      </c>
      <c r="B41" s="33" t="s">
        <v>197</v>
      </c>
      <c r="C41" s="16" t="s">
        <v>201</v>
      </c>
      <c r="D41" s="16" t="s">
        <v>202</v>
      </c>
      <c r="E41" s="51">
        <v>500</v>
      </c>
      <c r="F41" s="51">
        <v>1550</v>
      </c>
      <c r="G41" s="51">
        <v>70</v>
      </c>
      <c r="H41" s="16">
        <f t="shared" si="1"/>
        <v>35000</v>
      </c>
      <c r="I41" s="16" t="s">
        <v>66</v>
      </c>
      <c r="J41" s="16" t="s">
        <v>60</v>
      </c>
      <c r="K41" s="16" t="s">
        <v>15</v>
      </c>
      <c r="L41" s="66">
        <v>537</v>
      </c>
      <c r="M41" s="19" t="s">
        <v>55</v>
      </c>
      <c r="N41" s="16" t="s">
        <v>200</v>
      </c>
      <c r="O41" s="11" t="s">
        <v>55</v>
      </c>
      <c r="P41" s="99">
        <v>45758</v>
      </c>
      <c r="Q41" s="98">
        <f t="shared" ca="1" si="2"/>
        <v>367</v>
      </c>
    </row>
    <row r="42" spans="1:17">
      <c r="A42" s="38">
        <f t="shared" si="0"/>
        <v>40</v>
      </c>
      <c r="B42" s="32" t="s">
        <v>203</v>
      </c>
      <c r="C42" s="15" t="s">
        <v>204</v>
      </c>
      <c r="D42" s="15" t="s">
        <v>205</v>
      </c>
      <c r="E42" s="50">
        <v>500</v>
      </c>
      <c r="F42" s="50">
        <v>580</v>
      </c>
      <c r="G42" s="50">
        <v>65</v>
      </c>
      <c r="H42" s="15">
        <f t="shared" si="1"/>
        <v>32500</v>
      </c>
      <c r="I42" s="15" t="s">
        <v>66</v>
      </c>
      <c r="J42" s="15" t="s">
        <v>60</v>
      </c>
      <c r="K42" s="15" t="s">
        <v>12</v>
      </c>
      <c r="L42" s="65" t="s">
        <v>133</v>
      </c>
      <c r="M42" s="22" t="s">
        <v>206</v>
      </c>
      <c r="N42" s="15" t="s">
        <v>54</v>
      </c>
      <c r="O42" s="11" t="s">
        <v>135</v>
      </c>
      <c r="P42" s="99" t="s">
        <v>207</v>
      </c>
      <c r="Q42" s="98">
        <f t="shared" ca="1" si="2"/>
        <v>394</v>
      </c>
    </row>
    <row r="43" spans="1:17">
      <c r="A43" s="41">
        <f t="shared" si="0"/>
        <v>41</v>
      </c>
      <c r="B43" s="35" t="s">
        <v>203</v>
      </c>
      <c r="C43" s="18" t="s">
        <v>208</v>
      </c>
      <c r="D43" s="18" t="s">
        <v>209</v>
      </c>
      <c r="E43" s="53">
        <v>300</v>
      </c>
      <c r="F43" s="53">
        <v>650</v>
      </c>
      <c r="G43" s="53" t="s">
        <v>133</v>
      </c>
      <c r="H43" s="18"/>
      <c r="I43" s="18" t="s">
        <v>66</v>
      </c>
      <c r="J43" s="18" t="s">
        <v>60</v>
      </c>
      <c r="K43" s="18" t="s">
        <v>133</v>
      </c>
      <c r="L43" s="69" t="s">
        <v>133</v>
      </c>
      <c r="M43" s="24" t="s">
        <v>210</v>
      </c>
      <c r="N43" s="18" t="s">
        <v>211</v>
      </c>
      <c r="O43" s="11" t="s">
        <v>212</v>
      </c>
      <c r="P43" s="101" t="s">
        <v>213</v>
      </c>
      <c r="Q43" s="98" t="e">
        <f t="shared" ca="1" si="2"/>
        <v>#VALUE!</v>
      </c>
    </row>
    <row r="44" spans="1:17">
      <c r="A44" s="41">
        <f t="shared" si="0"/>
        <v>42</v>
      </c>
      <c r="B44" s="35" t="s">
        <v>203</v>
      </c>
      <c r="C44" s="18" t="s">
        <v>214</v>
      </c>
      <c r="D44" s="18" t="s">
        <v>215</v>
      </c>
      <c r="E44" s="53">
        <v>300</v>
      </c>
      <c r="F44" s="53">
        <v>1200</v>
      </c>
      <c r="G44" s="53" t="s">
        <v>133</v>
      </c>
      <c r="H44" s="18"/>
      <c r="I44" s="18" t="s">
        <v>66</v>
      </c>
      <c r="J44" s="18" t="s">
        <v>60</v>
      </c>
      <c r="K44" s="18" t="s">
        <v>133</v>
      </c>
      <c r="L44" s="69" t="s">
        <v>133</v>
      </c>
      <c r="M44" s="24" t="s">
        <v>216</v>
      </c>
      <c r="N44" s="18" t="s">
        <v>211</v>
      </c>
      <c r="O44" s="11" t="s">
        <v>212</v>
      </c>
      <c r="P44" s="101" t="s">
        <v>213</v>
      </c>
      <c r="Q44" s="98" t="e">
        <f t="shared" ca="1" si="2"/>
        <v>#VALUE!</v>
      </c>
    </row>
    <row r="45" spans="1:17" s="6" customFormat="1" ht="45">
      <c r="A45" s="39">
        <f t="shared" si="0"/>
        <v>43</v>
      </c>
      <c r="B45" s="33" t="s">
        <v>217</v>
      </c>
      <c r="C45" s="55" t="s">
        <v>218</v>
      </c>
      <c r="D45" s="55" t="s">
        <v>219</v>
      </c>
      <c r="E45" s="39">
        <v>500</v>
      </c>
      <c r="F45" s="39">
        <v>1820</v>
      </c>
      <c r="G45" s="51">
        <v>118</v>
      </c>
      <c r="H45" s="55">
        <f t="shared" si="1"/>
        <v>59000</v>
      </c>
      <c r="I45" s="55" t="s">
        <v>66</v>
      </c>
      <c r="J45" s="55" t="s">
        <v>60</v>
      </c>
      <c r="K45" s="55" t="s">
        <v>4</v>
      </c>
      <c r="L45" s="70" t="s">
        <v>220</v>
      </c>
      <c r="M45" s="56" t="s">
        <v>55</v>
      </c>
      <c r="N45" s="55" t="s">
        <v>54</v>
      </c>
      <c r="O45" s="57" t="s">
        <v>55</v>
      </c>
      <c r="P45" s="99">
        <v>45758</v>
      </c>
      <c r="Q45" s="98">
        <f t="shared" ca="1" si="2"/>
        <v>367</v>
      </c>
    </row>
    <row r="46" spans="1:17">
      <c r="A46" s="39">
        <f t="shared" si="0"/>
        <v>44</v>
      </c>
      <c r="B46" s="33" t="s">
        <v>217</v>
      </c>
      <c r="C46" s="16" t="s">
        <v>221</v>
      </c>
      <c r="D46" s="16" t="s">
        <v>222</v>
      </c>
      <c r="E46" s="51">
        <v>300</v>
      </c>
      <c r="F46" s="51" t="s">
        <v>223</v>
      </c>
      <c r="G46" s="51">
        <v>465</v>
      </c>
      <c r="H46" s="16">
        <f t="shared" si="1"/>
        <v>139500</v>
      </c>
      <c r="I46" s="16" t="s">
        <v>66</v>
      </c>
      <c r="J46" s="16" t="s">
        <v>60</v>
      </c>
      <c r="K46" s="16" t="s">
        <v>16</v>
      </c>
      <c r="L46" s="66">
        <v>296</v>
      </c>
      <c r="M46" s="19" t="s">
        <v>224</v>
      </c>
      <c r="N46" s="16" t="s">
        <v>211</v>
      </c>
      <c r="O46" s="11" t="s">
        <v>55</v>
      </c>
      <c r="P46" s="99">
        <v>45756</v>
      </c>
      <c r="Q46" s="98">
        <f t="shared" ca="1" si="2"/>
        <v>369</v>
      </c>
    </row>
    <row r="47" spans="1:17">
      <c r="A47" s="39">
        <f t="shared" si="0"/>
        <v>45</v>
      </c>
      <c r="B47" s="33" t="s">
        <v>217</v>
      </c>
      <c r="C47" s="16" t="s">
        <v>225</v>
      </c>
      <c r="D47" s="16" t="s">
        <v>226</v>
      </c>
      <c r="E47" s="51">
        <v>3000</v>
      </c>
      <c r="F47" s="51">
        <v>168</v>
      </c>
      <c r="G47" s="51">
        <v>28.25</v>
      </c>
      <c r="H47" s="16">
        <f t="shared" si="1"/>
        <v>84750</v>
      </c>
      <c r="I47" s="16" t="s">
        <v>227</v>
      </c>
      <c r="J47" s="16" t="s">
        <v>228</v>
      </c>
      <c r="K47" s="16" t="s">
        <v>16</v>
      </c>
      <c r="L47" s="66">
        <v>2909</v>
      </c>
      <c r="M47" s="19" t="s">
        <v>55</v>
      </c>
      <c r="N47" s="16" t="s">
        <v>211</v>
      </c>
      <c r="O47" s="11" t="s">
        <v>55</v>
      </c>
      <c r="P47" s="99">
        <v>45753</v>
      </c>
      <c r="Q47" s="98">
        <f t="shared" ca="1" si="2"/>
        <v>372</v>
      </c>
    </row>
    <row r="48" spans="1:17">
      <c r="A48" s="39">
        <f t="shared" si="0"/>
        <v>46</v>
      </c>
      <c r="B48" s="33" t="s">
        <v>217</v>
      </c>
      <c r="C48" s="16" t="s">
        <v>229</v>
      </c>
      <c r="D48" s="16" t="s">
        <v>230</v>
      </c>
      <c r="E48" s="51">
        <v>3000</v>
      </c>
      <c r="F48" s="51" t="s">
        <v>231</v>
      </c>
      <c r="G48" s="51">
        <v>18.75</v>
      </c>
      <c r="H48" s="16">
        <f t="shared" si="1"/>
        <v>56250</v>
      </c>
      <c r="I48" s="16" t="s">
        <v>227</v>
      </c>
      <c r="J48" s="16" t="s">
        <v>228</v>
      </c>
      <c r="K48" s="16" t="s">
        <v>16</v>
      </c>
      <c r="L48" s="66">
        <v>2901</v>
      </c>
      <c r="M48" s="19" t="s">
        <v>55</v>
      </c>
      <c r="N48" s="16" t="s">
        <v>211</v>
      </c>
      <c r="O48" s="11" t="s">
        <v>55</v>
      </c>
      <c r="P48" s="99">
        <v>45753</v>
      </c>
      <c r="Q48" s="98">
        <f t="shared" ca="1" si="2"/>
        <v>372</v>
      </c>
    </row>
    <row r="49" spans="1:17">
      <c r="A49" s="39">
        <f t="shared" si="0"/>
        <v>47</v>
      </c>
      <c r="B49" s="33" t="s">
        <v>217</v>
      </c>
      <c r="C49" s="16" t="s">
        <v>232</v>
      </c>
      <c r="D49" s="16" t="s">
        <v>233</v>
      </c>
      <c r="E49" s="51">
        <v>300</v>
      </c>
      <c r="F49" s="51">
        <v>2700</v>
      </c>
      <c r="G49" s="51">
        <v>483</v>
      </c>
      <c r="H49" s="16">
        <f t="shared" si="1"/>
        <v>144900</v>
      </c>
      <c r="I49" s="16" t="s">
        <v>152</v>
      </c>
      <c r="J49" s="16" t="s">
        <v>60</v>
      </c>
      <c r="K49" s="16" t="s">
        <v>16</v>
      </c>
      <c r="L49" s="66">
        <v>288</v>
      </c>
      <c r="M49" s="19" t="s">
        <v>224</v>
      </c>
      <c r="N49" s="16" t="s">
        <v>211</v>
      </c>
      <c r="O49" s="11" t="s">
        <v>55</v>
      </c>
      <c r="P49" s="99">
        <v>45756</v>
      </c>
      <c r="Q49" s="98">
        <f t="shared" ca="1" si="2"/>
        <v>369</v>
      </c>
    </row>
    <row r="50" spans="1:17">
      <c r="A50" s="38">
        <f t="shared" si="0"/>
        <v>48</v>
      </c>
      <c r="B50" s="32" t="s">
        <v>234</v>
      </c>
      <c r="C50" s="15" t="s">
        <v>235</v>
      </c>
      <c r="D50" s="15" t="s">
        <v>236</v>
      </c>
      <c r="E50" s="50">
        <v>3000</v>
      </c>
      <c r="F50" s="50">
        <v>532</v>
      </c>
      <c r="G50" s="50">
        <v>40</v>
      </c>
      <c r="H50" s="15">
        <f t="shared" si="1"/>
        <v>120000</v>
      </c>
      <c r="I50" s="15" t="s">
        <v>237</v>
      </c>
      <c r="J50" s="15" t="s">
        <v>238</v>
      </c>
      <c r="K50" s="15" t="s">
        <v>8</v>
      </c>
      <c r="L50" s="65" t="s">
        <v>133</v>
      </c>
      <c r="M50" s="22" t="s">
        <v>168</v>
      </c>
      <c r="N50" s="15" t="s">
        <v>211</v>
      </c>
      <c r="O50" s="11" t="s">
        <v>135</v>
      </c>
      <c r="P50" s="99" t="s">
        <v>68</v>
      </c>
      <c r="Q50" s="98">
        <f t="shared" ca="1" si="2"/>
        <v>392</v>
      </c>
    </row>
    <row r="51" spans="1:17">
      <c r="A51" s="58">
        <f t="shared" si="0"/>
        <v>49</v>
      </c>
      <c r="B51" s="59" t="s">
        <v>234</v>
      </c>
      <c r="C51" s="60" t="s">
        <v>239</v>
      </c>
      <c r="D51" s="60" t="s">
        <v>240</v>
      </c>
      <c r="E51" s="61">
        <v>2000</v>
      </c>
      <c r="F51" s="61" t="s">
        <v>241</v>
      </c>
      <c r="G51" s="135">
        <v>8.25</v>
      </c>
      <c r="H51" s="60">
        <f t="shared" si="1"/>
        <v>16500</v>
      </c>
      <c r="I51" s="60" t="s">
        <v>242</v>
      </c>
      <c r="J51" s="60" t="s">
        <v>238</v>
      </c>
      <c r="K51" s="60" t="s">
        <v>14</v>
      </c>
      <c r="L51" s="67">
        <v>2025</v>
      </c>
      <c r="M51" s="62" t="s">
        <v>53</v>
      </c>
      <c r="N51" s="60" t="s">
        <v>211</v>
      </c>
      <c r="O51" s="11" t="s">
        <v>55</v>
      </c>
      <c r="P51" s="99">
        <v>45770.488020833334</v>
      </c>
      <c r="Q51" s="98">
        <f t="shared" ca="1" si="2"/>
        <v>354.5119791666657</v>
      </c>
    </row>
    <row r="52" spans="1:17">
      <c r="A52" s="39">
        <f t="shared" si="0"/>
        <v>50</v>
      </c>
      <c r="B52" s="33" t="s">
        <v>234</v>
      </c>
      <c r="C52" s="16" t="s">
        <v>243</v>
      </c>
      <c r="D52" s="16" t="s">
        <v>244</v>
      </c>
      <c r="E52" s="51">
        <v>2000</v>
      </c>
      <c r="F52" s="51">
        <v>69</v>
      </c>
      <c r="G52" s="135">
        <v>8.25</v>
      </c>
      <c r="H52" s="16">
        <f t="shared" si="1"/>
        <v>16500</v>
      </c>
      <c r="I52" s="16" t="s">
        <v>242</v>
      </c>
      <c r="J52" s="16" t="s">
        <v>238</v>
      </c>
      <c r="K52" s="16" t="s">
        <v>14</v>
      </c>
      <c r="L52" s="66">
        <v>2000</v>
      </c>
      <c r="M52" s="19" t="s">
        <v>61</v>
      </c>
      <c r="N52" s="16" t="s">
        <v>211</v>
      </c>
      <c r="O52" s="11" t="s">
        <v>55</v>
      </c>
      <c r="P52" s="99" t="s">
        <v>245</v>
      </c>
      <c r="Q52" s="98">
        <f t="shared" ca="1" si="2"/>
        <v>362.34652777777956</v>
      </c>
    </row>
    <row r="53" spans="1:17">
      <c r="A53" s="58">
        <f t="shared" si="0"/>
        <v>51</v>
      </c>
      <c r="B53" s="59" t="s">
        <v>234</v>
      </c>
      <c r="C53" s="60" t="s">
        <v>246</v>
      </c>
      <c r="D53" s="60" t="s">
        <v>247</v>
      </c>
      <c r="E53" s="61">
        <v>1000</v>
      </c>
      <c r="F53" s="61">
        <v>470</v>
      </c>
      <c r="G53" s="61">
        <v>54</v>
      </c>
      <c r="H53" s="60">
        <f t="shared" si="1"/>
        <v>54000</v>
      </c>
      <c r="I53" s="60" t="s">
        <v>242</v>
      </c>
      <c r="J53" s="60" t="s">
        <v>238</v>
      </c>
      <c r="K53" s="60" t="s">
        <v>14</v>
      </c>
      <c r="L53" s="67">
        <v>996</v>
      </c>
      <c r="M53" s="62" t="s">
        <v>53</v>
      </c>
      <c r="N53" s="60" t="s">
        <v>211</v>
      </c>
      <c r="O53" s="11" t="s">
        <v>55</v>
      </c>
      <c r="P53" s="99">
        <v>45770.493946759256</v>
      </c>
      <c r="Q53" s="98">
        <f t="shared" ca="1" si="2"/>
        <v>354.50605324074422</v>
      </c>
    </row>
    <row r="54" spans="1:17">
      <c r="A54" s="58">
        <f t="shared" si="0"/>
        <v>52</v>
      </c>
      <c r="B54" s="59" t="s">
        <v>234</v>
      </c>
      <c r="C54" s="60" t="s">
        <v>248</v>
      </c>
      <c r="D54" s="60" t="s">
        <v>249</v>
      </c>
      <c r="E54" s="61">
        <v>1000</v>
      </c>
      <c r="F54" s="61">
        <v>390</v>
      </c>
      <c r="G54" s="61">
        <v>42</v>
      </c>
      <c r="H54" s="60">
        <f t="shared" si="1"/>
        <v>42000</v>
      </c>
      <c r="I54" s="60" t="s">
        <v>242</v>
      </c>
      <c r="J54" s="60" t="s">
        <v>238</v>
      </c>
      <c r="K54" s="60" t="s">
        <v>14</v>
      </c>
      <c r="L54" s="67">
        <v>1002</v>
      </c>
      <c r="M54" s="62" t="s">
        <v>53</v>
      </c>
      <c r="N54" s="60" t="s">
        <v>211</v>
      </c>
      <c r="O54" s="11" t="s">
        <v>55</v>
      </c>
      <c r="P54" s="99">
        <v>45770.491828703707</v>
      </c>
      <c r="Q54" s="98">
        <f t="shared" ca="1" si="2"/>
        <v>354.50817129629286</v>
      </c>
    </row>
    <row r="55" spans="1:17">
      <c r="A55" s="39">
        <f t="shared" si="0"/>
        <v>53</v>
      </c>
      <c r="B55" s="33" t="s">
        <v>234</v>
      </c>
      <c r="C55" s="16" t="s">
        <v>250</v>
      </c>
      <c r="D55" s="16" t="s">
        <v>251</v>
      </c>
      <c r="E55" s="51">
        <v>500</v>
      </c>
      <c r="F55" s="51">
        <v>1350</v>
      </c>
      <c r="G55" s="51">
        <v>105</v>
      </c>
      <c r="H55" s="16">
        <f t="shared" si="1"/>
        <v>52500</v>
      </c>
      <c r="I55" s="16" t="s">
        <v>74</v>
      </c>
      <c r="J55" s="16" t="s">
        <v>60</v>
      </c>
      <c r="K55" s="16" t="s">
        <v>4</v>
      </c>
      <c r="L55" s="66">
        <v>505</v>
      </c>
      <c r="M55" s="19" t="s">
        <v>252</v>
      </c>
      <c r="N55" s="16" t="s">
        <v>89</v>
      </c>
      <c r="O55" s="11" t="s">
        <v>55</v>
      </c>
      <c r="P55" s="99" t="s">
        <v>253</v>
      </c>
      <c r="Q55" s="98">
        <f t="shared" ca="1" si="2"/>
        <v>387</v>
      </c>
    </row>
    <row r="56" spans="1:17">
      <c r="A56" s="38">
        <f t="shared" si="0"/>
        <v>54</v>
      </c>
      <c r="B56" s="32" t="s">
        <v>234</v>
      </c>
      <c r="C56" s="15" t="s">
        <v>254</v>
      </c>
      <c r="D56" s="15" t="s">
        <v>255</v>
      </c>
      <c r="E56" s="50">
        <v>250</v>
      </c>
      <c r="F56" s="50">
        <v>3400</v>
      </c>
      <c r="G56" s="50">
        <v>295</v>
      </c>
      <c r="H56" s="15">
        <f t="shared" si="1"/>
        <v>73750</v>
      </c>
      <c r="I56" s="15" t="s">
        <v>125</v>
      </c>
      <c r="J56" s="15" t="s">
        <v>60</v>
      </c>
      <c r="K56" s="15" t="s">
        <v>20</v>
      </c>
      <c r="L56" s="65" t="s">
        <v>256</v>
      </c>
      <c r="M56" s="22" t="s">
        <v>257</v>
      </c>
      <c r="N56" s="15" t="s">
        <v>200</v>
      </c>
      <c r="O56" s="11" t="s">
        <v>135</v>
      </c>
      <c r="P56" s="99">
        <v>45757</v>
      </c>
      <c r="Q56" s="98">
        <f t="shared" ca="1" si="2"/>
        <v>368</v>
      </c>
    </row>
    <row r="57" spans="1:17">
      <c r="A57" s="39">
        <f t="shared" si="0"/>
        <v>55</v>
      </c>
      <c r="B57" s="33" t="s">
        <v>234</v>
      </c>
      <c r="C57" s="16" t="s">
        <v>258</v>
      </c>
      <c r="D57" s="16" t="s">
        <v>259</v>
      </c>
      <c r="E57" s="51">
        <v>500</v>
      </c>
      <c r="F57" s="51">
        <v>1450</v>
      </c>
      <c r="G57" s="51">
        <v>112</v>
      </c>
      <c r="H57" s="16">
        <f t="shared" si="1"/>
        <v>56000</v>
      </c>
      <c r="I57" s="16" t="s">
        <v>74</v>
      </c>
      <c r="J57" s="16" t="s">
        <v>60</v>
      </c>
      <c r="K57" s="16" t="s">
        <v>4</v>
      </c>
      <c r="L57" s="66">
        <v>518</v>
      </c>
      <c r="M57" s="19" t="s">
        <v>260</v>
      </c>
      <c r="N57" s="16" t="s">
        <v>89</v>
      </c>
      <c r="O57" s="11" t="s">
        <v>55</v>
      </c>
      <c r="P57" s="99" t="s">
        <v>261</v>
      </c>
      <c r="Q57" s="98">
        <f t="shared" ca="1" si="2"/>
        <v>381</v>
      </c>
    </row>
    <row r="58" spans="1:17">
      <c r="A58" s="38">
        <f t="shared" si="0"/>
        <v>56</v>
      </c>
      <c r="B58" s="32" t="s">
        <v>234</v>
      </c>
      <c r="C58" s="15" t="s">
        <v>262</v>
      </c>
      <c r="D58" s="15" t="s">
        <v>263</v>
      </c>
      <c r="E58" s="50">
        <v>2000</v>
      </c>
      <c r="F58" s="50">
        <v>135</v>
      </c>
      <c r="G58" s="50">
        <v>13</v>
      </c>
      <c r="H58" s="15">
        <f t="shared" si="1"/>
        <v>26000</v>
      </c>
      <c r="I58" s="15" t="s">
        <v>264</v>
      </c>
      <c r="J58" s="15" t="s">
        <v>265</v>
      </c>
      <c r="K58" s="15" t="s">
        <v>23</v>
      </c>
      <c r="L58" s="65" t="s">
        <v>133</v>
      </c>
      <c r="M58" s="22" t="s">
        <v>266</v>
      </c>
      <c r="N58" s="15" t="s">
        <v>211</v>
      </c>
      <c r="O58" s="11" t="s">
        <v>135</v>
      </c>
      <c r="P58" s="99" t="s">
        <v>127</v>
      </c>
      <c r="Q58" s="98">
        <f t="shared" ca="1" si="2"/>
        <v>380</v>
      </c>
    </row>
    <row r="59" spans="1:17">
      <c r="A59" s="38">
        <f t="shared" si="0"/>
        <v>57</v>
      </c>
      <c r="B59" s="32" t="s">
        <v>234</v>
      </c>
      <c r="C59" s="15" t="s">
        <v>267</v>
      </c>
      <c r="D59" s="15" t="s">
        <v>268</v>
      </c>
      <c r="E59" s="50">
        <v>2000</v>
      </c>
      <c r="F59" s="50">
        <v>140</v>
      </c>
      <c r="G59" s="137">
        <v>12.5</v>
      </c>
      <c r="H59" s="15">
        <f t="shared" si="1"/>
        <v>25000</v>
      </c>
      <c r="I59" s="15" t="s">
        <v>269</v>
      </c>
      <c r="J59" s="15" t="s">
        <v>265</v>
      </c>
      <c r="K59" s="15" t="s">
        <v>27</v>
      </c>
      <c r="L59" s="65" t="s">
        <v>133</v>
      </c>
      <c r="M59" s="22" t="s">
        <v>270</v>
      </c>
      <c r="N59" s="15" t="s">
        <v>211</v>
      </c>
      <c r="O59" s="11" t="s">
        <v>135</v>
      </c>
      <c r="P59" s="99" t="s">
        <v>271</v>
      </c>
      <c r="Q59" s="98">
        <f t="shared" ca="1" si="2"/>
        <v>384</v>
      </c>
    </row>
    <row r="60" spans="1:17">
      <c r="A60" s="58">
        <f t="shared" si="0"/>
        <v>58</v>
      </c>
      <c r="B60" s="59" t="s">
        <v>272</v>
      </c>
      <c r="C60" s="60" t="s">
        <v>273</v>
      </c>
      <c r="D60" s="60" t="s">
        <v>274</v>
      </c>
      <c r="E60" s="61">
        <v>1000</v>
      </c>
      <c r="F60" s="61">
        <v>359</v>
      </c>
      <c r="G60" s="61">
        <v>42</v>
      </c>
      <c r="H60" s="60">
        <f t="shared" si="1"/>
        <v>42000</v>
      </c>
      <c r="I60" s="60" t="s">
        <v>242</v>
      </c>
      <c r="J60" s="60" t="s">
        <v>238</v>
      </c>
      <c r="K60" s="60" t="s">
        <v>14</v>
      </c>
      <c r="L60" s="67">
        <v>1032</v>
      </c>
      <c r="M60" s="62" t="s">
        <v>53</v>
      </c>
      <c r="N60" s="60" t="s">
        <v>165</v>
      </c>
      <c r="O60" s="11" t="s">
        <v>55</v>
      </c>
      <c r="P60" s="99">
        <v>45770.490995370368</v>
      </c>
      <c r="Q60" s="98">
        <f t="shared" ca="1" si="2"/>
        <v>354.50900462963182</v>
      </c>
    </row>
    <row r="61" spans="1:17">
      <c r="A61" s="39">
        <f t="shared" si="0"/>
        <v>59</v>
      </c>
      <c r="B61" s="33" t="s">
        <v>272</v>
      </c>
      <c r="C61" s="16" t="s">
        <v>275</v>
      </c>
      <c r="D61" s="16" t="s">
        <v>276</v>
      </c>
      <c r="E61" s="51">
        <v>2000</v>
      </c>
      <c r="F61" s="51" t="s">
        <v>277</v>
      </c>
      <c r="G61" s="136">
        <v>8.25</v>
      </c>
      <c r="H61" s="16">
        <f t="shared" si="1"/>
        <v>16500</v>
      </c>
      <c r="I61" s="16" t="s">
        <v>242</v>
      </c>
      <c r="J61" s="16" t="s">
        <v>238</v>
      </c>
      <c r="K61" s="16" t="s">
        <v>14</v>
      </c>
      <c r="L61" s="66">
        <v>2033</v>
      </c>
      <c r="M61" s="19" t="s">
        <v>61</v>
      </c>
      <c r="N61" s="16" t="s">
        <v>165</v>
      </c>
      <c r="O61" s="11" t="s">
        <v>55</v>
      </c>
      <c r="P61" s="99" t="s">
        <v>278</v>
      </c>
      <c r="Q61" s="98">
        <f t="shared" ca="1" si="2"/>
        <v>362.34583333333285</v>
      </c>
    </row>
    <row r="62" spans="1:17">
      <c r="A62" s="38">
        <f t="shared" si="0"/>
        <v>60</v>
      </c>
      <c r="B62" s="32" t="s">
        <v>272</v>
      </c>
      <c r="C62" s="15" t="s">
        <v>279</v>
      </c>
      <c r="D62" s="15" t="s">
        <v>280</v>
      </c>
      <c r="E62" s="50">
        <v>500</v>
      </c>
      <c r="F62" s="50">
        <v>1170</v>
      </c>
      <c r="G62" s="50">
        <v>85</v>
      </c>
      <c r="H62" s="15">
        <f t="shared" si="1"/>
        <v>42500</v>
      </c>
      <c r="I62" s="15" t="s">
        <v>59</v>
      </c>
      <c r="J62" s="15" t="s">
        <v>60</v>
      </c>
      <c r="K62" s="15" t="s">
        <v>4</v>
      </c>
      <c r="L62" s="65" t="s">
        <v>133</v>
      </c>
      <c r="M62" s="22" t="s">
        <v>181</v>
      </c>
      <c r="N62" s="15" t="s">
        <v>211</v>
      </c>
      <c r="O62" s="11" t="s">
        <v>135</v>
      </c>
      <c r="P62" s="99">
        <v>45723</v>
      </c>
      <c r="Q62" s="98">
        <f t="shared" ca="1" si="2"/>
        <v>402</v>
      </c>
    </row>
    <row r="63" spans="1:17">
      <c r="A63" s="58">
        <f t="shared" si="0"/>
        <v>61</v>
      </c>
      <c r="B63" s="59" t="s">
        <v>272</v>
      </c>
      <c r="C63" s="60" t="s">
        <v>281</v>
      </c>
      <c r="D63" s="60" t="s">
        <v>282</v>
      </c>
      <c r="E63" s="61">
        <v>100</v>
      </c>
      <c r="F63" s="61">
        <v>6300</v>
      </c>
      <c r="G63" s="61">
        <v>960</v>
      </c>
      <c r="H63" s="60">
        <f t="shared" si="1"/>
        <v>96000</v>
      </c>
      <c r="I63" s="60" t="s">
        <v>152</v>
      </c>
      <c r="J63" s="60" t="s">
        <v>60</v>
      </c>
      <c r="K63" s="60" t="s">
        <v>16</v>
      </c>
      <c r="L63" s="67">
        <v>95</v>
      </c>
      <c r="M63" s="62" t="s">
        <v>283</v>
      </c>
      <c r="N63" s="60" t="s">
        <v>211</v>
      </c>
      <c r="O63" s="11" t="s">
        <v>55</v>
      </c>
      <c r="P63" s="99">
        <v>45789.550925925927</v>
      </c>
      <c r="Q63" s="98">
        <f t="shared" ca="1" si="2"/>
        <v>335.449074074073</v>
      </c>
    </row>
    <row r="64" spans="1:17">
      <c r="A64" s="39">
        <f t="shared" si="0"/>
        <v>62</v>
      </c>
      <c r="B64" s="33" t="s">
        <v>272</v>
      </c>
      <c r="C64" s="16" t="s">
        <v>284</v>
      </c>
      <c r="D64" s="16" t="s">
        <v>285</v>
      </c>
      <c r="E64" s="51">
        <v>300</v>
      </c>
      <c r="F64" s="51">
        <v>1240</v>
      </c>
      <c r="G64" s="51">
        <v>55</v>
      </c>
      <c r="H64" s="16">
        <f t="shared" si="1"/>
        <v>16500</v>
      </c>
      <c r="I64" s="16" t="s">
        <v>286</v>
      </c>
      <c r="J64" s="16" t="s">
        <v>60</v>
      </c>
      <c r="K64" s="16" t="s">
        <v>4</v>
      </c>
      <c r="L64" s="66">
        <v>313</v>
      </c>
      <c r="M64" s="19" t="s">
        <v>67</v>
      </c>
      <c r="N64" s="16" t="s">
        <v>54</v>
      </c>
      <c r="O64" s="11" t="s">
        <v>55</v>
      </c>
      <c r="P64" s="99" t="s">
        <v>68</v>
      </c>
      <c r="Q64" s="98">
        <f t="shared" ca="1" si="2"/>
        <v>392</v>
      </c>
    </row>
    <row r="65" spans="1:18">
      <c r="A65" s="39">
        <f t="shared" si="0"/>
        <v>63</v>
      </c>
      <c r="B65" s="33" t="s">
        <v>272</v>
      </c>
      <c r="C65" s="16" t="s">
        <v>287</v>
      </c>
      <c r="D65" s="16" t="s">
        <v>288</v>
      </c>
      <c r="E65" s="51">
        <v>300</v>
      </c>
      <c r="F65" s="51">
        <v>1800</v>
      </c>
      <c r="G65" s="51">
        <v>65</v>
      </c>
      <c r="H65" s="16">
        <f t="shared" si="1"/>
        <v>19500</v>
      </c>
      <c r="I65" s="16" t="s">
        <v>286</v>
      </c>
      <c r="J65" s="16" t="s">
        <v>60</v>
      </c>
      <c r="K65" s="16" t="s">
        <v>4</v>
      </c>
      <c r="L65" s="66">
        <v>310</v>
      </c>
      <c r="M65" s="19" t="s">
        <v>289</v>
      </c>
      <c r="N65" s="16" t="s">
        <v>54</v>
      </c>
      <c r="O65" s="11" t="s">
        <v>55</v>
      </c>
      <c r="P65" s="99" t="s">
        <v>290</v>
      </c>
      <c r="Q65" s="98">
        <f t="shared" ca="1" si="2"/>
        <v>396</v>
      </c>
    </row>
    <row r="66" spans="1:18">
      <c r="A66" s="58">
        <f t="shared" si="0"/>
        <v>64</v>
      </c>
      <c r="B66" s="59" t="s">
        <v>291</v>
      </c>
      <c r="C66" s="60" t="s">
        <v>292</v>
      </c>
      <c r="D66" s="60" t="s">
        <v>293</v>
      </c>
      <c r="E66" s="61">
        <v>800</v>
      </c>
      <c r="F66" s="61">
        <v>960</v>
      </c>
      <c r="G66" s="61">
        <v>105</v>
      </c>
      <c r="H66" s="60">
        <f t="shared" si="1"/>
        <v>84000</v>
      </c>
      <c r="I66" s="60" t="s">
        <v>294</v>
      </c>
      <c r="J66" s="60" t="s">
        <v>60</v>
      </c>
      <c r="K66" s="60" t="s">
        <v>7</v>
      </c>
      <c r="L66" s="67">
        <v>814</v>
      </c>
      <c r="M66" s="62" t="s">
        <v>295</v>
      </c>
      <c r="N66" s="60" t="s">
        <v>211</v>
      </c>
      <c r="O66" s="11" t="s">
        <v>55</v>
      </c>
      <c r="P66" s="99">
        <v>45780.527673611112</v>
      </c>
      <c r="Q66" s="98">
        <f t="shared" ca="1" si="2"/>
        <v>344.47232638888818</v>
      </c>
    </row>
    <row r="67" spans="1:18">
      <c r="A67" s="58">
        <f t="shared" ref="A67:A130" si="3">IF(B67="","",ROW()-2)</f>
        <v>65</v>
      </c>
      <c r="B67" s="59" t="s">
        <v>291</v>
      </c>
      <c r="C67" s="60" t="s">
        <v>296</v>
      </c>
      <c r="D67" s="60" t="s">
        <v>297</v>
      </c>
      <c r="E67" s="61">
        <v>600</v>
      </c>
      <c r="F67" s="61">
        <v>1725</v>
      </c>
      <c r="G67" s="61">
        <v>199.5</v>
      </c>
      <c r="H67" s="60">
        <f t="shared" ref="H67:H130" si="4">IF(G67="","",E67*G67)</f>
        <v>119700</v>
      </c>
      <c r="I67" s="60" t="s">
        <v>294</v>
      </c>
      <c r="J67" s="60" t="s">
        <v>60</v>
      </c>
      <c r="K67" s="60" t="s">
        <v>7</v>
      </c>
      <c r="L67" s="67">
        <v>600</v>
      </c>
      <c r="M67" s="62" t="s">
        <v>295</v>
      </c>
      <c r="N67" s="60" t="s">
        <v>211</v>
      </c>
      <c r="O67" s="11" t="s">
        <v>55</v>
      </c>
      <c r="P67" s="99">
        <v>45780.527708333335</v>
      </c>
      <c r="Q67" s="98">
        <f t="shared" ca="1" si="2"/>
        <v>344.47229166666511</v>
      </c>
    </row>
    <row r="68" spans="1:18">
      <c r="A68" s="39">
        <f t="shared" si="3"/>
        <v>66</v>
      </c>
      <c r="B68" s="33" t="s">
        <v>291</v>
      </c>
      <c r="C68" s="16" t="s">
        <v>298</v>
      </c>
      <c r="D68" s="16" t="s">
        <v>299</v>
      </c>
      <c r="E68" s="51">
        <v>500</v>
      </c>
      <c r="F68" s="51">
        <v>574</v>
      </c>
      <c r="G68" s="51">
        <v>33</v>
      </c>
      <c r="H68" s="16">
        <f t="shared" si="4"/>
        <v>16500</v>
      </c>
      <c r="I68" s="16" t="s">
        <v>300</v>
      </c>
      <c r="J68" s="16" t="s">
        <v>60</v>
      </c>
      <c r="K68" s="16" t="s">
        <v>7</v>
      </c>
      <c r="L68" s="66">
        <v>490</v>
      </c>
      <c r="M68" s="19" t="s">
        <v>55</v>
      </c>
      <c r="N68" s="16" t="s">
        <v>211</v>
      </c>
      <c r="O68" s="11" t="s">
        <v>55</v>
      </c>
      <c r="P68" s="99" t="s">
        <v>301</v>
      </c>
      <c r="Q68" s="98">
        <f t="shared" ref="Q68:Q131" ca="1" si="5">TODAY()-P68</f>
        <v>364.30000000000291</v>
      </c>
    </row>
    <row r="69" spans="1:18">
      <c r="A69" s="58">
        <f t="shared" si="3"/>
        <v>67</v>
      </c>
      <c r="B69" s="59" t="s">
        <v>291</v>
      </c>
      <c r="C69" s="60" t="s">
        <v>302</v>
      </c>
      <c r="D69" s="60" t="s">
        <v>303</v>
      </c>
      <c r="E69" s="61">
        <v>500</v>
      </c>
      <c r="F69" s="61">
        <v>990</v>
      </c>
      <c r="G69" s="61">
        <v>40</v>
      </c>
      <c r="H69" s="60">
        <f t="shared" si="4"/>
        <v>20000</v>
      </c>
      <c r="I69" s="60" t="s">
        <v>300</v>
      </c>
      <c r="J69" s="60" t="s">
        <v>60</v>
      </c>
      <c r="K69" s="60" t="s">
        <v>7</v>
      </c>
      <c r="L69" s="67">
        <v>486</v>
      </c>
      <c r="M69" s="62" t="s">
        <v>304</v>
      </c>
      <c r="N69" s="60" t="s">
        <v>211</v>
      </c>
      <c r="O69" s="11" t="s">
        <v>55</v>
      </c>
      <c r="P69" s="99">
        <v>45771.536307870374</v>
      </c>
      <c r="Q69" s="98">
        <f t="shared" ca="1" si="5"/>
        <v>353.463692129626</v>
      </c>
    </row>
    <row r="70" spans="1:18">
      <c r="A70" s="58">
        <f t="shared" si="3"/>
        <v>68</v>
      </c>
      <c r="B70" s="59" t="s">
        <v>291</v>
      </c>
      <c r="C70" s="60" t="s">
        <v>305</v>
      </c>
      <c r="D70" s="60" t="s">
        <v>306</v>
      </c>
      <c r="E70" s="61">
        <v>5000</v>
      </c>
      <c r="F70" s="61" t="s">
        <v>231</v>
      </c>
      <c r="G70" s="135">
        <v>6.1</v>
      </c>
      <c r="H70" s="60">
        <f t="shared" si="4"/>
        <v>30500</v>
      </c>
      <c r="I70" s="60" t="s">
        <v>307</v>
      </c>
      <c r="J70" s="60" t="s">
        <v>308</v>
      </c>
      <c r="K70" s="60" t="s">
        <v>7</v>
      </c>
      <c r="L70" s="67">
        <v>4888</v>
      </c>
      <c r="M70" s="62" t="s">
        <v>164</v>
      </c>
      <c r="N70" s="60" t="s">
        <v>89</v>
      </c>
      <c r="O70" s="11" t="s">
        <v>55</v>
      </c>
      <c r="P70" s="99">
        <v>45780.517291666663</v>
      </c>
      <c r="Q70" s="98">
        <f t="shared" ca="1" si="5"/>
        <v>344.48270833333663</v>
      </c>
    </row>
    <row r="71" spans="1:18">
      <c r="A71" s="38">
        <f t="shared" si="3"/>
        <v>69</v>
      </c>
      <c r="B71" s="32" t="s">
        <v>56</v>
      </c>
      <c r="C71" s="15" t="s">
        <v>309</v>
      </c>
      <c r="D71" s="15" t="s">
        <v>310</v>
      </c>
      <c r="E71" s="50">
        <v>5000</v>
      </c>
      <c r="F71" s="50">
        <v>105</v>
      </c>
      <c r="G71" s="137">
        <v>10.5</v>
      </c>
      <c r="H71" s="15">
        <f t="shared" si="4"/>
        <v>52500</v>
      </c>
      <c r="I71" s="15" t="s">
        <v>237</v>
      </c>
      <c r="J71" s="15" t="s">
        <v>265</v>
      </c>
      <c r="K71" s="15" t="s">
        <v>24</v>
      </c>
      <c r="L71" s="65" t="s">
        <v>133</v>
      </c>
      <c r="M71" s="22" t="s">
        <v>311</v>
      </c>
      <c r="N71" s="15" t="s">
        <v>211</v>
      </c>
      <c r="O71" s="11" t="s">
        <v>135</v>
      </c>
      <c r="P71" s="99" t="s">
        <v>312</v>
      </c>
      <c r="Q71" s="98">
        <f t="shared" ca="1" si="5"/>
        <v>361.51388888889051</v>
      </c>
    </row>
    <row r="72" spans="1:18">
      <c r="A72" s="38">
        <f t="shared" si="3"/>
        <v>70</v>
      </c>
      <c r="B72" s="32" t="s">
        <v>56</v>
      </c>
      <c r="C72" s="15" t="s">
        <v>313</v>
      </c>
      <c r="D72" s="15" t="s">
        <v>314</v>
      </c>
      <c r="E72" s="50">
        <v>3000</v>
      </c>
      <c r="F72" s="50">
        <v>190</v>
      </c>
      <c r="G72" s="50">
        <v>29</v>
      </c>
      <c r="H72" s="15">
        <f t="shared" si="4"/>
        <v>87000</v>
      </c>
      <c r="I72" s="15" t="s">
        <v>237</v>
      </c>
      <c r="J72" s="15" t="s">
        <v>265</v>
      </c>
      <c r="K72" s="15" t="s">
        <v>24</v>
      </c>
      <c r="L72" s="65" t="s">
        <v>133</v>
      </c>
      <c r="M72" s="22" t="s">
        <v>315</v>
      </c>
      <c r="N72" s="15" t="s">
        <v>165</v>
      </c>
      <c r="O72" s="11" t="s">
        <v>135</v>
      </c>
      <c r="P72" s="99" t="s">
        <v>312</v>
      </c>
      <c r="Q72" s="98">
        <f t="shared" ca="1" si="5"/>
        <v>361.51388888889051</v>
      </c>
    </row>
    <row r="73" spans="1:18">
      <c r="A73" s="58">
        <f t="shared" si="3"/>
        <v>71</v>
      </c>
      <c r="B73" s="59" t="s">
        <v>56</v>
      </c>
      <c r="C73" s="60" t="s">
        <v>316</v>
      </c>
      <c r="D73" s="60" t="s">
        <v>317</v>
      </c>
      <c r="E73" s="61">
        <v>5000</v>
      </c>
      <c r="F73" s="61">
        <v>119</v>
      </c>
      <c r="G73" s="61">
        <v>12</v>
      </c>
      <c r="H73" s="60">
        <f t="shared" si="4"/>
        <v>60000</v>
      </c>
      <c r="I73" s="60" t="s">
        <v>237</v>
      </c>
      <c r="J73" s="60" t="s">
        <v>265</v>
      </c>
      <c r="K73" s="60" t="s">
        <v>24</v>
      </c>
      <c r="L73" s="67">
        <v>4900</v>
      </c>
      <c r="M73" s="62" t="s">
        <v>161</v>
      </c>
      <c r="N73" s="60" t="s">
        <v>211</v>
      </c>
      <c r="O73" s="11" t="s">
        <v>55</v>
      </c>
      <c r="P73" s="99">
        <v>45772.54965277778</v>
      </c>
      <c r="Q73" s="98">
        <f t="shared" ca="1" si="5"/>
        <v>352.45034722222044</v>
      </c>
    </row>
    <row r="74" spans="1:18">
      <c r="A74" s="41">
        <f t="shared" si="3"/>
        <v>72</v>
      </c>
      <c r="B74" s="35" t="s">
        <v>56</v>
      </c>
      <c r="C74" s="18" t="s">
        <v>318</v>
      </c>
      <c r="D74" s="18" t="s">
        <v>319</v>
      </c>
      <c r="E74" s="53">
        <v>5000</v>
      </c>
      <c r="F74" s="53">
        <v>110</v>
      </c>
      <c r="G74" s="53">
        <v>0</v>
      </c>
      <c r="H74" s="18">
        <f t="shared" si="4"/>
        <v>0</v>
      </c>
      <c r="I74" s="18" t="s">
        <v>237</v>
      </c>
      <c r="J74" s="18" t="s">
        <v>265</v>
      </c>
      <c r="K74" s="18" t="s">
        <v>24</v>
      </c>
      <c r="L74" s="69" t="s">
        <v>133</v>
      </c>
      <c r="M74" s="24" t="s">
        <v>216</v>
      </c>
      <c r="N74" s="18" t="s">
        <v>211</v>
      </c>
      <c r="O74" s="11" t="s">
        <v>212</v>
      </c>
      <c r="P74" s="99"/>
      <c r="Q74" s="98">
        <f t="shared" ca="1" si="5"/>
        <v>46125</v>
      </c>
    </row>
    <row r="75" spans="1:18">
      <c r="A75" s="58">
        <f t="shared" si="3"/>
        <v>73</v>
      </c>
      <c r="B75" s="59" t="s">
        <v>56</v>
      </c>
      <c r="C75" s="60" t="s">
        <v>320</v>
      </c>
      <c r="D75" s="60" t="s">
        <v>321</v>
      </c>
      <c r="E75" s="61">
        <v>5000</v>
      </c>
      <c r="F75" s="61">
        <v>124</v>
      </c>
      <c r="G75" s="61">
        <v>12</v>
      </c>
      <c r="H75" s="60">
        <f t="shared" si="4"/>
        <v>60000</v>
      </c>
      <c r="I75" s="60" t="s">
        <v>237</v>
      </c>
      <c r="J75" s="60" t="s">
        <v>265</v>
      </c>
      <c r="K75" s="60" t="s">
        <v>24</v>
      </c>
      <c r="L75" s="67">
        <v>4900</v>
      </c>
      <c r="M75" s="62" t="s">
        <v>322</v>
      </c>
      <c r="N75" s="60" t="s">
        <v>211</v>
      </c>
      <c r="O75" s="11" t="s">
        <v>55</v>
      </c>
      <c r="P75" s="99">
        <v>45789.55196759259</v>
      </c>
      <c r="Q75" s="98">
        <f t="shared" ca="1" si="5"/>
        <v>335.44803240741021</v>
      </c>
    </row>
    <row r="76" spans="1:18">
      <c r="A76" s="41">
        <f t="shared" si="3"/>
        <v>74</v>
      </c>
      <c r="B76" s="35" t="s">
        <v>56</v>
      </c>
      <c r="C76" s="18" t="s">
        <v>323</v>
      </c>
      <c r="D76" s="18" t="s">
        <v>324</v>
      </c>
      <c r="E76" s="53">
        <v>3000</v>
      </c>
      <c r="F76" s="53">
        <v>135</v>
      </c>
      <c r="G76" s="53">
        <v>0</v>
      </c>
      <c r="H76" s="18">
        <f t="shared" si="4"/>
        <v>0</v>
      </c>
      <c r="I76" s="18" t="s">
        <v>237</v>
      </c>
      <c r="J76" s="18" t="s">
        <v>265</v>
      </c>
      <c r="K76" s="18" t="s">
        <v>24</v>
      </c>
      <c r="L76" s="69" t="s">
        <v>133</v>
      </c>
      <c r="M76" s="24" t="s">
        <v>216</v>
      </c>
      <c r="N76" s="18" t="s">
        <v>165</v>
      </c>
      <c r="O76" s="11" t="s">
        <v>212</v>
      </c>
      <c r="P76" s="99"/>
      <c r="Q76" s="98">
        <f t="shared" ca="1" si="5"/>
        <v>46125</v>
      </c>
    </row>
    <row r="77" spans="1:18">
      <c r="A77" s="38">
        <f t="shared" si="3"/>
        <v>75</v>
      </c>
      <c r="B77" s="32" t="s">
        <v>56</v>
      </c>
      <c r="C77" s="15" t="s">
        <v>325</v>
      </c>
      <c r="D77" s="15" t="s">
        <v>326</v>
      </c>
      <c r="E77" s="50">
        <v>900</v>
      </c>
      <c r="F77" s="50">
        <v>2950</v>
      </c>
      <c r="G77" s="50">
        <v>143</v>
      </c>
      <c r="H77" s="15">
        <f t="shared" si="4"/>
        <v>128700</v>
      </c>
      <c r="I77" s="15" t="s">
        <v>294</v>
      </c>
      <c r="J77" s="15" t="s">
        <v>60</v>
      </c>
      <c r="K77" s="15" t="s">
        <v>22</v>
      </c>
      <c r="L77" s="65" t="s">
        <v>133</v>
      </c>
      <c r="M77" s="22" t="s">
        <v>327</v>
      </c>
      <c r="N77" s="15" t="s">
        <v>89</v>
      </c>
      <c r="O77" s="11" t="s">
        <v>135</v>
      </c>
      <c r="P77" s="99" t="s">
        <v>328</v>
      </c>
      <c r="Q77" s="98">
        <f t="shared" ca="1" si="5"/>
        <v>390</v>
      </c>
    </row>
    <row r="78" spans="1:18">
      <c r="A78" s="38">
        <f t="shared" si="3"/>
        <v>76</v>
      </c>
      <c r="B78" s="32" t="s">
        <v>56</v>
      </c>
      <c r="C78" s="15" t="s">
        <v>329</v>
      </c>
      <c r="D78" s="15" t="s">
        <v>326</v>
      </c>
      <c r="E78" s="50">
        <v>900</v>
      </c>
      <c r="F78" s="50">
        <v>3500</v>
      </c>
      <c r="G78" s="50">
        <v>143</v>
      </c>
      <c r="H78" s="15">
        <f t="shared" si="4"/>
        <v>128700</v>
      </c>
      <c r="I78" s="15" t="s">
        <v>294</v>
      </c>
      <c r="J78" s="15" t="s">
        <v>60</v>
      </c>
      <c r="K78" s="15" t="s">
        <v>22</v>
      </c>
      <c r="L78" s="65" t="s">
        <v>133</v>
      </c>
      <c r="M78" s="22" t="s">
        <v>327</v>
      </c>
      <c r="N78" s="15" t="s">
        <v>89</v>
      </c>
      <c r="O78" s="11" t="s">
        <v>135</v>
      </c>
      <c r="P78" s="99" t="s">
        <v>328</v>
      </c>
      <c r="Q78" s="98">
        <f t="shared" ca="1" si="5"/>
        <v>390</v>
      </c>
    </row>
    <row r="79" spans="1:18">
      <c r="A79" s="58">
        <f t="shared" si="3"/>
        <v>77</v>
      </c>
      <c r="B79" s="59" t="s">
        <v>330</v>
      </c>
      <c r="C79" s="60" t="s">
        <v>331</v>
      </c>
      <c r="D79" s="60" t="s">
        <v>332</v>
      </c>
      <c r="E79" s="61">
        <v>5000</v>
      </c>
      <c r="F79" s="61">
        <v>99</v>
      </c>
      <c r="G79" s="135">
        <v>11.5</v>
      </c>
      <c r="H79" s="60">
        <f t="shared" si="4"/>
        <v>57500</v>
      </c>
      <c r="I79" s="60" t="s">
        <v>51</v>
      </c>
      <c r="J79" s="60" t="s">
        <v>265</v>
      </c>
      <c r="K79" s="60" t="s">
        <v>24</v>
      </c>
      <c r="L79" s="67">
        <v>4914</v>
      </c>
      <c r="M79" s="62" t="s">
        <v>283</v>
      </c>
      <c r="N79" s="60" t="s">
        <v>211</v>
      </c>
      <c r="O79" s="11" t="s">
        <v>55</v>
      </c>
      <c r="P79" s="99">
        <v>45789.552974537037</v>
      </c>
      <c r="Q79" s="98">
        <f t="shared" ca="1" si="5"/>
        <v>335.44702546296321</v>
      </c>
      <c r="R79" t="s">
        <v>333</v>
      </c>
    </row>
    <row r="80" spans="1:18">
      <c r="A80" s="58">
        <f t="shared" si="3"/>
        <v>78</v>
      </c>
      <c r="B80" s="59" t="s">
        <v>330</v>
      </c>
      <c r="C80" s="60" t="s">
        <v>334</v>
      </c>
      <c r="D80" s="60" t="s">
        <v>335</v>
      </c>
      <c r="E80" s="61">
        <v>2500</v>
      </c>
      <c r="F80" s="61">
        <v>320</v>
      </c>
      <c r="G80" s="61">
        <v>30</v>
      </c>
      <c r="H80" s="60">
        <f t="shared" si="4"/>
        <v>75000</v>
      </c>
      <c r="I80" s="60" t="s">
        <v>336</v>
      </c>
      <c r="J80" s="60" t="s">
        <v>337</v>
      </c>
      <c r="K80" s="60" t="s">
        <v>24</v>
      </c>
      <c r="L80" s="67">
        <v>2453</v>
      </c>
      <c r="M80" s="62" t="s">
        <v>161</v>
      </c>
      <c r="N80" s="60" t="s">
        <v>54</v>
      </c>
      <c r="O80" s="11" t="s">
        <v>55</v>
      </c>
      <c r="P80" s="99">
        <v>45772.55059027778</v>
      </c>
      <c r="Q80" s="98">
        <f t="shared" ca="1" si="5"/>
        <v>352.44940972221957</v>
      </c>
    </row>
    <row r="81" spans="1:17">
      <c r="A81" s="38">
        <f t="shared" si="3"/>
        <v>79</v>
      </c>
      <c r="B81" s="32" t="s">
        <v>330</v>
      </c>
      <c r="C81" s="15" t="s">
        <v>338</v>
      </c>
      <c r="D81" s="15" t="s">
        <v>339</v>
      </c>
      <c r="E81" s="50">
        <v>750</v>
      </c>
      <c r="F81" s="50">
        <v>558</v>
      </c>
      <c r="G81" s="50">
        <v>45</v>
      </c>
      <c r="H81" s="15">
        <f t="shared" si="4"/>
        <v>33750</v>
      </c>
      <c r="I81" s="15" t="s">
        <v>340</v>
      </c>
      <c r="J81" s="15" t="s">
        <v>113</v>
      </c>
      <c r="K81" s="15" t="s">
        <v>9</v>
      </c>
      <c r="L81" s="65" t="s">
        <v>133</v>
      </c>
      <c r="M81" s="22" t="s">
        <v>341</v>
      </c>
      <c r="N81" s="15" t="s">
        <v>342</v>
      </c>
      <c r="O81" s="11" t="s">
        <v>135</v>
      </c>
      <c r="P81" s="99" t="s">
        <v>253</v>
      </c>
      <c r="Q81" s="98">
        <f t="shared" ca="1" si="5"/>
        <v>387</v>
      </c>
    </row>
    <row r="82" spans="1:17">
      <c r="A82" s="38">
        <f t="shared" si="3"/>
        <v>80</v>
      </c>
      <c r="B82" s="32" t="s">
        <v>330</v>
      </c>
      <c r="C82" s="15" t="s">
        <v>343</v>
      </c>
      <c r="D82" s="15" t="s">
        <v>344</v>
      </c>
      <c r="E82" s="50">
        <v>250</v>
      </c>
      <c r="F82" s="50">
        <v>3500</v>
      </c>
      <c r="G82" s="50">
        <v>155</v>
      </c>
      <c r="H82" s="15">
        <f t="shared" si="4"/>
        <v>38750</v>
      </c>
      <c r="I82" s="15" t="s">
        <v>125</v>
      </c>
      <c r="J82" s="15" t="s">
        <v>113</v>
      </c>
      <c r="K82" s="15" t="s">
        <v>9</v>
      </c>
      <c r="L82" s="65" t="s">
        <v>133</v>
      </c>
      <c r="M82" s="22" t="s">
        <v>270</v>
      </c>
      <c r="N82" s="15" t="s">
        <v>342</v>
      </c>
      <c r="O82" s="11" t="s">
        <v>135</v>
      </c>
      <c r="P82" s="99" t="s">
        <v>271</v>
      </c>
      <c r="Q82" s="98">
        <f t="shared" ca="1" si="5"/>
        <v>384</v>
      </c>
    </row>
    <row r="83" spans="1:17">
      <c r="A83" s="39">
        <f t="shared" si="3"/>
        <v>81</v>
      </c>
      <c r="B83" s="33" t="s">
        <v>330</v>
      </c>
      <c r="C83" s="16" t="s">
        <v>345</v>
      </c>
      <c r="D83" s="16" t="s">
        <v>346</v>
      </c>
      <c r="E83" s="51">
        <v>150</v>
      </c>
      <c r="F83" s="51">
        <v>2100</v>
      </c>
      <c r="G83" s="51">
        <v>190</v>
      </c>
      <c r="H83" s="16">
        <f t="shared" si="4"/>
        <v>28500</v>
      </c>
      <c r="I83" s="16" t="s">
        <v>347</v>
      </c>
      <c r="J83" s="16" t="s">
        <v>113</v>
      </c>
      <c r="K83" s="16" t="s">
        <v>9</v>
      </c>
      <c r="L83" s="66">
        <v>198</v>
      </c>
      <c r="M83" s="19" t="s">
        <v>55</v>
      </c>
      <c r="N83" s="16" t="s">
        <v>200</v>
      </c>
      <c r="O83" s="11" t="s">
        <v>55</v>
      </c>
      <c r="P83" s="99">
        <v>45759</v>
      </c>
      <c r="Q83" s="98">
        <f t="shared" ca="1" si="5"/>
        <v>366</v>
      </c>
    </row>
    <row r="84" spans="1:17">
      <c r="A84" s="58">
        <f t="shared" si="3"/>
        <v>82</v>
      </c>
      <c r="B84" s="59" t="s">
        <v>330</v>
      </c>
      <c r="C84" s="60" t="s">
        <v>348</v>
      </c>
      <c r="D84" s="60" t="s">
        <v>349</v>
      </c>
      <c r="E84" s="61">
        <v>100</v>
      </c>
      <c r="F84" s="61">
        <v>6800</v>
      </c>
      <c r="G84" s="61">
        <v>700</v>
      </c>
      <c r="H84" s="60">
        <f t="shared" si="4"/>
        <v>70000</v>
      </c>
      <c r="I84" s="60" t="s">
        <v>125</v>
      </c>
      <c r="J84" s="60" t="s">
        <v>60</v>
      </c>
      <c r="K84" s="60" t="s">
        <v>9</v>
      </c>
      <c r="L84" s="67">
        <v>98</v>
      </c>
      <c r="M84" s="62" t="s">
        <v>164</v>
      </c>
      <c r="N84" s="60" t="s">
        <v>200</v>
      </c>
      <c r="O84" s="11" t="s">
        <v>55</v>
      </c>
      <c r="P84" s="99">
        <v>45780.518483796295</v>
      </c>
      <c r="Q84" s="98">
        <f t="shared" ca="1" si="5"/>
        <v>344.48151620370481</v>
      </c>
    </row>
    <row r="85" spans="1:17">
      <c r="A85" s="38">
        <f t="shared" si="3"/>
        <v>83</v>
      </c>
      <c r="B85" s="32" t="s">
        <v>330</v>
      </c>
      <c r="C85" s="15" t="s">
        <v>350</v>
      </c>
      <c r="D85" s="15" t="s">
        <v>351</v>
      </c>
      <c r="E85" s="50">
        <v>5000</v>
      </c>
      <c r="F85" s="50">
        <v>85</v>
      </c>
      <c r="G85" s="137">
        <v>10.25</v>
      </c>
      <c r="H85" s="15">
        <f t="shared" si="4"/>
        <v>51250</v>
      </c>
      <c r="I85" s="15" t="s">
        <v>51</v>
      </c>
      <c r="J85" s="15" t="s">
        <v>265</v>
      </c>
      <c r="K85" s="15" t="s">
        <v>24</v>
      </c>
      <c r="L85" s="65" t="s">
        <v>133</v>
      </c>
      <c r="M85" s="22" t="s">
        <v>352</v>
      </c>
      <c r="N85" s="15" t="s">
        <v>211</v>
      </c>
      <c r="O85" s="11" t="s">
        <v>135</v>
      </c>
      <c r="P85" s="99" t="s">
        <v>94</v>
      </c>
      <c r="Q85" s="98">
        <f t="shared" ca="1" si="5"/>
        <v>388</v>
      </c>
    </row>
    <row r="86" spans="1:17">
      <c r="A86" s="58">
        <f t="shared" si="3"/>
        <v>84</v>
      </c>
      <c r="B86" s="59" t="s">
        <v>330</v>
      </c>
      <c r="C86" s="60" t="s">
        <v>353</v>
      </c>
      <c r="D86" s="60" t="s">
        <v>354</v>
      </c>
      <c r="E86" s="61">
        <v>5000</v>
      </c>
      <c r="F86" s="61">
        <v>80</v>
      </c>
      <c r="G86" s="135">
        <v>10</v>
      </c>
      <c r="H86" s="60">
        <f t="shared" si="4"/>
        <v>50000</v>
      </c>
      <c r="I86" s="60" t="s">
        <v>51</v>
      </c>
      <c r="J86" s="60" t="s">
        <v>265</v>
      </c>
      <c r="K86" s="60" t="s">
        <v>24</v>
      </c>
      <c r="L86" s="67">
        <v>4945</v>
      </c>
      <c r="M86" s="62" t="s">
        <v>355</v>
      </c>
      <c r="N86" s="60" t="s">
        <v>211</v>
      </c>
      <c r="O86" s="11" t="s">
        <v>55</v>
      </c>
      <c r="P86" s="99">
        <v>45783.596678240741</v>
      </c>
      <c r="Q86" s="98">
        <f t="shared" ca="1" si="5"/>
        <v>341.40332175925869</v>
      </c>
    </row>
    <row r="87" spans="1:17">
      <c r="A87" s="58">
        <f t="shared" si="3"/>
        <v>85</v>
      </c>
      <c r="B87" s="59" t="s">
        <v>149</v>
      </c>
      <c r="C87" s="60" t="s">
        <v>356</v>
      </c>
      <c r="D87" s="60" t="s">
        <v>357</v>
      </c>
      <c r="E87" s="61">
        <v>300</v>
      </c>
      <c r="F87" s="61">
        <v>3600</v>
      </c>
      <c r="G87" s="61">
        <v>160</v>
      </c>
      <c r="H87" s="60">
        <f t="shared" si="4"/>
        <v>48000</v>
      </c>
      <c r="I87" s="60" t="s">
        <v>358</v>
      </c>
      <c r="J87" s="60" t="s">
        <v>60</v>
      </c>
      <c r="K87" s="60" t="s">
        <v>2</v>
      </c>
      <c r="L87" s="67">
        <v>300</v>
      </c>
      <c r="M87" s="62" t="s">
        <v>359</v>
      </c>
      <c r="N87" s="60" t="s">
        <v>200</v>
      </c>
      <c r="O87" s="11" t="s">
        <v>55</v>
      </c>
      <c r="P87" s="99">
        <v>45769.762430555558</v>
      </c>
      <c r="Q87" s="98">
        <f t="shared" ca="1" si="5"/>
        <v>355.23756944444176</v>
      </c>
    </row>
    <row r="88" spans="1:17">
      <c r="A88" s="39">
        <f t="shared" si="3"/>
        <v>86</v>
      </c>
      <c r="B88" s="33" t="s">
        <v>149</v>
      </c>
      <c r="C88" s="16" t="s">
        <v>360</v>
      </c>
      <c r="D88" s="16" t="s">
        <v>361</v>
      </c>
      <c r="E88" s="51">
        <v>300</v>
      </c>
      <c r="F88" s="51">
        <v>1470</v>
      </c>
      <c r="G88" s="51">
        <v>152</v>
      </c>
      <c r="H88" s="16">
        <f t="shared" si="4"/>
        <v>45600</v>
      </c>
      <c r="I88" s="16" t="s">
        <v>125</v>
      </c>
      <c r="J88" s="16" t="s">
        <v>87</v>
      </c>
      <c r="K88" s="16" t="s">
        <v>2</v>
      </c>
      <c r="L88" s="66">
        <v>304</v>
      </c>
      <c r="M88" s="19" t="s">
        <v>362</v>
      </c>
      <c r="N88" s="16" t="s">
        <v>200</v>
      </c>
      <c r="O88" s="11" t="s">
        <v>55</v>
      </c>
      <c r="P88" s="99">
        <v>45757</v>
      </c>
      <c r="Q88" s="98">
        <f t="shared" ca="1" si="5"/>
        <v>368</v>
      </c>
    </row>
    <row r="89" spans="1:17">
      <c r="A89" s="58">
        <f t="shared" si="3"/>
        <v>87</v>
      </c>
      <c r="B89" s="59" t="s">
        <v>149</v>
      </c>
      <c r="C89" s="60" t="s">
        <v>363</v>
      </c>
      <c r="D89" s="60" t="s">
        <v>364</v>
      </c>
      <c r="E89" s="61">
        <v>250</v>
      </c>
      <c r="F89" s="61">
        <v>900</v>
      </c>
      <c r="G89" s="61">
        <v>85</v>
      </c>
      <c r="H89" s="60">
        <f t="shared" si="4"/>
        <v>21250</v>
      </c>
      <c r="I89" s="60" t="s">
        <v>365</v>
      </c>
      <c r="J89" s="60" t="s">
        <v>100</v>
      </c>
      <c r="K89" s="60" t="s">
        <v>2</v>
      </c>
      <c r="L89" s="67">
        <v>245</v>
      </c>
      <c r="M89" s="62" t="s">
        <v>366</v>
      </c>
      <c r="N89" s="60" t="s">
        <v>200</v>
      </c>
      <c r="O89" s="11" t="s">
        <v>55</v>
      </c>
      <c r="P89" s="99">
        <v>45770.631562499999</v>
      </c>
      <c r="Q89" s="98">
        <f t="shared" ca="1" si="5"/>
        <v>354.36843750000116</v>
      </c>
    </row>
    <row r="90" spans="1:17">
      <c r="A90" s="41">
        <f t="shared" si="3"/>
        <v>88</v>
      </c>
      <c r="B90" s="35" t="s">
        <v>149</v>
      </c>
      <c r="C90" s="18" t="s">
        <v>367</v>
      </c>
      <c r="D90" s="18" t="s">
        <v>368</v>
      </c>
      <c r="E90" s="53">
        <v>300</v>
      </c>
      <c r="F90" s="53">
        <v>900</v>
      </c>
      <c r="G90" s="53">
        <v>0</v>
      </c>
      <c r="H90" s="18">
        <f t="shared" si="4"/>
        <v>0</v>
      </c>
      <c r="I90" s="18" t="s">
        <v>358</v>
      </c>
      <c r="J90" s="18" t="s">
        <v>133</v>
      </c>
      <c r="K90" s="18" t="s">
        <v>2</v>
      </c>
      <c r="L90" s="69" t="s">
        <v>133</v>
      </c>
      <c r="M90" s="24" t="s">
        <v>369</v>
      </c>
      <c r="N90" s="18" t="s">
        <v>133</v>
      </c>
      <c r="O90" s="11" t="s">
        <v>370</v>
      </c>
      <c r="P90" s="99"/>
      <c r="Q90" s="98">
        <f t="shared" ca="1" si="5"/>
        <v>46125</v>
      </c>
    </row>
    <row r="91" spans="1:17">
      <c r="A91" s="58">
        <f t="shared" si="3"/>
        <v>89</v>
      </c>
      <c r="B91" s="59" t="s">
        <v>149</v>
      </c>
      <c r="C91" s="60" t="s">
        <v>371</v>
      </c>
      <c r="D91" s="60" t="s">
        <v>372</v>
      </c>
      <c r="E91" s="61">
        <v>500</v>
      </c>
      <c r="F91" s="61">
        <v>1300</v>
      </c>
      <c r="G91" s="61">
        <v>90</v>
      </c>
      <c r="H91" s="60">
        <f t="shared" si="4"/>
        <v>45000</v>
      </c>
      <c r="I91" s="60" t="s">
        <v>66</v>
      </c>
      <c r="J91" s="60" t="s">
        <v>60</v>
      </c>
      <c r="K91" s="60" t="s">
        <v>19</v>
      </c>
      <c r="L91" s="67" t="s">
        <v>133</v>
      </c>
      <c r="M91" s="62" t="s">
        <v>373</v>
      </c>
      <c r="N91" s="60" t="s">
        <v>374</v>
      </c>
      <c r="O91" s="11" t="s">
        <v>55</v>
      </c>
      <c r="P91" s="99">
        <v>45771.537453703706</v>
      </c>
      <c r="Q91" s="98">
        <f t="shared" ca="1" si="5"/>
        <v>353.46254629629402</v>
      </c>
    </row>
    <row r="92" spans="1:17">
      <c r="A92" s="39">
        <f t="shared" si="3"/>
        <v>90</v>
      </c>
      <c r="B92" s="33" t="s">
        <v>149</v>
      </c>
      <c r="C92" s="16" t="s">
        <v>375</v>
      </c>
      <c r="D92" s="16" t="s">
        <v>376</v>
      </c>
      <c r="E92" s="51">
        <v>300</v>
      </c>
      <c r="F92" s="51">
        <v>1300</v>
      </c>
      <c r="G92" s="51">
        <v>90</v>
      </c>
      <c r="H92" s="16">
        <f t="shared" si="4"/>
        <v>27000</v>
      </c>
      <c r="I92" s="16" t="s">
        <v>66</v>
      </c>
      <c r="J92" s="16" t="s">
        <v>60</v>
      </c>
      <c r="K92" s="16" t="s">
        <v>19</v>
      </c>
      <c r="L92" s="66">
        <v>294</v>
      </c>
      <c r="M92" s="19" t="s">
        <v>55</v>
      </c>
      <c r="N92" s="16" t="s">
        <v>200</v>
      </c>
      <c r="O92" s="11" t="s">
        <v>55</v>
      </c>
      <c r="P92" s="99">
        <v>45758</v>
      </c>
      <c r="Q92" s="98">
        <f t="shared" ca="1" si="5"/>
        <v>367</v>
      </c>
    </row>
    <row r="93" spans="1:17">
      <c r="A93" s="39">
        <f t="shared" si="3"/>
        <v>91</v>
      </c>
      <c r="B93" s="33" t="s">
        <v>149</v>
      </c>
      <c r="C93" s="16" t="s">
        <v>377</v>
      </c>
      <c r="D93" s="16" t="s">
        <v>378</v>
      </c>
      <c r="E93" s="51">
        <v>300</v>
      </c>
      <c r="F93" s="51">
        <v>1100</v>
      </c>
      <c r="G93" s="51">
        <v>69</v>
      </c>
      <c r="H93" s="16">
        <f t="shared" si="4"/>
        <v>20700</v>
      </c>
      <c r="I93" s="16" t="s">
        <v>66</v>
      </c>
      <c r="J93" s="16" t="s">
        <v>60</v>
      </c>
      <c r="K93" s="16" t="s">
        <v>4</v>
      </c>
      <c r="L93" s="66">
        <v>303</v>
      </c>
      <c r="M93" s="19" t="s">
        <v>55</v>
      </c>
      <c r="N93" s="16" t="s">
        <v>76</v>
      </c>
      <c r="O93" s="11" t="s">
        <v>55</v>
      </c>
      <c r="P93" s="99" t="s">
        <v>379</v>
      </c>
      <c r="Q93" s="98">
        <f t="shared" ca="1" si="5"/>
        <v>362.29791666667006</v>
      </c>
    </row>
    <row r="94" spans="1:17">
      <c r="A94" s="58">
        <f t="shared" si="3"/>
        <v>92</v>
      </c>
      <c r="B94" s="59" t="s">
        <v>149</v>
      </c>
      <c r="C94" s="60" t="s">
        <v>380</v>
      </c>
      <c r="D94" s="60" t="s">
        <v>381</v>
      </c>
      <c r="E94" s="61">
        <v>300</v>
      </c>
      <c r="F94" s="61">
        <v>1250</v>
      </c>
      <c r="G94" s="61">
        <v>72</v>
      </c>
      <c r="H94" s="60">
        <f t="shared" si="4"/>
        <v>21600</v>
      </c>
      <c r="I94" s="60" t="s">
        <v>125</v>
      </c>
      <c r="J94" s="60" t="s">
        <v>113</v>
      </c>
      <c r="K94" s="60" t="s">
        <v>19</v>
      </c>
      <c r="L94" s="67">
        <v>299</v>
      </c>
      <c r="M94" s="62" t="s">
        <v>382</v>
      </c>
      <c r="N94" s="60" t="s">
        <v>342</v>
      </c>
      <c r="O94" s="11" t="s">
        <v>55</v>
      </c>
      <c r="P94" s="99">
        <v>45789.554178240738</v>
      </c>
      <c r="Q94" s="98">
        <f t="shared" ca="1" si="5"/>
        <v>335.44582175926189</v>
      </c>
    </row>
    <row r="95" spans="1:17">
      <c r="A95" s="38">
        <f t="shared" si="3"/>
        <v>93</v>
      </c>
      <c r="B95" s="32" t="s">
        <v>149</v>
      </c>
      <c r="C95" s="15" t="s">
        <v>383</v>
      </c>
      <c r="D95" s="15" t="s">
        <v>384</v>
      </c>
      <c r="E95" s="50">
        <v>2000</v>
      </c>
      <c r="F95" s="50" t="s">
        <v>231</v>
      </c>
      <c r="G95" s="137">
        <v>27.5</v>
      </c>
      <c r="H95" s="15">
        <f t="shared" si="4"/>
        <v>55000</v>
      </c>
      <c r="I95" s="15" t="s">
        <v>227</v>
      </c>
      <c r="J95" s="15" t="s">
        <v>385</v>
      </c>
      <c r="K95" s="15" t="s">
        <v>20</v>
      </c>
      <c r="L95" s="65" t="s">
        <v>133</v>
      </c>
      <c r="M95" s="22" t="s">
        <v>386</v>
      </c>
      <c r="N95" s="15" t="s">
        <v>211</v>
      </c>
      <c r="O95" s="11" t="s">
        <v>135</v>
      </c>
      <c r="P95" s="99">
        <v>45759</v>
      </c>
      <c r="Q95" s="98">
        <f t="shared" ca="1" si="5"/>
        <v>366</v>
      </c>
    </row>
    <row r="96" spans="1:17">
      <c r="A96" s="39">
        <f t="shared" si="3"/>
        <v>94</v>
      </c>
      <c r="B96" s="33" t="s">
        <v>149</v>
      </c>
      <c r="C96" s="16" t="s">
        <v>387</v>
      </c>
      <c r="D96" s="16" t="s">
        <v>388</v>
      </c>
      <c r="E96" s="51">
        <v>500</v>
      </c>
      <c r="F96" s="51">
        <v>1350</v>
      </c>
      <c r="G96" s="51">
        <v>100</v>
      </c>
      <c r="H96" s="16">
        <f t="shared" si="4"/>
        <v>50000</v>
      </c>
      <c r="I96" s="16" t="s">
        <v>59</v>
      </c>
      <c r="J96" s="16" t="s">
        <v>87</v>
      </c>
      <c r="K96" s="16" t="s">
        <v>21</v>
      </c>
      <c r="L96" s="66">
        <v>492</v>
      </c>
      <c r="M96" s="19" t="s">
        <v>373</v>
      </c>
      <c r="N96" s="16" t="s">
        <v>89</v>
      </c>
      <c r="O96" s="11" t="s">
        <v>55</v>
      </c>
      <c r="P96" s="99" t="s">
        <v>389</v>
      </c>
      <c r="Q96" s="98">
        <f t="shared" ca="1" si="5"/>
        <v>360.43888888888614</v>
      </c>
    </row>
    <row r="97" spans="1:17">
      <c r="A97" s="38">
        <f t="shared" si="3"/>
        <v>95</v>
      </c>
      <c r="B97" s="32" t="s">
        <v>149</v>
      </c>
      <c r="C97" s="15" t="s">
        <v>390</v>
      </c>
      <c r="D97" s="15" t="s">
        <v>391</v>
      </c>
      <c r="E97" s="50">
        <v>2000</v>
      </c>
      <c r="F97" s="50">
        <v>390</v>
      </c>
      <c r="G97" s="50">
        <v>53</v>
      </c>
      <c r="H97" s="15">
        <f t="shared" si="4"/>
        <v>106000</v>
      </c>
      <c r="I97" s="15" t="s">
        <v>237</v>
      </c>
      <c r="J97" s="15" t="s">
        <v>265</v>
      </c>
      <c r="K97" s="15" t="s">
        <v>21</v>
      </c>
      <c r="L97" s="65" t="s">
        <v>133</v>
      </c>
      <c r="M97" s="22" t="s">
        <v>392</v>
      </c>
      <c r="N97" s="15" t="s">
        <v>89</v>
      </c>
      <c r="O97" s="11" t="s">
        <v>135</v>
      </c>
      <c r="P97" s="99">
        <v>45748</v>
      </c>
      <c r="Q97" s="98">
        <f t="shared" ca="1" si="5"/>
        <v>377</v>
      </c>
    </row>
    <row r="98" spans="1:17">
      <c r="A98" s="38">
        <f t="shared" si="3"/>
        <v>96</v>
      </c>
      <c r="B98" s="32" t="s">
        <v>149</v>
      </c>
      <c r="C98" s="15" t="s">
        <v>393</v>
      </c>
      <c r="D98" s="15" t="s">
        <v>394</v>
      </c>
      <c r="E98" s="50">
        <v>2000</v>
      </c>
      <c r="F98" s="50">
        <v>115</v>
      </c>
      <c r="G98" s="137">
        <v>14.2</v>
      </c>
      <c r="H98" s="15">
        <f t="shared" si="4"/>
        <v>28400</v>
      </c>
      <c r="I98" s="15" t="s">
        <v>227</v>
      </c>
      <c r="J98" s="15" t="s">
        <v>228</v>
      </c>
      <c r="K98" s="15" t="s">
        <v>22</v>
      </c>
      <c r="L98" s="65" t="s">
        <v>133</v>
      </c>
      <c r="M98" s="22" t="s">
        <v>395</v>
      </c>
      <c r="N98" s="15" t="s">
        <v>211</v>
      </c>
      <c r="O98" s="11" t="s">
        <v>135</v>
      </c>
      <c r="P98" s="99">
        <v>45758</v>
      </c>
      <c r="Q98" s="98">
        <f t="shared" ca="1" si="5"/>
        <v>367</v>
      </c>
    </row>
    <row r="99" spans="1:17">
      <c r="A99" s="38">
        <f t="shared" si="3"/>
        <v>97</v>
      </c>
      <c r="B99" s="32" t="s">
        <v>149</v>
      </c>
      <c r="C99" s="15" t="s">
        <v>396</v>
      </c>
      <c r="D99" s="15" t="s">
        <v>397</v>
      </c>
      <c r="E99" s="50">
        <v>2000</v>
      </c>
      <c r="F99" s="50">
        <v>190</v>
      </c>
      <c r="G99" s="137">
        <v>18.5</v>
      </c>
      <c r="H99" s="15">
        <f t="shared" si="4"/>
        <v>37000</v>
      </c>
      <c r="I99" s="15" t="s">
        <v>227</v>
      </c>
      <c r="J99" s="15" t="s">
        <v>228</v>
      </c>
      <c r="K99" s="15" t="s">
        <v>22</v>
      </c>
      <c r="L99" s="65" t="s">
        <v>133</v>
      </c>
      <c r="M99" s="22" t="s">
        <v>395</v>
      </c>
      <c r="N99" s="15" t="s">
        <v>398</v>
      </c>
      <c r="O99" s="11" t="s">
        <v>135</v>
      </c>
      <c r="P99" s="99">
        <v>45758</v>
      </c>
      <c r="Q99" s="98">
        <f t="shared" ca="1" si="5"/>
        <v>367</v>
      </c>
    </row>
    <row r="100" spans="1:17">
      <c r="A100" s="39">
        <f t="shared" si="3"/>
        <v>98</v>
      </c>
      <c r="B100" s="33">
        <v>45811</v>
      </c>
      <c r="C100" s="16" t="s">
        <v>399</v>
      </c>
      <c r="D100" s="16" t="s">
        <v>400</v>
      </c>
      <c r="E100" s="51">
        <v>500</v>
      </c>
      <c r="F100" s="51" t="s">
        <v>231</v>
      </c>
      <c r="G100" s="51">
        <v>305</v>
      </c>
      <c r="H100" s="16">
        <f t="shared" si="4"/>
        <v>152500</v>
      </c>
      <c r="I100" s="16" t="s">
        <v>286</v>
      </c>
      <c r="J100" s="16" t="s">
        <v>60</v>
      </c>
      <c r="K100" s="16" t="s">
        <v>4</v>
      </c>
      <c r="L100" s="66">
        <v>424</v>
      </c>
      <c r="M100" s="19" t="s">
        <v>168</v>
      </c>
      <c r="N100" s="16" t="s">
        <v>211</v>
      </c>
      <c r="O100" s="11" t="s">
        <v>55</v>
      </c>
      <c r="P100" s="99" t="s">
        <v>401</v>
      </c>
      <c r="Q100" s="98">
        <f t="shared" ca="1" si="5"/>
        <v>359.4333333333343</v>
      </c>
    </row>
    <row r="101" spans="1:17">
      <c r="A101" s="38">
        <f t="shared" si="3"/>
        <v>99</v>
      </c>
      <c r="B101" s="32" t="s">
        <v>149</v>
      </c>
      <c r="C101" s="15" t="s">
        <v>402</v>
      </c>
      <c r="D101" s="15" t="s">
        <v>403</v>
      </c>
      <c r="E101" s="50">
        <v>2000</v>
      </c>
      <c r="F101" s="50" t="s">
        <v>231</v>
      </c>
      <c r="G101" s="50">
        <v>14</v>
      </c>
      <c r="H101" s="15">
        <f t="shared" si="4"/>
        <v>28000</v>
      </c>
      <c r="I101" s="15" t="s">
        <v>227</v>
      </c>
      <c r="J101" s="15" t="s">
        <v>228</v>
      </c>
      <c r="K101" s="15" t="s">
        <v>22</v>
      </c>
      <c r="L101" s="65" t="s">
        <v>133</v>
      </c>
      <c r="M101" s="22" t="s">
        <v>404</v>
      </c>
      <c r="N101" s="15" t="s">
        <v>398</v>
      </c>
      <c r="O101" s="11" t="s">
        <v>135</v>
      </c>
      <c r="P101" s="99">
        <v>45759</v>
      </c>
      <c r="Q101" s="98">
        <f t="shared" ca="1" si="5"/>
        <v>366</v>
      </c>
    </row>
    <row r="102" spans="1:17">
      <c r="A102" s="38">
        <f t="shared" si="3"/>
        <v>100</v>
      </c>
      <c r="B102" s="32" t="s">
        <v>149</v>
      </c>
      <c r="C102" s="15" t="s">
        <v>405</v>
      </c>
      <c r="D102" s="15" t="s">
        <v>406</v>
      </c>
      <c r="E102" s="50">
        <v>2000</v>
      </c>
      <c r="F102" s="50" t="s">
        <v>231</v>
      </c>
      <c r="G102" s="137">
        <v>15.5</v>
      </c>
      <c r="H102" s="15">
        <f t="shared" si="4"/>
        <v>31000</v>
      </c>
      <c r="I102" s="15" t="s">
        <v>227</v>
      </c>
      <c r="J102" s="15" t="s">
        <v>228</v>
      </c>
      <c r="K102" s="15" t="s">
        <v>22</v>
      </c>
      <c r="L102" s="65" t="s">
        <v>133</v>
      </c>
      <c r="M102" s="22" t="s">
        <v>404</v>
      </c>
      <c r="N102" s="15" t="s">
        <v>398</v>
      </c>
      <c r="O102" s="11" t="s">
        <v>135</v>
      </c>
      <c r="P102" s="99">
        <v>45759</v>
      </c>
      <c r="Q102" s="98">
        <f t="shared" ca="1" si="5"/>
        <v>366</v>
      </c>
    </row>
    <row r="103" spans="1:17">
      <c r="A103" s="38">
        <f t="shared" si="3"/>
        <v>101</v>
      </c>
      <c r="B103" s="32" t="s">
        <v>407</v>
      </c>
      <c r="C103" s="15" t="s">
        <v>408</v>
      </c>
      <c r="D103" s="15" t="s">
        <v>368</v>
      </c>
      <c r="E103" s="50">
        <v>300</v>
      </c>
      <c r="F103" s="50">
        <v>900</v>
      </c>
      <c r="G103" s="50">
        <v>125</v>
      </c>
      <c r="H103" s="15">
        <f t="shared" si="4"/>
        <v>37500</v>
      </c>
      <c r="I103" s="15" t="s">
        <v>409</v>
      </c>
      <c r="J103" s="15" t="s">
        <v>60</v>
      </c>
      <c r="K103" s="15" t="s">
        <v>2</v>
      </c>
      <c r="L103" s="65" t="s">
        <v>133</v>
      </c>
      <c r="M103" s="22" t="s">
        <v>410</v>
      </c>
      <c r="N103" s="15" t="s">
        <v>342</v>
      </c>
      <c r="O103" s="11" t="s">
        <v>135</v>
      </c>
      <c r="P103" s="99" t="s">
        <v>411</v>
      </c>
      <c r="Q103" s="98">
        <f t="shared" ca="1" si="5"/>
        <v>389</v>
      </c>
    </row>
    <row r="104" spans="1:17">
      <c r="A104" s="58">
        <f t="shared" si="3"/>
        <v>102</v>
      </c>
      <c r="B104" s="59">
        <v>45660</v>
      </c>
      <c r="C104" s="60" t="s">
        <v>412</v>
      </c>
      <c r="D104" s="60" t="s">
        <v>413</v>
      </c>
      <c r="E104" s="61">
        <v>300</v>
      </c>
      <c r="F104" s="61">
        <v>2240</v>
      </c>
      <c r="G104" s="61">
        <v>325</v>
      </c>
      <c r="H104" s="60">
        <f t="shared" si="4"/>
        <v>97500</v>
      </c>
      <c r="I104" s="60" t="s">
        <v>66</v>
      </c>
      <c r="J104" s="60" t="s">
        <v>60</v>
      </c>
      <c r="K104" s="60" t="s">
        <v>7</v>
      </c>
      <c r="L104" s="67">
        <v>294</v>
      </c>
      <c r="M104" s="62" t="s">
        <v>355</v>
      </c>
      <c r="N104" s="60" t="s">
        <v>211</v>
      </c>
      <c r="O104" s="11" t="s">
        <v>55</v>
      </c>
      <c r="P104" s="99">
        <v>45783.600254629629</v>
      </c>
      <c r="Q104" s="98">
        <f t="shared" ca="1" si="5"/>
        <v>341.39974537037051</v>
      </c>
    </row>
    <row r="105" spans="1:17">
      <c r="A105" s="58">
        <f t="shared" si="3"/>
        <v>103</v>
      </c>
      <c r="B105" s="59">
        <v>45660</v>
      </c>
      <c r="C105" s="60" t="s">
        <v>414</v>
      </c>
      <c r="D105" s="60" t="s">
        <v>415</v>
      </c>
      <c r="E105" s="61">
        <v>500</v>
      </c>
      <c r="F105" s="61">
        <v>2100</v>
      </c>
      <c r="G105" s="61">
        <v>384</v>
      </c>
      <c r="H105" s="60">
        <f t="shared" si="4"/>
        <v>192000</v>
      </c>
      <c r="I105" s="60" t="s">
        <v>416</v>
      </c>
      <c r="J105" s="60" t="s">
        <v>60</v>
      </c>
      <c r="K105" s="60" t="s">
        <v>7</v>
      </c>
      <c r="L105" s="67">
        <v>492</v>
      </c>
      <c r="M105" s="62" t="s">
        <v>355</v>
      </c>
      <c r="N105" s="60" t="s">
        <v>211</v>
      </c>
      <c r="O105" s="11" t="s">
        <v>55</v>
      </c>
      <c r="P105" s="99">
        <v>45783.59815972222</v>
      </c>
      <c r="Q105" s="98">
        <f t="shared" ca="1" si="5"/>
        <v>341.40184027778014</v>
      </c>
    </row>
    <row r="106" spans="1:17">
      <c r="A106" s="58">
        <f t="shared" si="3"/>
        <v>104</v>
      </c>
      <c r="B106" s="59">
        <v>45719</v>
      </c>
      <c r="C106" s="60" t="s">
        <v>417</v>
      </c>
      <c r="D106" s="60" t="s">
        <v>418</v>
      </c>
      <c r="E106" s="61">
        <v>300</v>
      </c>
      <c r="F106" s="61">
        <v>2450</v>
      </c>
      <c r="G106" s="61">
        <v>210</v>
      </c>
      <c r="H106" s="60">
        <f t="shared" si="4"/>
        <v>63000</v>
      </c>
      <c r="I106" s="60" t="s">
        <v>66</v>
      </c>
      <c r="J106" s="60" t="s">
        <v>60</v>
      </c>
      <c r="K106" s="60" t="s">
        <v>26</v>
      </c>
      <c r="L106" s="67">
        <v>296</v>
      </c>
      <c r="M106" s="62" t="s">
        <v>419</v>
      </c>
      <c r="N106" s="60" t="s">
        <v>76</v>
      </c>
      <c r="O106" s="11" t="s">
        <v>55</v>
      </c>
      <c r="P106" s="99">
        <v>45784.719050925924</v>
      </c>
      <c r="Q106" s="98">
        <f t="shared" ca="1" si="5"/>
        <v>340.28094907407649</v>
      </c>
    </row>
    <row r="107" spans="1:17" ht="15.75">
      <c r="A107" s="39">
        <f t="shared" si="3"/>
        <v>105</v>
      </c>
      <c r="B107" s="33">
        <v>45719</v>
      </c>
      <c r="C107" s="16" t="s">
        <v>420</v>
      </c>
      <c r="D107" s="20" t="s">
        <v>421</v>
      </c>
      <c r="E107" s="51">
        <v>2000</v>
      </c>
      <c r="F107" s="51">
        <v>105</v>
      </c>
      <c r="G107" s="51">
        <v>16</v>
      </c>
      <c r="H107" s="16">
        <f t="shared" si="4"/>
        <v>32000</v>
      </c>
      <c r="I107" s="16" t="s">
        <v>237</v>
      </c>
      <c r="J107" s="16" t="s">
        <v>265</v>
      </c>
      <c r="K107" s="16" t="s">
        <v>1</v>
      </c>
      <c r="L107" s="66">
        <v>2019</v>
      </c>
      <c r="M107" s="19" t="s">
        <v>88</v>
      </c>
      <c r="N107" s="16" t="s">
        <v>422</v>
      </c>
      <c r="O107" s="11" t="s">
        <v>55</v>
      </c>
      <c r="P107" s="99" t="s">
        <v>90</v>
      </c>
      <c r="Q107" s="98">
        <f t="shared" ca="1" si="5"/>
        <v>382</v>
      </c>
    </row>
    <row r="108" spans="1:17" ht="15.75">
      <c r="A108" s="38">
        <f t="shared" si="3"/>
        <v>106</v>
      </c>
      <c r="B108" s="32">
        <v>45719</v>
      </c>
      <c r="C108" s="15" t="s">
        <v>423</v>
      </c>
      <c r="D108" s="21" t="s">
        <v>424</v>
      </c>
      <c r="E108" s="50">
        <v>5000</v>
      </c>
      <c r="F108" s="50">
        <v>90</v>
      </c>
      <c r="G108" s="50">
        <v>9</v>
      </c>
      <c r="H108" s="15">
        <f t="shared" si="4"/>
        <v>45000</v>
      </c>
      <c r="I108" s="15" t="s">
        <v>425</v>
      </c>
      <c r="J108" s="15" t="s">
        <v>144</v>
      </c>
      <c r="K108" s="15" t="s">
        <v>26</v>
      </c>
      <c r="L108" s="65" t="s">
        <v>133</v>
      </c>
      <c r="M108" s="22" t="s">
        <v>426</v>
      </c>
      <c r="N108" s="15" t="s">
        <v>422</v>
      </c>
      <c r="O108" s="11" t="s">
        <v>135</v>
      </c>
      <c r="P108" s="99" t="s">
        <v>115</v>
      </c>
      <c r="Q108" s="98">
        <f t="shared" ca="1" si="5"/>
        <v>383</v>
      </c>
    </row>
    <row r="109" spans="1:17" ht="15.75">
      <c r="A109" s="58">
        <f t="shared" si="3"/>
        <v>107</v>
      </c>
      <c r="B109" s="59">
        <v>45719</v>
      </c>
      <c r="C109" s="60" t="s">
        <v>427</v>
      </c>
      <c r="D109" s="132" t="s">
        <v>428</v>
      </c>
      <c r="E109" s="61">
        <v>500</v>
      </c>
      <c r="F109" s="61">
        <v>980</v>
      </c>
      <c r="G109" s="61">
        <v>50</v>
      </c>
      <c r="H109" s="60">
        <f t="shared" si="4"/>
        <v>25000</v>
      </c>
      <c r="I109" s="60" t="s">
        <v>59</v>
      </c>
      <c r="J109" s="60" t="s">
        <v>60</v>
      </c>
      <c r="K109" s="60" t="s">
        <v>26</v>
      </c>
      <c r="L109" s="67">
        <v>448</v>
      </c>
      <c r="M109" s="62" t="s">
        <v>419</v>
      </c>
      <c r="N109" s="60" t="s">
        <v>429</v>
      </c>
      <c r="O109" s="11" t="s">
        <v>55</v>
      </c>
      <c r="P109" s="99">
        <v>45784.717893518522</v>
      </c>
      <c r="Q109" s="98">
        <f t="shared" ca="1" si="5"/>
        <v>340.28210648147797</v>
      </c>
    </row>
    <row r="110" spans="1:17" ht="15.75">
      <c r="A110" s="39">
        <f t="shared" si="3"/>
        <v>108</v>
      </c>
      <c r="B110" s="33">
        <v>45719</v>
      </c>
      <c r="C110" s="16" t="s">
        <v>430</v>
      </c>
      <c r="D110" s="20" t="s">
        <v>431</v>
      </c>
      <c r="E110" s="51">
        <v>600</v>
      </c>
      <c r="F110" s="51">
        <v>310</v>
      </c>
      <c r="G110" s="51">
        <v>48</v>
      </c>
      <c r="H110" s="16">
        <f t="shared" si="4"/>
        <v>28800</v>
      </c>
      <c r="I110" s="16" t="s">
        <v>432</v>
      </c>
      <c r="J110" s="16" t="s">
        <v>433</v>
      </c>
      <c r="K110" s="16" t="s">
        <v>13</v>
      </c>
      <c r="L110" s="66">
        <v>620</v>
      </c>
      <c r="M110" s="19" t="s">
        <v>181</v>
      </c>
      <c r="N110" s="16" t="s">
        <v>374</v>
      </c>
      <c r="O110" s="11" t="s">
        <v>55</v>
      </c>
      <c r="P110" s="99" t="s">
        <v>434</v>
      </c>
      <c r="Q110" s="98">
        <f t="shared" ca="1" si="5"/>
        <v>359.53888888889196</v>
      </c>
    </row>
    <row r="111" spans="1:17" s="6" customFormat="1" ht="30">
      <c r="A111" s="39">
        <f t="shared" si="3"/>
        <v>109</v>
      </c>
      <c r="B111" s="33">
        <v>45719</v>
      </c>
      <c r="C111" s="55" t="s">
        <v>435</v>
      </c>
      <c r="D111" s="95" t="s">
        <v>431</v>
      </c>
      <c r="E111" s="39">
        <v>600</v>
      </c>
      <c r="F111" s="39">
        <v>390</v>
      </c>
      <c r="G111" s="39">
        <v>48</v>
      </c>
      <c r="H111" s="55">
        <f t="shared" si="4"/>
        <v>28800</v>
      </c>
      <c r="I111" s="55" t="s">
        <v>432</v>
      </c>
      <c r="J111" s="55" t="s">
        <v>433</v>
      </c>
      <c r="K111" s="55" t="s">
        <v>13</v>
      </c>
      <c r="L111" s="96" t="s">
        <v>436</v>
      </c>
      <c r="M111" s="56" t="s">
        <v>181</v>
      </c>
      <c r="N111" s="55" t="s">
        <v>374</v>
      </c>
      <c r="O111" s="57" t="s">
        <v>55</v>
      </c>
      <c r="P111" s="102" t="s">
        <v>434</v>
      </c>
      <c r="Q111" s="98">
        <f t="shared" ca="1" si="5"/>
        <v>359.53888888889196</v>
      </c>
    </row>
    <row r="112" spans="1:17" ht="15.75">
      <c r="A112" s="38">
        <f t="shared" si="3"/>
        <v>110</v>
      </c>
      <c r="B112" s="32">
        <v>45811</v>
      </c>
      <c r="C112" s="15" t="s">
        <v>437</v>
      </c>
      <c r="D112" s="21" t="s">
        <v>438</v>
      </c>
      <c r="E112" s="50">
        <v>150</v>
      </c>
      <c r="F112" s="50">
        <v>4900</v>
      </c>
      <c r="G112" s="50">
        <v>440</v>
      </c>
      <c r="H112" s="15">
        <f t="shared" si="4"/>
        <v>66000</v>
      </c>
      <c r="I112" s="15" t="s">
        <v>286</v>
      </c>
      <c r="J112" s="15" t="s">
        <v>60</v>
      </c>
      <c r="K112" s="15" t="s">
        <v>26</v>
      </c>
      <c r="L112" s="65" t="s">
        <v>133</v>
      </c>
      <c r="M112" s="22" t="s">
        <v>426</v>
      </c>
      <c r="N112" s="15" t="s">
        <v>439</v>
      </c>
      <c r="O112" s="11" t="s">
        <v>135</v>
      </c>
      <c r="P112" s="99" t="s">
        <v>115</v>
      </c>
      <c r="Q112" s="98">
        <f t="shared" ca="1" si="5"/>
        <v>383</v>
      </c>
    </row>
    <row r="113" spans="1:18">
      <c r="A113" s="38">
        <f t="shared" si="3"/>
        <v>111</v>
      </c>
      <c r="B113" s="32" t="s">
        <v>440</v>
      </c>
      <c r="C113" s="15" t="s">
        <v>441</v>
      </c>
      <c r="D113" s="15" t="s">
        <v>442</v>
      </c>
      <c r="E113" s="50">
        <v>1200</v>
      </c>
      <c r="F113" s="50">
        <v>132</v>
      </c>
      <c r="G113" s="137">
        <v>14.5</v>
      </c>
      <c r="H113" s="15">
        <f t="shared" si="4"/>
        <v>17400</v>
      </c>
      <c r="I113" s="15" t="s">
        <v>264</v>
      </c>
      <c r="J113" s="15" t="s">
        <v>265</v>
      </c>
      <c r="K113" s="15" t="s">
        <v>20</v>
      </c>
      <c r="L113" s="65" t="s">
        <v>133</v>
      </c>
      <c r="M113" s="22" t="s">
        <v>443</v>
      </c>
      <c r="N113" s="15" t="s">
        <v>133</v>
      </c>
      <c r="O113" s="11" t="s">
        <v>135</v>
      </c>
      <c r="P113" s="99">
        <v>45754</v>
      </c>
      <c r="Q113" s="98">
        <f t="shared" ca="1" si="5"/>
        <v>371</v>
      </c>
    </row>
    <row r="114" spans="1:18">
      <c r="A114" s="38">
        <f t="shared" si="3"/>
        <v>112</v>
      </c>
      <c r="B114" s="32">
        <v>45811</v>
      </c>
      <c r="C114" s="15" t="s">
        <v>444</v>
      </c>
      <c r="D114" s="15" t="s">
        <v>445</v>
      </c>
      <c r="E114" s="50">
        <v>300</v>
      </c>
      <c r="F114" s="50">
        <v>890</v>
      </c>
      <c r="G114" s="50">
        <v>82</v>
      </c>
      <c r="H114" s="15">
        <f t="shared" si="4"/>
        <v>24600</v>
      </c>
      <c r="I114" s="15" t="s">
        <v>59</v>
      </c>
      <c r="J114" s="15" t="s">
        <v>60</v>
      </c>
      <c r="K114" s="15" t="s">
        <v>4</v>
      </c>
      <c r="L114" s="65" t="s">
        <v>133</v>
      </c>
      <c r="M114" s="22" t="s">
        <v>446</v>
      </c>
      <c r="N114" s="15" t="s">
        <v>211</v>
      </c>
      <c r="O114" s="11" t="s">
        <v>135</v>
      </c>
      <c r="P114" s="103" t="s">
        <v>447</v>
      </c>
      <c r="Q114" s="98">
        <f t="shared" ca="1" si="5"/>
        <v>363.36527777777519</v>
      </c>
    </row>
    <row r="115" spans="1:18">
      <c r="A115" s="39">
        <f t="shared" si="3"/>
        <v>113</v>
      </c>
      <c r="B115" s="33">
        <v>45811</v>
      </c>
      <c r="C115" s="16" t="s">
        <v>448</v>
      </c>
      <c r="D115" s="16" t="s">
        <v>449</v>
      </c>
      <c r="E115" s="51">
        <v>300</v>
      </c>
      <c r="F115" s="51">
        <v>1450</v>
      </c>
      <c r="G115" s="51">
        <v>150</v>
      </c>
      <c r="H115" s="16">
        <f t="shared" si="4"/>
        <v>45000</v>
      </c>
      <c r="I115" s="16" t="s">
        <v>59</v>
      </c>
      <c r="J115" s="16" t="s">
        <v>60</v>
      </c>
      <c r="K115" s="16" t="s">
        <v>4</v>
      </c>
      <c r="L115" s="66">
        <v>307</v>
      </c>
      <c r="M115" s="19" t="s">
        <v>450</v>
      </c>
      <c r="N115" s="16" t="s">
        <v>211</v>
      </c>
      <c r="O115" s="11" t="s">
        <v>55</v>
      </c>
      <c r="P115" s="99" t="s">
        <v>451</v>
      </c>
      <c r="Q115" s="98">
        <f t="shared" ca="1" si="5"/>
        <v>360.26458333332994</v>
      </c>
    </row>
    <row r="116" spans="1:18">
      <c r="A116" s="58">
        <f t="shared" si="3"/>
        <v>114</v>
      </c>
      <c r="B116" s="59" t="s">
        <v>407</v>
      </c>
      <c r="C116" s="60" t="s">
        <v>399</v>
      </c>
      <c r="D116" s="144" t="s">
        <v>400</v>
      </c>
      <c r="E116" s="145">
        <v>500</v>
      </c>
      <c r="F116" s="145" t="s">
        <v>231</v>
      </c>
      <c r="G116" s="145">
        <v>305</v>
      </c>
      <c r="H116" s="146">
        <v>152500</v>
      </c>
      <c r="I116" s="146" t="s">
        <v>286</v>
      </c>
      <c r="J116" s="146" t="s">
        <v>60</v>
      </c>
      <c r="K116" s="146" t="s">
        <v>4</v>
      </c>
      <c r="L116" s="145">
        <v>424</v>
      </c>
      <c r="M116" s="146" t="s">
        <v>452</v>
      </c>
      <c r="N116" s="146" t="s">
        <v>211</v>
      </c>
      <c r="O116" s="11" t="s">
        <v>55</v>
      </c>
      <c r="P116" s="143">
        <v>45789.556516203702</v>
      </c>
      <c r="Q116" s="98">
        <f t="shared" ca="1" si="5"/>
        <v>335.4434837962981</v>
      </c>
    </row>
    <row r="117" spans="1:18">
      <c r="A117" s="58">
        <f t="shared" si="3"/>
        <v>115</v>
      </c>
      <c r="B117" s="59">
        <v>45841</v>
      </c>
      <c r="C117" s="60" t="s">
        <v>453</v>
      </c>
      <c r="D117" s="62" t="s">
        <v>454</v>
      </c>
      <c r="E117" s="61">
        <v>300</v>
      </c>
      <c r="F117" s="61">
        <v>2100</v>
      </c>
      <c r="G117" s="61">
        <v>110</v>
      </c>
      <c r="H117" s="60">
        <f t="shared" si="4"/>
        <v>33000</v>
      </c>
      <c r="I117" s="60" t="s">
        <v>455</v>
      </c>
      <c r="J117" s="60" t="s">
        <v>60</v>
      </c>
      <c r="K117" s="60" t="s">
        <v>26</v>
      </c>
      <c r="L117" s="67">
        <v>294</v>
      </c>
      <c r="M117" s="62" t="s">
        <v>456</v>
      </c>
      <c r="N117" s="60" t="s">
        <v>200</v>
      </c>
      <c r="O117" s="11" t="s">
        <v>55</v>
      </c>
      <c r="P117" s="99">
        <v>45789.55740740741</v>
      </c>
      <c r="Q117" s="98">
        <f t="shared" ca="1" si="5"/>
        <v>335.44259259258979</v>
      </c>
    </row>
    <row r="118" spans="1:18">
      <c r="A118" s="38">
        <f t="shared" si="3"/>
        <v>116</v>
      </c>
      <c r="B118" s="32">
        <v>45841</v>
      </c>
      <c r="C118" s="15" t="s">
        <v>457</v>
      </c>
      <c r="D118" s="22" t="s">
        <v>458</v>
      </c>
      <c r="E118" s="50">
        <v>300</v>
      </c>
      <c r="F118" s="50">
        <v>3900</v>
      </c>
      <c r="G118" s="50">
        <v>180</v>
      </c>
      <c r="H118" s="15">
        <f t="shared" si="4"/>
        <v>54000</v>
      </c>
      <c r="I118" s="15" t="s">
        <v>358</v>
      </c>
      <c r="J118" s="15" t="s">
        <v>60</v>
      </c>
      <c r="K118" s="15" t="s">
        <v>2</v>
      </c>
      <c r="L118" s="65" t="s">
        <v>133</v>
      </c>
      <c r="M118" s="22" t="s">
        <v>168</v>
      </c>
      <c r="N118" s="15" t="s">
        <v>54</v>
      </c>
      <c r="O118" s="11" t="s">
        <v>135</v>
      </c>
      <c r="P118" s="99" t="s">
        <v>68</v>
      </c>
      <c r="Q118" s="98">
        <f t="shared" ca="1" si="5"/>
        <v>392</v>
      </c>
    </row>
    <row r="119" spans="1:18">
      <c r="A119" s="39">
        <f t="shared" si="3"/>
        <v>117</v>
      </c>
      <c r="B119" s="33">
        <v>45964</v>
      </c>
      <c r="C119" s="16" t="s">
        <v>459</v>
      </c>
      <c r="D119" s="19" t="s">
        <v>460</v>
      </c>
      <c r="E119" s="51">
        <v>150</v>
      </c>
      <c r="F119" s="51">
        <v>3900</v>
      </c>
      <c r="G119" s="51">
        <v>475</v>
      </c>
      <c r="H119" s="16">
        <f t="shared" si="4"/>
        <v>71250</v>
      </c>
      <c r="I119" s="16" t="s">
        <v>66</v>
      </c>
      <c r="J119" s="16" t="s">
        <v>60</v>
      </c>
      <c r="K119" s="16" t="s">
        <v>4</v>
      </c>
      <c r="L119" s="66">
        <v>142</v>
      </c>
      <c r="M119" s="19" t="s">
        <v>461</v>
      </c>
      <c r="N119" s="16" t="s">
        <v>89</v>
      </c>
      <c r="O119" s="11" t="s">
        <v>55</v>
      </c>
      <c r="P119" s="99" t="s">
        <v>401</v>
      </c>
      <c r="Q119" s="98">
        <f t="shared" ca="1" si="5"/>
        <v>359.4333333333343</v>
      </c>
    </row>
    <row r="120" spans="1:18">
      <c r="A120" s="39">
        <f t="shared" si="3"/>
        <v>118</v>
      </c>
      <c r="B120" s="33">
        <v>45964</v>
      </c>
      <c r="C120" s="16" t="s">
        <v>462</v>
      </c>
      <c r="D120" s="19" t="s">
        <v>463</v>
      </c>
      <c r="E120" s="51">
        <v>150</v>
      </c>
      <c r="F120" s="51">
        <v>2100</v>
      </c>
      <c r="G120" s="51">
        <v>295</v>
      </c>
      <c r="H120" s="16">
        <f t="shared" si="4"/>
        <v>44250</v>
      </c>
      <c r="I120" s="16" t="s">
        <v>66</v>
      </c>
      <c r="J120" s="16" t="s">
        <v>60</v>
      </c>
      <c r="K120" s="16" t="s">
        <v>4</v>
      </c>
      <c r="L120" s="66">
        <v>156</v>
      </c>
      <c r="M120" s="19" t="s">
        <v>55</v>
      </c>
      <c r="N120" s="16" t="s">
        <v>89</v>
      </c>
      <c r="O120" s="11" t="s">
        <v>55</v>
      </c>
      <c r="P120" s="99">
        <v>45758</v>
      </c>
      <c r="Q120" s="98">
        <f t="shared" ca="1" si="5"/>
        <v>367</v>
      </c>
    </row>
    <row r="121" spans="1:18">
      <c r="A121" s="38">
        <f t="shared" si="3"/>
        <v>119</v>
      </c>
      <c r="B121" s="32">
        <v>45994</v>
      </c>
      <c r="C121" s="15" t="s">
        <v>464</v>
      </c>
      <c r="D121" s="22" t="s">
        <v>465</v>
      </c>
      <c r="E121" s="50">
        <v>200</v>
      </c>
      <c r="F121" s="50">
        <v>5900</v>
      </c>
      <c r="G121" s="50">
        <v>390</v>
      </c>
      <c r="H121" s="15">
        <f t="shared" si="4"/>
        <v>78000</v>
      </c>
      <c r="I121" s="15" t="s">
        <v>125</v>
      </c>
      <c r="J121" s="15" t="s">
        <v>113</v>
      </c>
      <c r="K121" s="15" t="s">
        <v>9</v>
      </c>
      <c r="L121" s="65" t="s">
        <v>133</v>
      </c>
      <c r="M121" s="22" t="s">
        <v>270</v>
      </c>
      <c r="N121" s="15" t="s">
        <v>133</v>
      </c>
      <c r="O121" s="11" t="s">
        <v>135</v>
      </c>
      <c r="P121" s="99" t="s">
        <v>271</v>
      </c>
      <c r="Q121" s="98">
        <f t="shared" ca="1" si="5"/>
        <v>384</v>
      </c>
    </row>
    <row r="122" spans="1:18">
      <c r="A122" s="58">
        <f t="shared" si="3"/>
        <v>120</v>
      </c>
      <c r="B122" s="59">
        <v>45994</v>
      </c>
      <c r="C122" s="60" t="s">
        <v>466</v>
      </c>
      <c r="D122" s="62" t="s">
        <v>467</v>
      </c>
      <c r="E122" s="61">
        <v>1000</v>
      </c>
      <c r="F122" s="61">
        <v>645</v>
      </c>
      <c r="G122" s="61">
        <v>118</v>
      </c>
      <c r="H122" s="60">
        <f t="shared" si="4"/>
        <v>118000</v>
      </c>
      <c r="I122" s="60" t="s">
        <v>264</v>
      </c>
      <c r="J122" s="60" t="s">
        <v>265</v>
      </c>
      <c r="K122" s="60" t="s">
        <v>10</v>
      </c>
      <c r="L122" s="67">
        <v>1220</v>
      </c>
      <c r="M122" s="62" t="s">
        <v>53</v>
      </c>
      <c r="N122" s="60" t="s">
        <v>133</v>
      </c>
      <c r="O122" s="11" t="s">
        <v>55</v>
      </c>
      <c r="P122" s="99">
        <v>45770.687071759261</v>
      </c>
      <c r="Q122" s="98">
        <f t="shared" ca="1" si="5"/>
        <v>354.31292824073898</v>
      </c>
    </row>
    <row r="123" spans="1:18">
      <c r="A123" s="58">
        <f t="shared" si="3"/>
        <v>121</v>
      </c>
      <c r="B123" s="59" t="s">
        <v>468</v>
      </c>
      <c r="C123" s="60" t="s">
        <v>469</v>
      </c>
      <c r="D123" s="60" t="s">
        <v>470</v>
      </c>
      <c r="E123" s="61">
        <v>300</v>
      </c>
      <c r="F123" s="61">
        <v>1850</v>
      </c>
      <c r="G123" s="61">
        <v>75</v>
      </c>
      <c r="H123" s="60">
        <f t="shared" si="4"/>
        <v>22500</v>
      </c>
      <c r="I123" s="60" t="s">
        <v>66</v>
      </c>
      <c r="J123" s="60" t="s">
        <v>60</v>
      </c>
      <c r="K123" s="60" t="s">
        <v>15</v>
      </c>
      <c r="L123" s="67">
        <v>329</v>
      </c>
      <c r="M123" s="62" t="s">
        <v>471</v>
      </c>
      <c r="N123" s="60" t="s">
        <v>76</v>
      </c>
      <c r="O123" s="11" t="s">
        <v>55</v>
      </c>
      <c r="P123" s="99">
        <v>45789.558634259258</v>
      </c>
      <c r="Q123" s="98">
        <f t="shared" ca="1" si="5"/>
        <v>335.44136574074219</v>
      </c>
    </row>
    <row r="124" spans="1:18">
      <c r="A124" s="38">
        <f t="shared" si="3"/>
        <v>122</v>
      </c>
      <c r="B124" s="32" t="s">
        <v>472</v>
      </c>
      <c r="C124" s="15" t="s">
        <v>473</v>
      </c>
      <c r="D124" s="22" t="s">
        <v>474</v>
      </c>
      <c r="E124" s="50">
        <v>200</v>
      </c>
      <c r="F124" s="50">
        <v>2500</v>
      </c>
      <c r="G124" s="50">
        <v>115</v>
      </c>
      <c r="H124" s="15">
        <f t="shared" si="4"/>
        <v>23000</v>
      </c>
      <c r="I124" s="15" t="s">
        <v>125</v>
      </c>
      <c r="J124" s="15" t="s">
        <v>87</v>
      </c>
      <c r="K124" s="15" t="s">
        <v>18</v>
      </c>
      <c r="L124" s="65" t="s">
        <v>133</v>
      </c>
      <c r="M124" s="28" t="s">
        <v>475</v>
      </c>
      <c r="N124" s="15" t="s">
        <v>133</v>
      </c>
      <c r="O124" s="11" t="s">
        <v>135</v>
      </c>
      <c r="P124" s="99">
        <v>45759</v>
      </c>
      <c r="Q124" s="98">
        <f t="shared" ca="1" si="5"/>
        <v>366</v>
      </c>
    </row>
    <row r="125" spans="1:18">
      <c r="A125" s="58">
        <f t="shared" si="3"/>
        <v>123</v>
      </c>
      <c r="B125" s="59" t="s">
        <v>472</v>
      </c>
      <c r="C125" s="147" t="s">
        <v>476</v>
      </c>
      <c r="D125" s="148" t="s">
        <v>477</v>
      </c>
      <c r="E125" s="58">
        <v>200</v>
      </c>
      <c r="F125" s="58">
        <v>2250</v>
      </c>
      <c r="G125" s="58">
        <v>108</v>
      </c>
      <c r="H125" s="147">
        <f t="shared" si="4"/>
        <v>21600</v>
      </c>
      <c r="I125" s="147" t="s">
        <v>152</v>
      </c>
      <c r="J125" s="147" t="s">
        <v>60</v>
      </c>
      <c r="K125" s="147" t="s">
        <v>18</v>
      </c>
      <c r="L125" s="149">
        <v>267</v>
      </c>
      <c r="M125" s="148" t="s">
        <v>382</v>
      </c>
      <c r="N125" s="147" t="s">
        <v>211</v>
      </c>
      <c r="O125" s="57" t="s">
        <v>55</v>
      </c>
      <c r="P125" s="102">
        <v>45789.559687499997</v>
      </c>
      <c r="Q125" s="106">
        <f t="shared" ca="1" si="5"/>
        <v>335.44031250000262</v>
      </c>
      <c r="R125" s="6"/>
    </row>
    <row r="126" spans="1:18">
      <c r="A126" s="38">
        <f t="shared" si="3"/>
        <v>124</v>
      </c>
      <c r="B126" s="32" t="s">
        <v>472</v>
      </c>
      <c r="C126" s="15" t="s">
        <v>478</v>
      </c>
      <c r="D126" s="22" t="s">
        <v>479</v>
      </c>
      <c r="E126" s="50">
        <v>3000</v>
      </c>
      <c r="F126" s="50">
        <v>215</v>
      </c>
      <c r="G126" s="50">
        <v>24</v>
      </c>
      <c r="H126" s="15">
        <f t="shared" si="4"/>
        <v>72000</v>
      </c>
      <c r="I126" s="15" t="s">
        <v>480</v>
      </c>
      <c r="J126" s="15" t="s">
        <v>265</v>
      </c>
      <c r="K126" s="15" t="s">
        <v>24</v>
      </c>
      <c r="L126" s="65" t="s">
        <v>133</v>
      </c>
      <c r="M126" s="22" t="s">
        <v>481</v>
      </c>
      <c r="N126" s="15" t="s">
        <v>133</v>
      </c>
      <c r="O126" s="11" t="s">
        <v>135</v>
      </c>
      <c r="P126" s="99" t="s">
        <v>261</v>
      </c>
      <c r="Q126" s="98">
        <f t="shared" ca="1" si="5"/>
        <v>381</v>
      </c>
    </row>
    <row r="127" spans="1:18">
      <c r="A127" s="38">
        <f t="shared" si="3"/>
        <v>125</v>
      </c>
      <c r="B127" s="32" t="s">
        <v>472</v>
      </c>
      <c r="C127" s="15" t="s">
        <v>482</v>
      </c>
      <c r="D127" s="22" t="s">
        <v>483</v>
      </c>
      <c r="E127" s="50">
        <v>3000</v>
      </c>
      <c r="F127" s="50" t="s">
        <v>231</v>
      </c>
      <c r="G127" s="137">
        <v>8.75</v>
      </c>
      <c r="H127" s="15">
        <f t="shared" si="4"/>
        <v>26250</v>
      </c>
      <c r="I127" s="15" t="s">
        <v>51</v>
      </c>
      <c r="J127" s="15" t="s">
        <v>385</v>
      </c>
      <c r="K127" s="15" t="s">
        <v>20</v>
      </c>
      <c r="L127" s="65" t="s">
        <v>133</v>
      </c>
      <c r="M127" s="22" t="s">
        <v>484</v>
      </c>
      <c r="N127" s="15" t="s">
        <v>133</v>
      </c>
      <c r="O127" s="11" t="s">
        <v>135</v>
      </c>
      <c r="P127" s="99" t="s">
        <v>485</v>
      </c>
      <c r="Q127" s="98">
        <f t="shared" ca="1" si="5"/>
        <v>378</v>
      </c>
    </row>
    <row r="128" spans="1:18">
      <c r="A128" s="38">
        <f t="shared" si="3"/>
        <v>126</v>
      </c>
      <c r="B128" s="32" t="s">
        <v>440</v>
      </c>
      <c r="C128" s="15" t="s">
        <v>486</v>
      </c>
      <c r="D128" s="22" t="s">
        <v>487</v>
      </c>
      <c r="E128" s="50">
        <v>3000</v>
      </c>
      <c r="F128" s="50">
        <v>85</v>
      </c>
      <c r="G128" s="50">
        <v>10</v>
      </c>
      <c r="H128" s="15">
        <f t="shared" si="4"/>
        <v>30000</v>
      </c>
      <c r="I128" s="15" t="s">
        <v>51</v>
      </c>
      <c r="J128" s="15" t="s">
        <v>385</v>
      </c>
      <c r="K128" s="15" t="s">
        <v>20</v>
      </c>
      <c r="L128" s="65" t="s">
        <v>133</v>
      </c>
      <c r="M128" s="22" t="s">
        <v>266</v>
      </c>
      <c r="N128" s="15" t="s">
        <v>133</v>
      </c>
      <c r="O128" s="11" t="s">
        <v>135</v>
      </c>
      <c r="P128" s="99">
        <v>45745</v>
      </c>
      <c r="Q128" s="98">
        <f t="shared" ca="1" si="5"/>
        <v>380</v>
      </c>
    </row>
    <row r="129" spans="1:17">
      <c r="A129" s="58">
        <f t="shared" si="3"/>
        <v>127</v>
      </c>
      <c r="B129" s="59" t="s">
        <v>488</v>
      </c>
      <c r="C129" s="60" t="s">
        <v>489</v>
      </c>
      <c r="D129" s="62" t="s">
        <v>490</v>
      </c>
      <c r="E129" s="61">
        <v>3000</v>
      </c>
      <c r="F129" s="61">
        <v>85</v>
      </c>
      <c r="G129" s="135">
        <v>12.5</v>
      </c>
      <c r="H129" s="60">
        <f t="shared" si="4"/>
        <v>37500</v>
      </c>
      <c r="I129" s="60" t="s">
        <v>51</v>
      </c>
      <c r="J129" s="60" t="s">
        <v>385</v>
      </c>
      <c r="K129" s="60" t="s">
        <v>20</v>
      </c>
      <c r="L129" s="67">
        <v>3131</v>
      </c>
      <c r="M129" s="62" t="s">
        <v>491</v>
      </c>
      <c r="N129" s="60" t="s">
        <v>133</v>
      </c>
      <c r="O129" s="11" t="s">
        <v>55</v>
      </c>
      <c r="P129" s="99">
        <v>45789.561527777776</v>
      </c>
      <c r="Q129" s="98">
        <f t="shared" ca="1" si="5"/>
        <v>335.43847222222394</v>
      </c>
    </row>
    <row r="130" spans="1:17">
      <c r="A130" s="58">
        <f t="shared" si="3"/>
        <v>128</v>
      </c>
      <c r="B130" s="59" t="s">
        <v>488</v>
      </c>
      <c r="C130" s="60" t="s">
        <v>492</v>
      </c>
      <c r="D130" s="62" t="s">
        <v>493</v>
      </c>
      <c r="E130" s="61">
        <v>1200</v>
      </c>
      <c r="F130" s="61">
        <v>125</v>
      </c>
      <c r="G130" s="61">
        <v>32</v>
      </c>
      <c r="H130" s="60">
        <f t="shared" si="4"/>
        <v>38400</v>
      </c>
      <c r="I130" s="60" t="s">
        <v>237</v>
      </c>
      <c r="J130" s="60" t="s">
        <v>265</v>
      </c>
      <c r="K130" s="60" t="s">
        <v>20</v>
      </c>
      <c r="L130" s="67">
        <v>1539</v>
      </c>
      <c r="M130" s="62" t="s">
        <v>471</v>
      </c>
      <c r="N130" s="60" t="s">
        <v>133</v>
      </c>
      <c r="O130" s="11" t="s">
        <v>55</v>
      </c>
      <c r="P130" s="99">
        <v>45789.734351851854</v>
      </c>
      <c r="Q130" s="98">
        <f t="shared" ca="1" si="5"/>
        <v>335.26564814814628</v>
      </c>
    </row>
    <row r="131" spans="1:17">
      <c r="A131" s="38">
        <f t="shared" ref="A131:A185" si="6">IF(B131="","",ROW()-2)</f>
        <v>129</v>
      </c>
      <c r="B131" s="32" t="s">
        <v>488</v>
      </c>
      <c r="C131" s="15" t="s">
        <v>494</v>
      </c>
      <c r="D131" s="22" t="s">
        <v>493</v>
      </c>
      <c r="E131" s="50">
        <v>1200</v>
      </c>
      <c r="F131" s="50">
        <v>256</v>
      </c>
      <c r="G131" s="50">
        <v>62</v>
      </c>
      <c r="H131" s="15">
        <f t="shared" ref="H131:H194" si="7">IF(G131="","",E131*G131)</f>
        <v>74400</v>
      </c>
      <c r="I131" s="15" t="s">
        <v>264</v>
      </c>
      <c r="J131" s="15" t="s">
        <v>265</v>
      </c>
      <c r="K131" s="15" t="s">
        <v>20</v>
      </c>
      <c r="L131" s="65" t="s">
        <v>133</v>
      </c>
      <c r="M131" s="22" t="s">
        <v>266</v>
      </c>
      <c r="N131" s="15" t="s">
        <v>133</v>
      </c>
      <c r="O131" s="11" t="s">
        <v>135</v>
      </c>
      <c r="P131" s="99">
        <v>45745</v>
      </c>
      <c r="Q131" s="98">
        <f t="shared" ca="1" si="5"/>
        <v>380</v>
      </c>
    </row>
    <row r="132" spans="1:17">
      <c r="A132" s="38">
        <f t="shared" si="6"/>
        <v>130</v>
      </c>
      <c r="B132" s="32" t="s">
        <v>488</v>
      </c>
      <c r="C132" s="15" t="s">
        <v>495</v>
      </c>
      <c r="D132" s="22" t="s">
        <v>496</v>
      </c>
      <c r="E132" s="50">
        <v>1200</v>
      </c>
      <c r="F132" s="50">
        <v>190</v>
      </c>
      <c r="G132" s="50">
        <v>22</v>
      </c>
      <c r="H132" s="15">
        <f t="shared" si="7"/>
        <v>26400</v>
      </c>
      <c r="I132" s="15" t="s">
        <v>264</v>
      </c>
      <c r="J132" s="15" t="s">
        <v>265</v>
      </c>
      <c r="K132" s="15" t="s">
        <v>20</v>
      </c>
      <c r="L132" s="65" t="s">
        <v>133</v>
      </c>
      <c r="M132" s="22" t="s">
        <v>497</v>
      </c>
      <c r="N132" s="15" t="s">
        <v>133</v>
      </c>
      <c r="O132" s="11" t="s">
        <v>135</v>
      </c>
      <c r="P132" s="99">
        <v>45757</v>
      </c>
      <c r="Q132" s="98">
        <f t="shared" ref="Q132:Q191" ca="1" si="8">TODAY()-P132</f>
        <v>368</v>
      </c>
    </row>
    <row r="133" spans="1:17">
      <c r="A133" s="38">
        <f t="shared" si="6"/>
        <v>131</v>
      </c>
      <c r="B133" s="32" t="s">
        <v>488</v>
      </c>
      <c r="C133" s="15" t="s">
        <v>498</v>
      </c>
      <c r="D133" s="22" t="s">
        <v>499</v>
      </c>
      <c r="E133" s="50">
        <v>1200</v>
      </c>
      <c r="F133" s="50">
        <v>160</v>
      </c>
      <c r="G133" s="50">
        <v>16</v>
      </c>
      <c r="H133" s="15">
        <f t="shared" si="7"/>
        <v>19200</v>
      </c>
      <c r="I133" s="15" t="s">
        <v>264</v>
      </c>
      <c r="J133" s="15" t="s">
        <v>265</v>
      </c>
      <c r="K133" s="15" t="s">
        <v>20</v>
      </c>
      <c r="L133" s="65" t="s">
        <v>133</v>
      </c>
      <c r="M133" s="22" t="s">
        <v>500</v>
      </c>
      <c r="N133" s="15" t="s">
        <v>133</v>
      </c>
      <c r="O133" s="11" t="s">
        <v>135</v>
      </c>
      <c r="P133" s="99">
        <v>45756</v>
      </c>
      <c r="Q133" s="98">
        <f t="shared" ca="1" si="8"/>
        <v>369</v>
      </c>
    </row>
    <row r="134" spans="1:17">
      <c r="A134" s="58">
        <f t="shared" si="6"/>
        <v>132</v>
      </c>
      <c r="B134" s="59" t="s">
        <v>501</v>
      </c>
      <c r="C134" s="60" t="s">
        <v>502</v>
      </c>
      <c r="D134" s="62" t="s">
        <v>503</v>
      </c>
      <c r="E134" s="61">
        <v>500</v>
      </c>
      <c r="F134" s="61">
        <v>370</v>
      </c>
      <c r="G134" s="135">
        <v>28.2</v>
      </c>
      <c r="H134" s="60">
        <f t="shared" si="7"/>
        <v>14100</v>
      </c>
      <c r="I134" s="60" t="s">
        <v>504</v>
      </c>
      <c r="J134" s="60" t="s">
        <v>100</v>
      </c>
      <c r="K134" s="60" t="s">
        <v>19</v>
      </c>
      <c r="L134" s="67">
        <v>486</v>
      </c>
      <c r="M134" s="62" t="s">
        <v>101</v>
      </c>
      <c r="N134" s="60" t="s">
        <v>133</v>
      </c>
      <c r="O134" s="11" t="s">
        <v>55</v>
      </c>
      <c r="P134" s="99">
        <v>45771.707986111112</v>
      </c>
      <c r="Q134" s="98">
        <f t="shared" ca="1" si="8"/>
        <v>353.2920138888876</v>
      </c>
    </row>
    <row r="135" spans="1:17">
      <c r="A135" s="38">
        <f t="shared" si="6"/>
        <v>133</v>
      </c>
      <c r="B135" s="32" t="s">
        <v>505</v>
      </c>
      <c r="C135" s="15" t="s">
        <v>506</v>
      </c>
      <c r="D135" s="15" t="s">
        <v>507</v>
      </c>
      <c r="E135" s="50">
        <v>1200</v>
      </c>
      <c r="F135" s="50">
        <v>170</v>
      </c>
      <c r="G135" s="137">
        <v>12.5</v>
      </c>
      <c r="H135" s="15">
        <f t="shared" si="7"/>
        <v>15000</v>
      </c>
      <c r="I135" s="15" t="s">
        <v>269</v>
      </c>
      <c r="J135" s="15" t="s">
        <v>265</v>
      </c>
      <c r="K135" s="15" t="s">
        <v>27</v>
      </c>
      <c r="L135" s="65" t="s">
        <v>133</v>
      </c>
      <c r="M135" s="22" t="s">
        <v>270</v>
      </c>
      <c r="N135" s="15" t="s">
        <v>133</v>
      </c>
      <c r="O135" s="11" t="s">
        <v>135</v>
      </c>
      <c r="P135" s="99">
        <v>45741</v>
      </c>
      <c r="Q135" s="98">
        <f t="shared" ca="1" si="8"/>
        <v>384</v>
      </c>
    </row>
    <row r="136" spans="1:17">
      <c r="A136" s="39">
        <f t="shared" si="6"/>
        <v>134</v>
      </c>
      <c r="B136" s="33" t="s">
        <v>508</v>
      </c>
      <c r="C136" s="16" t="s">
        <v>509</v>
      </c>
      <c r="D136" s="16" t="s">
        <v>510</v>
      </c>
      <c r="E136" s="51">
        <v>300</v>
      </c>
      <c r="F136" s="51">
        <v>2600</v>
      </c>
      <c r="G136" s="51">
        <v>110</v>
      </c>
      <c r="H136" s="16">
        <f t="shared" si="7"/>
        <v>33000</v>
      </c>
      <c r="I136" s="16" t="s">
        <v>66</v>
      </c>
      <c r="J136" s="16" t="s">
        <v>87</v>
      </c>
      <c r="K136" s="16" t="s">
        <v>4</v>
      </c>
      <c r="L136" s="66">
        <v>317</v>
      </c>
      <c r="M136" s="29" t="s">
        <v>511</v>
      </c>
      <c r="N136" s="16" t="s">
        <v>89</v>
      </c>
      <c r="O136" s="11" t="s">
        <v>55</v>
      </c>
      <c r="P136" s="99" t="s">
        <v>512</v>
      </c>
      <c r="Q136" s="98">
        <f t="shared" ca="1" si="8"/>
        <v>358.22083333333285</v>
      </c>
    </row>
    <row r="137" spans="1:17">
      <c r="A137" s="38">
        <f t="shared" si="6"/>
        <v>135</v>
      </c>
      <c r="B137" s="32" t="s">
        <v>508</v>
      </c>
      <c r="C137" s="15" t="s">
        <v>513</v>
      </c>
      <c r="D137" s="15" t="s">
        <v>514</v>
      </c>
      <c r="E137" s="50">
        <v>5000</v>
      </c>
      <c r="F137" s="50" t="s">
        <v>231</v>
      </c>
      <c r="G137" s="137">
        <v>13.3</v>
      </c>
      <c r="H137" s="15">
        <f t="shared" si="7"/>
        <v>66500</v>
      </c>
      <c r="I137" s="15" t="s">
        <v>515</v>
      </c>
      <c r="J137" s="15" t="s">
        <v>308</v>
      </c>
      <c r="K137" s="15" t="s">
        <v>7</v>
      </c>
      <c r="L137" s="65" t="s">
        <v>133</v>
      </c>
      <c r="M137" s="22" t="s">
        <v>516</v>
      </c>
      <c r="N137" s="15" t="s">
        <v>133</v>
      </c>
      <c r="O137" s="11" t="s">
        <v>135</v>
      </c>
      <c r="P137" s="99">
        <v>45743</v>
      </c>
      <c r="Q137" s="98">
        <f t="shared" ca="1" si="8"/>
        <v>382</v>
      </c>
    </row>
    <row r="138" spans="1:17">
      <c r="A138" s="38">
        <f t="shared" si="6"/>
        <v>136</v>
      </c>
      <c r="B138" s="32" t="s">
        <v>508</v>
      </c>
      <c r="C138" s="15" t="s">
        <v>517</v>
      </c>
      <c r="D138" s="15" t="s">
        <v>518</v>
      </c>
      <c r="E138" s="50">
        <v>3000</v>
      </c>
      <c r="F138" s="50">
        <v>156</v>
      </c>
      <c r="G138" s="137">
        <v>20.6</v>
      </c>
      <c r="H138" s="15">
        <f t="shared" si="7"/>
        <v>61800.000000000007</v>
      </c>
      <c r="I138" s="15" t="s">
        <v>519</v>
      </c>
      <c r="J138" s="15" t="s">
        <v>308</v>
      </c>
      <c r="K138" s="15" t="s">
        <v>7</v>
      </c>
      <c r="L138" s="65" t="s">
        <v>133</v>
      </c>
      <c r="M138" s="22" t="s">
        <v>516</v>
      </c>
      <c r="N138" s="15" t="s">
        <v>133</v>
      </c>
      <c r="O138" s="11" t="s">
        <v>135</v>
      </c>
      <c r="P138" s="99">
        <v>45743</v>
      </c>
      <c r="Q138" s="98">
        <f t="shared" ca="1" si="8"/>
        <v>382</v>
      </c>
    </row>
    <row r="139" spans="1:17">
      <c r="A139" s="58">
        <f t="shared" si="6"/>
        <v>137</v>
      </c>
      <c r="B139" s="59" t="s">
        <v>520</v>
      </c>
      <c r="C139" s="60" t="s">
        <v>521</v>
      </c>
      <c r="D139" s="60" t="s">
        <v>522</v>
      </c>
      <c r="E139" s="61">
        <v>300</v>
      </c>
      <c r="F139" s="61">
        <v>2600</v>
      </c>
      <c r="G139" s="61">
        <v>165</v>
      </c>
      <c r="H139" s="60">
        <f t="shared" si="7"/>
        <v>49500</v>
      </c>
      <c r="I139" s="60" t="s">
        <v>286</v>
      </c>
      <c r="J139" s="60" t="s">
        <v>60</v>
      </c>
      <c r="K139" s="60" t="s">
        <v>4</v>
      </c>
      <c r="L139" s="67">
        <v>306</v>
      </c>
      <c r="M139" s="62" t="s">
        <v>523</v>
      </c>
      <c r="N139" s="60" t="s">
        <v>54</v>
      </c>
      <c r="O139" s="11" t="s">
        <v>55</v>
      </c>
      <c r="P139" s="99">
        <v>45789.56517361111</v>
      </c>
      <c r="Q139" s="98">
        <f t="shared" ca="1" si="8"/>
        <v>335.43482638888963</v>
      </c>
    </row>
    <row r="140" spans="1:17">
      <c r="A140" s="38">
        <f t="shared" si="6"/>
        <v>138</v>
      </c>
      <c r="B140" s="32" t="s">
        <v>520</v>
      </c>
      <c r="C140" s="15" t="s">
        <v>524</v>
      </c>
      <c r="D140" s="15" t="s">
        <v>525</v>
      </c>
      <c r="E140" s="50">
        <v>300</v>
      </c>
      <c r="F140" s="50">
        <v>2450</v>
      </c>
      <c r="G140" s="50">
        <v>165</v>
      </c>
      <c r="H140" s="15">
        <f t="shared" si="7"/>
        <v>49500</v>
      </c>
      <c r="I140" s="15" t="s">
        <v>286</v>
      </c>
      <c r="J140" s="15" t="s">
        <v>60</v>
      </c>
      <c r="K140" s="15" t="s">
        <v>15</v>
      </c>
      <c r="L140" s="65" t="s">
        <v>133</v>
      </c>
      <c r="M140" s="22" t="s">
        <v>484</v>
      </c>
      <c r="N140" s="15" t="s">
        <v>133</v>
      </c>
      <c r="O140" s="11" t="s">
        <v>135</v>
      </c>
      <c r="P140" s="99">
        <v>45747</v>
      </c>
      <c r="Q140" s="98">
        <f t="shared" ca="1" si="8"/>
        <v>378</v>
      </c>
    </row>
    <row r="141" spans="1:17">
      <c r="A141" s="58">
        <f t="shared" si="6"/>
        <v>139</v>
      </c>
      <c r="B141" s="59" t="s">
        <v>520</v>
      </c>
      <c r="C141" s="60" t="s">
        <v>526</v>
      </c>
      <c r="D141" s="60" t="s">
        <v>527</v>
      </c>
      <c r="E141" s="61">
        <v>3000</v>
      </c>
      <c r="F141" s="61">
        <v>299</v>
      </c>
      <c r="G141" s="135">
        <v>24.5</v>
      </c>
      <c r="H141" s="60">
        <f t="shared" si="7"/>
        <v>73500</v>
      </c>
      <c r="I141" s="60" t="s">
        <v>528</v>
      </c>
      <c r="J141" s="60" t="s">
        <v>308</v>
      </c>
      <c r="K141" s="60" t="s">
        <v>7</v>
      </c>
      <c r="L141" s="67">
        <v>2961</v>
      </c>
      <c r="M141" s="62" t="s">
        <v>164</v>
      </c>
      <c r="N141" s="60" t="s">
        <v>133</v>
      </c>
      <c r="O141" s="11" t="s">
        <v>55</v>
      </c>
      <c r="P141" s="99">
        <v>45780.522546296299</v>
      </c>
      <c r="Q141" s="98">
        <f t="shared" ca="1" si="8"/>
        <v>344.47745370370103</v>
      </c>
    </row>
    <row r="142" spans="1:17">
      <c r="A142" s="58">
        <f t="shared" si="6"/>
        <v>140</v>
      </c>
      <c r="B142" s="59" t="s">
        <v>520</v>
      </c>
      <c r="C142" s="60" t="s">
        <v>529</v>
      </c>
      <c r="D142" s="60" t="s">
        <v>530</v>
      </c>
      <c r="E142" s="61">
        <v>200</v>
      </c>
      <c r="F142" s="61">
        <v>4800</v>
      </c>
      <c r="G142" s="61">
        <v>280</v>
      </c>
      <c r="H142" s="60">
        <f t="shared" si="7"/>
        <v>56000</v>
      </c>
      <c r="I142" s="60" t="s">
        <v>531</v>
      </c>
      <c r="J142" s="60" t="s">
        <v>60</v>
      </c>
      <c r="K142" s="60" t="s">
        <v>4</v>
      </c>
      <c r="L142" s="67">
        <v>204</v>
      </c>
      <c r="M142" s="62" t="s">
        <v>532</v>
      </c>
      <c r="N142" s="60" t="s">
        <v>54</v>
      </c>
      <c r="O142" s="11" t="s">
        <v>55</v>
      </c>
      <c r="P142" s="99">
        <v>45789.56591435185</v>
      </c>
      <c r="Q142" s="98">
        <f t="shared" ca="1" si="8"/>
        <v>335.43408564815036</v>
      </c>
    </row>
    <row r="143" spans="1:17">
      <c r="A143" s="58">
        <f t="shared" si="6"/>
        <v>141</v>
      </c>
      <c r="B143" s="59" t="s">
        <v>172</v>
      </c>
      <c r="C143" s="60" t="s">
        <v>533</v>
      </c>
      <c r="D143" s="60" t="s">
        <v>534</v>
      </c>
      <c r="E143" s="61">
        <v>300</v>
      </c>
      <c r="F143" s="61" t="s">
        <v>231</v>
      </c>
      <c r="G143" s="61">
        <v>235</v>
      </c>
      <c r="H143" s="60">
        <f t="shared" si="7"/>
        <v>70500</v>
      </c>
      <c r="I143" s="60" t="s">
        <v>535</v>
      </c>
      <c r="J143" s="60" t="s">
        <v>60</v>
      </c>
      <c r="K143" s="60" t="s">
        <v>4</v>
      </c>
      <c r="L143" s="67">
        <v>294</v>
      </c>
      <c r="M143" s="62" t="s">
        <v>536</v>
      </c>
      <c r="N143" s="60" t="s">
        <v>133</v>
      </c>
      <c r="O143" s="11" t="s">
        <v>55</v>
      </c>
      <c r="P143" s="99">
        <v>45780.524652777778</v>
      </c>
      <c r="Q143" s="98">
        <f t="shared" ca="1" si="8"/>
        <v>344.4753472222219</v>
      </c>
    </row>
    <row r="144" spans="1:17">
      <c r="A144" s="38">
        <f t="shared" si="6"/>
        <v>142</v>
      </c>
      <c r="B144" s="32" t="s">
        <v>172</v>
      </c>
      <c r="C144" s="15" t="s">
        <v>537</v>
      </c>
      <c r="D144" s="15" t="s">
        <v>538</v>
      </c>
      <c r="E144" s="50">
        <v>300</v>
      </c>
      <c r="F144" s="50" t="s">
        <v>231</v>
      </c>
      <c r="G144" s="50">
        <v>235</v>
      </c>
      <c r="H144" s="15">
        <f t="shared" si="7"/>
        <v>70500</v>
      </c>
      <c r="I144" s="15" t="s">
        <v>539</v>
      </c>
      <c r="J144" s="15" t="s">
        <v>60</v>
      </c>
      <c r="K144" s="15" t="s">
        <v>4</v>
      </c>
      <c r="L144" s="65" t="s">
        <v>133</v>
      </c>
      <c r="M144" s="22" t="s">
        <v>540</v>
      </c>
      <c r="N144" s="15" t="s">
        <v>133</v>
      </c>
      <c r="O144" s="11" t="s">
        <v>135</v>
      </c>
      <c r="P144" s="99">
        <v>45758</v>
      </c>
      <c r="Q144" s="98">
        <f t="shared" ca="1" si="8"/>
        <v>367</v>
      </c>
    </row>
    <row r="145" spans="1:17">
      <c r="A145" s="38">
        <f t="shared" si="6"/>
        <v>143</v>
      </c>
      <c r="B145" s="32" t="s">
        <v>541</v>
      </c>
      <c r="C145" s="15" t="s">
        <v>542</v>
      </c>
      <c r="D145" s="15" t="s">
        <v>543</v>
      </c>
      <c r="E145" s="50">
        <v>3000</v>
      </c>
      <c r="F145" s="50">
        <v>240</v>
      </c>
      <c r="G145" s="137">
        <v>14.5</v>
      </c>
      <c r="H145" s="15">
        <f t="shared" si="7"/>
        <v>43500</v>
      </c>
      <c r="I145" s="15" t="s">
        <v>143</v>
      </c>
      <c r="J145" s="15" t="s">
        <v>144</v>
      </c>
      <c r="K145" s="15" t="s">
        <v>27</v>
      </c>
      <c r="L145" s="65" t="s">
        <v>133</v>
      </c>
      <c r="M145" s="22" t="s">
        <v>544</v>
      </c>
      <c r="N145" s="15" t="s">
        <v>133</v>
      </c>
      <c r="O145" s="11" t="s">
        <v>135</v>
      </c>
      <c r="P145" s="99">
        <v>45763</v>
      </c>
      <c r="Q145" s="98">
        <f t="shared" ca="1" si="8"/>
        <v>362</v>
      </c>
    </row>
    <row r="146" spans="1:17">
      <c r="A146" s="38">
        <f t="shared" si="6"/>
        <v>144</v>
      </c>
      <c r="B146" s="32" t="s">
        <v>545</v>
      </c>
      <c r="C146" s="15" t="s">
        <v>546</v>
      </c>
      <c r="D146" s="15" t="s">
        <v>547</v>
      </c>
      <c r="E146" s="50">
        <v>500</v>
      </c>
      <c r="F146" s="50">
        <v>1300</v>
      </c>
      <c r="G146" s="50">
        <v>70</v>
      </c>
      <c r="H146" s="15">
        <f t="shared" si="7"/>
        <v>35000</v>
      </c>
      <c r="I146" s="15" t="s">
        <v>74</v>
      </c>
      <c r="J146" s="15" t="s">
        <v>60</v>
      </c>
      <c r="K146" s="15" t="s">
        <v>26</v>
      </c>
      <c r="L146" s="65" t="s">
        <v>133</v>
      </c>
      <c r="M146" s="22" t="s">
        <v>548</v>
      </c>
      <c r="N146" s="15" t="s">
        <v>211</v>
      </c>
      <c r="O146" s="11" t="s">
        <v>135</v>
      </c>
      <c r="P146" s="103">
        <v>45759</v>
      </c>
      <c r="Q146" s="98">
        <f t="shared" ca="1" si="8"/>
        <v>366</v>
      </c>
    </row>
    <row r="147" spans="1:17">
      <c r="A147" s="38">
        <f t="shared" si="6"/>
        <v>145</v>
      </c>
      <c r="B147" s="32" t="s">
        <v>545</v>
      </c>
      <c r="C147" s="15" t="s">
        <v>549</v>
      </c>
      <c r="D147" s="15" t="s">
        <v>550</v>
      </c>
      <c r="E147" s="50">
        <v>150</v>
      </c>
      <c r="F147" s="50">
        <v>5500</v>
      </c>
      <c r="G147" s="50">
        <v>410</v>
      </c>
      <c r="H147" s="15">
        <f t="shared" si="7"/>
        <v>61500</v>
      </c>
      <c r="I147" s="15" t="s">
        <v>125</v>
      </c>
      <c r="J147" s="15" t="s">
        <v>60</v>
      </c>
      <c r="K147" s="15" t="s">
        <v>9</v>
      </c>
      <c r="L147" s="65" t="s">
        <v>133</v>
      </c>
      <c r="M147" s="22" t="s">
        <v>551</v>
      </c>
      <c r="N147" s="15" t="s">
        <v>133</v>
      </c>
      <c r="O147" s="11" t="s">
        <v>135</v>
      </c>
      <c r="P147" s="99">
        <v>45758</v>
      </c>
      <c r="Q147" s="98">
        <f t="shared" ca="1" si="8"/>
        <v>367</v>
      </c>
    </row>
    <row r="148" spans="1:17">
      <c r="A148" s="38">
        <f t="shared" si="6"/>
        <v>146</v>
      </c>
      <c r="B148" s="32" t="s">
        <v>552</v>
      </c>
      <c r="C148" s="15" t="s">
        <v>553</v>
      </c>
      <c r="D148" s="15" t="s">
        <v>554</v>
      </c>
      <c r="E148" s="50">
        <v>500</v>
      </c>
      <c r="F148" s="50" t="s">
        <v>231</v>
      </c>
      <c r="G148" s="50">
        <v>53</v>
      </c>
      <c r="H148" s="15">
        <f t="shared" si="7"/>
        <v>26500</v>
      </c>
      <c r="I148" s="15" t="s">
        <v>59</v>
      </c>
      <c r="J148" s="15" t="s">
        <v>60</v>
      </c>
      <c r="K148" s="15" t="s">
        <v>24</v>
      </c>
      <c r="L148" s="65" t="s">
        <v>133</v>
      </c>
      <c r="M148" s="22" t="s">
        <v>540</v>
      </c>
      <c r="N148" s="15" t="s">
        <v>133</v>
      </c>
      <c r="O148" s="11" t="s">
        <v>135</v>
      </c>
      <c r="P148" s="99">
        <v>45758</v>
      </c>
      <c r="Q148" s="98">
        <f t="shared" ca="1" si="8"/>
        <v>367</v>
      </c>
    </row>
    <row r="149" spans="1:17" s="6" customFormat="1">
      <c r="A149" s="43">
        <f t="shared" si="6"/>
        <v>147</v>
      </c>
      <c r="B149" s="150" t="s">
        <v>552</v>
      </c>
      <c r="C149" s="107" t="s">
        <v>555</v>
      </c>
      <c r="D149" s="110" t="s">
        <v>556</v>
      </c>
      <c r="E149" s="109">
        <v>500</v>
      </c>
      <c r="F149" s="109" t="s">
        <v>231</v>
      </c>
      <c r="G149" s="109">
        <v>65</v>
      </c>
      <c r="H149" s="110">
        <f t="shared" si="7"/>
        <v>32500</v>
      </c>
      <c r="I149" s="110" t="s">
        <v>118</v>
      </c>
      <c r="J149" s="110" t="s">
        <v>60</v>
      </c>
      <c r="K149" s="110" t="s">
        <v>24</v>
      </c>
      <c r="L149" s="112" t="s">
        <v>133</v>
      </c>
      <c r="M149" s="112" t="s">
        <v>557</v>
      </c>
      <c r="N149" s="110" t="s">
        <v>133</v>
      </c>
      <c r="O149" s="57" t="s">
        <v>135</v>
      </c>
      <c r="P149" s="104">
        <v>45789.568611111114</v>
      </c>
      <c r="Q149" s="98">
        <f t="shared" ca="1" si="8"/>
        <v>335.43138888888643</v>
      </c>
    </row>
    <row r="150" spans="1:17">
      <c r="A150" s="58">
        <f t="shared" si="6"/>
        <v>148</v>
      </c>
      <c r="B150" s="59" t="s">
        <v>552</v>
      </c>
      <c r="C150" s="60" t="s">
        <v>558</v>
      </c>
      <c r="D150" s="144" t="s">
        <v>559</v>
      </c>
      <c r="E150" s="174">
        <v>1000</v>
      </c>
      <c r="F150" s="174">
        <v>490</v>
      </c>
      <c r="G150" s="174">
        <v>57</v>
      </c>
      <c r="H150" s="144">
        <f t="shared" si="7"/>
        <v>57000</v>
      </c>
      <c r="I150" s="175" t="s">
        <v>560</v>
      </c>
      <c r="J150" s="144" t="s">
        <v>385</v>
      </c>
      <c r="K150" s="144" t="s">
        <v>10</v>
      </c>
      <c r="L150" s="176">
        <v>1080</v>
      </c>
      <c r="M150" s="177" t="s">
        <v>561</v>
      </c>
      <c r="N150" s="144" t="s">
        <v>133</v>
      </c>
      <c r="O150" s="11" t="s">
        <v>55</v>
      </c>
      <c r="P150" s="99">
        <v>45790.447916666664</v>
      </c>
      <c r="Q150" s="98">
        <f t="shared" ca="1" si="8"/>
        <v>334.55208333333576</v>
      </c>
    </row>
    <row r="151" spans="1:17" ht="30">
      <c r="A151" s="154">
        <f t="shared" si="6"/>
        <v>149</v>
      </c>
      <c r="B151" s="155" t="s">
        <v>552</v>
      </c>
      <c r="C151" s="156" t="s">
        <v>562</v>
      </c>
      <c r="D151" s="157" t="s">
        <v>563</v>
      </c>
      <c r="E151" s="158">
        <v>1000</v>
      </c>
      <c r="F151" s="158">
        <v>1100</v>
      </c>
      <c r="G151" s="158">
        <v>72</v>
      </c>
      <c r="H151" s="157">
        <f t="shared" si="7"/>
        <v>72000</v>
      </c>
      <c r="I151" s="157" t="s">
        <v>564</v>
      </c>
      <c r="J151" s="157" t="s">
        <v>60</v>
      </c>
      <c r="K151" s="157" t="s">
        <v>17</v>
      </c>
      <c r="L151" s="159" t="s">
        <v>133</v>
      </c>
      <c r="M151" s="160" t="s">
        <v>565</v>
      </c>
      <c r="N151" s="157" t="s">
        <v>133</v>
      </c>
      <c r="O151" s="11" t="s">
        <v>566</v>
      </c>
      <c r="P151" s="99">
        <v>45758</v>
      </c>
      <c r="Q151" s="98">
        <f t="shared" ca="1" si="8"/>
        <v>367</v>
      </c>
    </row>
    <row r="152" spans="1:17" ht="15.75">
      <c r="A152" s="42">
        <f t="shared" si="6"/>
        <v>150</v>
      </c>
      <c r="B152" s="36" t="s">
        <v>545</v>
      </c>
      <c r="C152" s="23" t="s">
        <v>567</v>
      </c>
      <c r="D152" s="47" t="s">
        <v>568</v>
      </c>
      <c r="E152" s="54">
        <v>300</v>
      </c>
      <c r="F152" s="54">
        <v>670</v>
      </c>
      <c r="G152" s="54">
        <v>62</v>
      </c>
      <c r="H152" s="25">
        <f t="shared" si="7"/>
        <v>18600</v>
      </c>
      <c r="I152" s="25" t="s">
        <v>300</v>
      </c>
      <c r="J152" s="25" t="s">
        <v>87</v>
      </c>
      <c r="K152" s="25" t="s">
        <v>22</v>
      </c>
      <c r="L152" s="71" t="s">
        <v>133</v>
      </c>
      <c r="M152" s="84" t="s">
        <v>569</v>
      </c>
      <c r="N152" s="25" t="s">
        <v>133</v>
      </c>
      <c r="O152" s="11" t="s">
        <v>570</v>
      </c>
      <c r="P152" s="99">
        <v>45758</v>
      </c>
      <c r="Q152" s="98">
        <f t="shared" ca="1" si="8"/>
        <v>367</v>
      </c>
    </row>
    <row r="153" spans="1:17">
      <c r="A153" s="38">
        <f t="shared" si="6"/>
        <v>151</v>
      </c>
      <c r="B153" s="32" t="s">
        <v>545</v>
      </c>
      <c r="C153" s="15" t="s">
        <v>571</v>
      </c>
      <c r="D153" s="80" t="s">
        <v>572</v>
      </c>
      <c r="E153" s="81">
        <v>500</v>
      </c>
      <c r="F153" s="81">
        <v>750</v>
      </c>
      <c r="G153" s="81">
        <v>84</v>
      </c>
      <c r="H153" s="80">
        <f t="shared" si="7"/>
        <v>42000</v>
      </c>
      <c r="I153" s="80" t="s">
        <v>59</v>
      </c>
      <c r="J153" s="80" t="s">
        <v>60</v>
      </c>
      <c r="K153" s="80" t="s">
        <v>24</v>
      </c>
      <c r="L153" s="82" t="s">
        <v>133</v>
      </c>
      <c r="M153" s="83" t="s">
        <v>573</v>
      </c>
      <c r="N153" s="80" t="s">
        <v>133</v>
      </c>
      <c r="O153" s="11" t="s">
        <v>135</v>
      </c>
      <c r="P153" s="99">
        <v>45758</v>
      </c>
      <c r="Q153" s="98">
        <f t="shared" ca="1" si="8"/>
        <v>367</v>
      </c>
    </row>
    <row r="154" spans="1:17">
      <c r="A154" s="38">
        <f t="shared" si="6"/>
        <v>152</v>
      </c>
      <c r="B154" s="32">
        <v>45720</v>
      </c>
      <c r="C154" s="15" t="s">
        <v>574</v>
      </c>
      <c r="D154" s="80" t="s">
        <v>575</v>
      </c>
      <c r="E154" s="81">
        <v>3000</v>
      </c>
      <c r="F154" s="81">
        <v>254.82</v>
      </c>
      <c r="G154" s="81">
        <v>13.75</v>
      </c>
      <c r="H154" s="80">
        <f t="shared" si="7"/>
        <v>41250</v>
      </c>
      <c r="I154" s="80" t="s">
        <v>576</v>
      </c>
      <c r="J154" s="80" t="s">
        <v>308</v>
      </c>
      <c r="K154" s="80" t="s">
        <v>7</v>
      </c>
      <c r="L154" s="82" t="s">
        <v>133</v>
      </c>
      <c r="M154" s="83" t="s">
        <v>577</v>
      </c>
      <c r="N154" s="80" t="s">
        <v>133</v>
      </c>
      <c r="O154" s="11" t="s">
        <v>135</v>
      </c>
      <c r="P154" s="99">
        <v>45755</v>
      </c>
      <c r="Q154" s="98">
        <f t="shared" ca="1" si="8"/>
        <v>370</v>
      </c>
    </row>
    <row r="155" spans="1:17">
      <c r="A155" s="38">
        <f t="shared" si="6"/>
        <v>153</v>
      </c>
      <c r="B155" s="32">
        <v>45720</v>
      </c>
      <c r="C155" s="15" t="s">
        <v>578</v>
      </c>
      <c r="D155" s="80" t="s">
        <v>579</v>
      </c>
      <c r="E155" s="81">
        <v>3000</v>
      </c>
      <c r="F155" s="81">
        <v>478</v>
      </c>
      <c r="G155" s="138">
        <v>16.5</v>
      </c>
      <c r="H155" s="80">
        <f t="shared" si="7"/>
        <v>49500</v>
      </c>
      <c r="I155" s="80" t="s">
        <v>576</v>
      </c>
      <c r="J155" s="80" t="s">
        <v>308</v>
      </c>
      <c r="K155" s="80" t="s">
        <v>7</v>
      </c>
      <c r="L155" s="82" t="s">
        <v>133</v>
      </c>
      <c r="M155" s="83" t="s">
        <v>577</v>
      </c>
      <c r="N155" s="80" t="s">
        <v>133</v>
      </c>
      <c r="O155" s="11" t="s">
        <v>135</v>
      </c>
      <c r="P155" s="99">
        <v>45755</v>
      </c>
      <c r="Q155" s="98">
        <f t="shared" ca="1" si="8"/>
        <v>370</v>
      </c>
    </row>
    <row r="156" spans="1:17" s="6" customFormat="1" ht="30">
      <c r="A156" s="42">
        <f t="shared" si="6"/>
        <v>154</v>
      </c>
      <c r="B156" s="36">
        <v>45842</v>
      </c>
      <c r="C156" s="72" t="s">
        <v>580</v>
      </c>
      <c r="D156" s="76" t="s">
        <v>581</v>
      </c>
      <c r="E156" s="44">
        <v>500</v>
      </c>
      <c r="F156" s="44">
        <v>58</v>
      </c>
      <c r="G156" s="54">
        <v>48</v>
      </c>
      <c r="H156" s="74">
        <f t="shared" si="7"/>
        <v>24000</v>
      </c>
      <c r="I156" s="74" t="s">
        <v>582</v>
      </c>
      <c r="J156" s="74" t="s">
        <v>60</v>
      </c>
      <c r="K156" s="74" t="s">
        <v>22</v>
      </c>
      <c r="L156" s="85" t="s">
        <v>133</v>
      </c>
      <c r="M156" s="79" t="s">
        <v>583</v>
      </c>
      <c r="N156" s="74" t="s">
        <v>133</v>
      </c>
      <c r="O156" s="57" t="s">
        <v>570</v>
      </c>
      <c r="P156" s="102">
        <v>45758</v>
      </c>
      <c r="Q156" s="98">
        <f t="shared" ca="1" si="8"/>
        <v>367</v>
      </c>
    </row>
    <row r="157" spans="1:17" s="6" customFormat="1" ht="30">
      <c r="A157" s="41">
        <f t="shared" si="6"/>
        <v>155</v>
      </c>
      <c r="B157" s="35">
        <v>45842</v>
      </c>
      <c r="C157" s="73" t="s">
        <v>584</v>
      </c>
      <c r="D157" s="86" t="s">
        <v>585</v>
      </c>
      <c r="E157" s="87">
        <v>500</v>
      </c>
      <c r="F157" s="87">
        <v>195</v>
      </c>
      <c r="G157" s="94">
        <v>135</v>
      </c>
      <c r="H157" s="75">
        <f t="shared" si="7"/>
        <v>67500</v>
      </c>
      <c r="I157" s="75" t="s">
        <v>586</v>
      </c>
      <c r="J157" s="86" t="s">
        <v>587</v>
      </c>
      <c r="K157" s="86" t="s">
        <v>4</v>
      </c>
      <c r="L157" s="88" t="s">
        <v>133</v>
      </c>
      <c r="M157" s="89" t="s">
        <v>588</v>
      </c>
      <c r="N157" s="75" t="s">
        <v>374</v>
      </c>
      <c r="O157" s="57" t="s">
        <v>212</v>
      </c>
      <c r="P157" s="102">
        <v>45759</v>
      </c>
      <c r="Q157" s="98">
        <f t="shared" ca="1" si="8"/>
        <v>366</v>
      </c>
    </row>
    <row r="158" spans="1:17" s="6" customFormat="1" ht="15.75">
      <c r="A158" s="43">
        <f t="shared" si="6"/>
        <v>156</v>
      </c>
      <c r="B158" s="37">
        <v>45842</v>
      </c>
      <c r="C158" s="107" t="s">
        <v>589</v>
      </c>
      <c r="D158" s="110" t="s">
        <v>590</v>
      </c>
      <c r="E158" s="109">
        <v>300</v>
      </c>
      <c r="F158" s="109">
        <v>2600</v>
      </c>
      <c r="G158" s="109">
        <v>220</v>
      </c>
      <c r="H158" s="110">
        <f t="shared" si="7"/>
        <v>66000</v>
      </c>
      <c r="I158" s="108" t="s">
        <v>591</v>
      </c>
      <c r="J158" s="110" t="s">
        <v>60</v>
      </c>
      <c r="K158" s="110" t="s">
        <v>4</v>
      </c>
      <c r="L158" s="111" t="s">
        <v>133</v>
      </c>
      <c r="M158" s="118" t="s">
        <v>592</v>
      </c>
      <c r="N158" s="110" t="s">
        <v>133</v>
      </c>
      <c r="O158" s="57" t="s">
        <v>135</v>
      </c>
      <c r="P158" s="102">
        <v>45782</v>
      </c>
      <c r="Q158" s="98">
        <f t="shared" ca="1" si="8"/>
        <v>343</v>
      </c>
    </row>
    <row r="159" spans="1:17" ht="30">
      <c r="A159" s="43">
        <f t="shared" si="6"/>
        <v>157</v>
      </c>
      <c r="B159" s="37">
        <v>45842</v>
      </c>
      <c r="C159" s="31" t="s">
        <v>593</v>
      </c>
      <c r="D159" s="78" t="s">
        <v>594</v>
      </c>
      <c r="E159" s="91">
        <v>300</v>
      </c>
      <c r="F159" s="91">
        <v>320</v>
      </c>
      <c r="G159" s="91">
        <v>260</v>
      </c>
      <c r="H159" s="78">
        <f t="shared" si="7"/>
        <v>78000</v>
      </c>
      <c r="I159" s="90" t="s">
        <v>595</v>
      </c>
      <c r="J159" s="78" t="s">
        <v>596</v>
      </c>
      <c r="K159" s="78" t="s">
        <v>4</v>
      </c>
      <c r="L159" s="92" t="s">
        <v>133</v>
      </c>
      <c r="M159" s="93" t="s">
        <v>597</v>
      </c>
      <c r="N159" s="78" t="s">
        <v>133</v>
      </c>
      <c r="O159" s="11" t="s">
        <v>135</v>
      </c>
      <c r="P159" s="99">
        <v>45771</v>
      </c>
      <c r="Q159" s="98">
        <f t="shared" ca="1" si="8"/>
        <v>354</v>
      </c>
    </row>
    <row r="160" spans="1:17" ht="15.75">
      <c r="A160" s="38">
        <f t="shared" si="6"/>
        <v>158</v>
      </c>
      <c r="B160" s="32">
        <v>45842</v>
      </c>
      <c r="C160" s="15" t="s">
        <v>598</v>
      </c>
      <c r="D160" s="77" t="s">
        <v>599</v>
      </c>
      <c r="E160" s="81">
        <v>250</v>
      </c>
      <c r="F160" s="81">
        <v>190</v>
      </c>
      <c r="G160" s="81">
        <v>155</v>
      </c>
      <c r="H160" s="80">
        <f t="shared" si="7"/>
        <v>38750</v>
      </c>
      <c r="I160" s="77" t="s">
        <v>531</v>
      </c>
      <c r="J160" s="77" t="s">
        <v>600</v>
      </c>
      <c r="K160" s="77" t="s">
        <v>9</v>
      </c>
      <c r="L160" s="82" t="s">
        <v>133</v>
      </c>
      <c r="M160" s="83" t="s">
        <v>551</v>
      </c>
      <c r="N160" s="80" t="s">
        <v>133</v>
      </c>
      <c r="O160" s="11" t="s">
        <v>135</v>
      </c>
      <c r="P160" s="99">
        <v>45758</v>
      </c>
      <c r="Q160" s="98">
        <f t="shared" ca="1" si="8"/>
        <v>367</v>
      </c>
    </row>
    <row r="161" spans="1:18" ht="15.75">
      <c r="A161" s="43">
        <f t="shared" si="6"/>
        <v>159</v>
      </c>
      <c r="B161" s="37">
        <v>45842</v>
      </c>
      <c r="C161" s="107" t="s">
        <v>601</v>
      </c>
      <c r="D161" s="108" t="s">
        <v>602</v>
      </c>
      <c r="E161" s="109">
        <v>25000</v>
      </c>
      <c r="F161" s="109">
        <v>184</v>
      </c>
      <c r="G161" s="109">
        <v>39</v>
      </c>
      <c r="H161" s="110">
        <f t="shared" si="7"/>
        <v>975000</v>
      </c>
      <c r="I161" s="108" t="s">
        <v>603</v>
      </c>
      <c r="J161" s="108" t="s">
        <v>604</v>
      </c>
      <c r="K161" s="108" t="s">
        <v>25</v>
      </c>
      <c r="L161" s="111" t="s">
        <v>133</v>
      </c>
      <c r="M161" s="112" t="s">
        <v>605</v>
      </c>
      <c r="N161" s="110" t="s">
        <v>133</v>
      </c>
      <c r="O161" s="57" t="s">
        <v>135</v>
      </c>
      <c r="P161" s="102">
        <v>45789.572071759256</v>
      </c>
      <c r="Q161" s="106">
        <f t="shared" ca="1" si="8"/>
        <v>335.42792824074422</v>
      </c>
      <c r="R161" s="6"/>
    </row>
    <row r="162" spans="1:18" ht="15.75">
      <c r="A162" s="43">
        <f t="shared" si="6"/>
        <v>160</v>
      </c>
      <c r="B162" s="37">
        <v>45965</v>
      </c>
      <c r="C162" s="31" t="s">
        <v>606</v>
      </c>
      <c r="D162" s="90" t="s">
        <v>607</v>
      </c>
      <c r="E162" s="91">
        <v>100</v>
      </c>
      <c r="F162" s="91">
        <v>7800</v>
      </c>
      <c r="G162" s="91">
        <v>1500</v>
      </c>
      <c r="H162" s="78">
        <f t="shared" si="7"/>
        <v>150000</v>
      </c>
      <c r="I162" s="78" t="s">
        <v>608</v>
      </c>
      <c r="J162" s="78" t="s">
        <v>609</v>
      </c>
      <c r="K162" s="78" t="s">
        <v>4</v>
      </c>
      <c r="L162" s="92" t="s">
        <v>133</v>
      </c>
      <c r="M162" s="117" t="s">
        <v>610</v>
      </c>
      <c r="N162" s="78" t="s">
        <v>133</v>
      </c>
      <c r="O162" s="11" t="s">
        <v>135</v>
      </c>
      <c r="P162" s="99">
        <v>45773</v>
      </c>
      <c r="Q162" s="98">
        <f t="shared" ca="1" si="8"/>
        <v>352</v>
      </c>
    </row>
    <row r="163" spans="1:18" ht="15.75">
      <c r="A163" s="43">
        <f t="shared" si="6"/>
        <v>161</v>
      </c>
      <c r="B163" s="37">
        <v>45965</v>
      </c>
      <c r="C163" s="31" t="s">
        <v>611</v>
      </c>
      <c r="D163" s="90" t="s">
        <v>612</v>
      </c>
      <c r="E163" s="91">
        <v>300</v>
      </c>
      <c r="F163" s="91">
        <v>2520</v>
      </c>
      <c r="G163" s="91">
        <v>238</v>
      </c>
      <c r="H163" s="78">
        <f t="shared" si="7"/>
        <v>71400</v>
      </c>
      <c r="I163" s="97" t="s">
        <v>613</v>
      </c>
      <c r="J163" s="78" t="s">
        <v>133</v>
      </c>
      <c r="K163" s="78" t="s">
        <v>4</v>
      </c>
      <c r="L163" s="92" t="s">
        <v>133</v>
      </c>
      <c r="M163" s="93" t="s">
        <v>614</v>
      </c>
      <c r="N163" s="78" t="s">
        <v>133</v>
      </c>
      <c r="O163" s="11" t="s">
        <v>135</v>
      </c>
      <c r="P163" s="99">
        <v>45769.448784722219</v>
      </c>
      <c r="Q163" s="98">
        <f t="shared" ca="1" si="8"/>
        <v>355.55121527778101</v>
      </c>
    </row>
    <row r="164" spans="1:18" ht="15.75">
      <c r="A164" s="38">
        <f t="shared" si="6"/>
        <v>162</v>
      </c>
      <c r="B164" s="32">
        <v>45965</v>
      </c>
      <c r="C164" s="15" t="s">
        <v>615</v>
      </c>
      <c r="D164" s="77" t="s">
        <v>616</v>
      </c>
      <c r="E164" s="81">
        <v>500</v>
      </c>
      <c r="F164" s="81">
        <v>770</v>
      </c>
      <c r="G164" s="81">
        <v>78</v>
      </c>
      <c r="H164" s="80">
        <f t="shared" si="7"/>
        <v>39000</v>
      </c>
      <c r="I164" s="77" t="s">
        <v>617</v>
      </c>
      <c r="J164" s="80" t="s">
        <v>618</v>
      </c>
      <c r="K164" s="80" t="s">
        <v>12</v>
      </c>
      <c r="L164" s="82" t="s">
        <v>133</v>
      </c>
      <c r="M164" s="83" t="s">
        <v>619</v>
      </c>
      <c r="N164" s="80" t="s">
        <v>620</v>
      </c>
      <c r="O164" s="11" t="s">
        <v>135</v>
      </c>
      <c r="P164" s="99">
        <v>45758</v>
      </c>
      <c r="Q164" s="98">
        <f t="shared" ca="1" si="8"/>
        <v>367</v>
      </c>
    </row>
    <row r="165" spans="1:18" ht="15.75">
      <c r="A165" s="43">
        <f t="shared" si="6"/>
        <v>163</v>
      </c>
      <c r="B165" s="37">
        <v>45965</v>
      </c>
      <c r="C165" s="31" t="s">
        <v>621</v>
      </c>
      <c r="D165" s="90" t="s">
        <v>622</v>
      </c>
      <c r="E165" s="91">
        <v>300</v>
      </c>
      <c r="F165" s="91">
        <v>1700</v>
      </c>
      <c r="G165" s="91">
        <v>125</v>
      </c>
      <c r="H165" s="78">
        <f t="shared" si="7"/>
        <v>37500</v>
      </c>
      <c r="I165" s="78" t="s">
        <v>623</v>
      </c>
      <c r="J165" s="78" t="s">
        <v>609</v>
      </c>
      <c r="K165" s="78" t="s">
        <v>26</v>
      </c>
      <c r="L165" s="92" t="s">
        <v>133</v>
      </c>
      <c r="M165" s="93" t="s">
        <v>624</v>
      </c>
      <c r="N165" s="78" t="s">
        <v>620</v>
      </c>
      <c r="O165" s="11" t="s">
        <v>135</v>
      </c>
      <c r="P165" s="99">
        <v>45765</v>
      </c>
      <c r="Q165" s="98">
        <f t="shared" ca="1" si="8"/>
        <v>360</v>
      </c>
    </row>
    <row r="166" spans="1:18" s="6" customFormat="1" ht="30">
      <c r="A166" s="43">
        <f t="shared" si="6"/>
        <v>164</v>
      </c>
      <c r="B166" s="37">
        <v>45965</v>
      </c>
      <c r="C166" s="107" t="s">
        <v>625</v>
      </c>
      <c r="D166" s="108" t="s">
        <v>626</v>
      </c>
      <c r="E166" s="109">
        <v>500</v>
      </c>
      <c r="F166" s="109">
        <v>375</v>
      </c>
      <c r="G166" s="109">
        <v>48</v>
      </c>
      <c r="H166" s="110">
        <f t="shared" si="7"/>
        <v>24000</v>
      </c>
      <c r="I166" s="110" t="s">
        <v>627</v>
      </c>
      <c r="J166" s="110" t="s">
        <v>628</v>
      </c>
      <c r="K166" s="110" t="s">
        <v>13</v>
      </c>
      <c r="L166" s="111" t="s">
        <v>133</v>
      </c>
      <c r="M166" s="112" t="s">
        <v>629</v>
      </c>
      <c r="N166" s="110" t="s">
        <v>133</v>
      </c>
      <c r="O166" s="57" t="s">
        <v>135</v>
      </c>
      <c r="P166" s="102">
        <v>45771.810416666667</v>
      </c>
      <c r="Q166" s="98">
        <f t="shared" ca="1" si="8"/>
        <v>353.18958333333285</v>
      </c>
    </row>
    <row r="167" spans="1:18">
      <c r="A167" s="109">
        <f t="shared" si="6"/>
        <v>165</v>
      </c>
      <c r="B167" s="113" t="s">
        <v>630</v>
      </c>
      <c r="C167" s="78" t="s">
        <v>631</v>
      </c>
      <c r="D167" s="78" t="s">
        <v>632</v>
      </c>
      <c r="E167" s="91">
        <v>10000</v>
      </c>
      <c r="F167" s="91">
        <v>18</v>
      </c>
      <c r="G167" s="139">
        <v>1.7</v>
      </c>
      <c r="H167" s="78">
        <f t="shared" si="7"/>
        <v>17000</v>
      </c>
      <c r="I167" s="78" t="s">
        <v>633</v>
      </c>
      <c r="J167" s="78" t="s">
        <v>634</v>
      </c>
      <c r="K167" s="78" t="s">
        <v>635</v>
      </c>
      <c r="L167" s="92" t="s">
        <v>133</v>
      </c>
      <c r="M167" s="93" t="s">
        <v>636</v>
      </c>
      <c r="N167" s="78" t="s">
        <v>133</v>
      </c>
      <c r="O167" s="11" t="s">
        <v>135</v>
      </c>
      <c r="P167" s="99">
        <v>45773.65892361111</v>
      </c>
      <c r="Q167" s="98">
        <f t="shared" ca="1" si="8"/>
        <v>351.34107638888963</v>
      </c>
    </row>
    <row r="168" spans="1:18">
      <c r="A168" s="109">
        <f t="shared" si="6"/>
        <v>166</v>
      </c>
      <c r="B168" s="113" t="s">
        <v>630</v>
      </c>
      <c r="C168" s="78" t="s">
        <v>637</v>
      </c>
      <c r="D168" s="78" t="s">
        <v>638</v>
      </c>
      <c r="E168" s="91">
        <v>10000</v>
      </c>
      <c r="F168" s="91">
        <v>18</v>
      </c>
      <c r="G168" s="139">
        <v>1.8</v>
      </c>
      <c r="H168" s="78">
        <f t="shared" si="7"/>
        <v>18000</v>
      </c>
      <c r="I168" s="78" t="s">
        <v>639</v>
      </c>
      <c r="J168" s="78" t="s">
        <v>634</v>
      </c>
      <c r="K168" s="78" t="s">
        <v>635</v>
      </c>
      <c r="L168" s="92" t="s">
        <v>133</v>
      </c>
      <c r="M168" s="93" t="s">
        <v>640</v>
      </c>
      <c r="N168" s="78" t="s">
        <v>133</v>
      </c>
      <c r="O168" s="11" t="s">
        <v>135</v>
      </c>
      <c r="P168" s="99">
        <v>45783.689976851849</v>
      </c>
      <c r="Q168" s="98">
        <f t="shared" ca="1" si="8"/>
        <v>341.31002314815123</v>
      </c>
    </row>
    <row r="169" spans="1:18" ht="15.75">
      <c r="A169" s="109">
        <f t="shared" si="6"/>
        <v>167</v>
      </c>
      <c r="B169" s="113" t="s">
        <v>630</v>
      </c>
      <c r="C169" s="78" t="s">
        <v>641</v>
      </c>
      <c r="D169" s="90" t="s">
        <v>642</v>
      </c>
      <c r="E169" s="91">
        <v>5000</v>
      </c>
      <c r="F169" s="91">
        <v>105</v>
      </c>
      <c r="G169" s="139">
        <v>8.3000000000000007</v>
      </c>
      <c r="H169" s="78">
        <f t="shared" si="7"/>
        <v>41500</v>
      </c>
      <c r="I169" s="78" t="s">
        <v>643</v>
      </c>
      <c r="J169" s="78" t="s">
        <v>634</v>
      </c>
      <c r="K169" s="78" t="s">
        <v>635</v>
      </c>
      <c r="L169" s="92" t="s">
        <v>133</v>
      </c>
      <c r="M169" s="93" t="s">
        <v>640</v>
      </c>
      <c r="N169" s="78"/>
      <c r="O169" s="11" t="s">
        <v>135</v>
      </c>
      <c r="P169" s="99">
        <v>45783.690844907411</v>
      </c>
      <c r="Q169" s="98">
        <f t="shared" ca="1" si="8"/>
        <v>341.30915509258921</v>
      </c>
    </row>
    <row r="170" spans="1:18" ht="15.75">
      <c r="A170" s="109">
        <f t="shared" si="6"/>
        <v>168</v>
      </c>
      <c r="B170" s="113" t="s">
        <v>630</v>
      </c>
      <c r="C170" s="78" t="s">
        <v>644</v>
      </c>
      <c r="D170" s="90" t="s">
        <v>645</v>
      </c>
      <c r="E170" s="91">
        <v>2000</v>
      </c>
      <c r="F170" s="91">
        <v>280</v>
      </c>
      <c r="G170" s="91">
        <v>16</v>
      </c>
      <c r="H170" s="78">
        <f t="shared" si="7"/>
        <v>32000</v>
      </c>
      <c r="I170" s="78" t="s">
        <v>646</v>
      </c>
      <c r="J170" s="78" t="s">
        <v>634</v>
      </c>
      <c r="K170" s="78" t="s">
        <v>635</v>
      </c>
      <c r="L170" s="92" t="s">
        <v>133</v>
      </c>
      <c r="M170" s="93" t="s">
        <v>640</v>
      </c>
      <c r="N170" s="78" t="s">
        <v>133</v>
      </c>
      <c r="O170" s="11" t="s">
        <v>135</v>
      </c>
      <c r="P170" s="99">
        <v>45783.69159722222</v>
      </c>
      <c r="Q170" s="98">
        <f t="shared" ca="1" si="8"/>
        <v>341.30840277778043</v>
      </c>
    </row>
    <row r="171" spans="1:18" ht="15.75">
      <c r="A171" s="109">
        <f t="shared" si="6"/>
        <v>169</v>
      </c>
      <c r="B171" s="113" t="s">
        <v>630</v>
      </c>
      <c r="C171" s="78" t="s">
        <v>647</v>
      </c>
      <c r="D171" s="90" t="s">
        <v>648</v>
      </c>
      <c r="E171" s="91">
        <v>3000</v>
      </c>
      <c r="F171" s="91" t="s">
        <v>649</v>
      </c>
      <c r="G171" s="91">
        <v>16</v>
      </c>
      <c r="H171" s="78">
        <f t="shared" si="7"/>
        <v>48000</v>
      </c>
      <c r="I171" s="78" t="s">
        <v>650</v>
      </c>
      <c r="J171" s="78" t="s">
        <v>634</v>
      </c>
      <c r="K171" s="78" t="s">
        <v>635</v>
      </c>
      <c r="L171" s="92" t="s">
        <v>133</v>
      </c>
      <c r="M171" s="93" t="s">
        <v>640</v>
      </c>
      <c r="N171" s="78" t="s">
        <v>133</v>
      </c>
      <c r="O171" s="11" t="s">
        <v>135</v>
      </c>
      <c r="P171" s="99">
        <v>45783.692326388889</v>
      </c>
      <c r="Q171" s="98">
        <f t="shared" ca="1" si="8"/>
        <v>341.30767361111066</v>
      </c>
    </row>
    <row r="172" spans="1:18" ht="15.75">
      <c r="A172" s="109">
        <f t="shared" si="6"/>
        <v>170</v>
      </c>
      <c r="B172" s="113" t="s">
        <v>630</v>
      </c>
      <c r="C172" s="78" t="s">
        <v>651</v>
      </c>
      <c r="D172" s="90" t="s">
        <v>652</v>
      </c>
      <c r="E172" s="91">
        <v>3000</v>
      </c>
      <c r="F172" s="91" t="s">
        <v>653</v>
      </c>
      <c r="G172" s="139">
        <v>6.5</v>
      </c>
      <c r="H172" s="78">
        <f t="shared" si="7"/>
        <v>19500</v>
      </c>
      <c r="I172" s="78" t="s">
        <v>646</v>
      </c>
      <c r="J172" s="78" t="s">
        <v>634</v>
      </c>
      <c r="K172" s="78" t="s">
        <v>635</v>
      </c>
      <c r="L172" s="92" t="s">
        <v>133</v>
      </c>
      <c r="M172" s="93" t="s">
        <v>640</v>
      </c>
      <c r="N172" s="78" t="s">
        <v>133</v>
      </c>
      <c r="O172" s="11" t="s">
        <v>135</v>
      </c>
      <c r="P172" s="99">
        <v>45783.693391203706</v>
      </c>
      <c r="Q172" s="98">
        <f t="shared" ca="1" si="8"/>
        <v>341.30660879629431</v>
      </c>
    </row>
    <row r="173" spans="1:18">
      <c r="A173" s="109">
        <f t="shared" si="6"/>
        <v>171</v>
      </c>
      <c r="B173" s="113" t="s">
        <v>630</v>
      </c>
      <c r="C173" s="78" t="s">
        <v>654</v>
      </c>
      <c r="D173" s="78" t="s">
        <v>655</v>
      </c>
      <c r="E173" s="91">
        <v>300</v>
      </c>
      <c r="F173" s="91">
        <v>1450</v>
      </c>
      <c r="G173" s="91">
        <v>105</v>
      </c>
      <c r="H173" s="78">
        <f t="shared" si="7"/>
        <v>31500</v>
      </c>
      <c r="I173" s="78" t="s">
        <v>656</v>
      </c>
      <c r="J173" s="78" t="s">
        <v>609</v>
      </c>
      <c r="K173" s="78" t="s">
        <v>4</v>
      </c>
      <c r="L173" s="92" t="s">
        <v>133</v>
      </c>
      <c r="M173" s="93" t="s">
        <v>657</v>
      </c>
      <c r="N173" s="78" t="s">
        <v>133</v>
      </c>
      <c r="O173" s="11" t="s">
        <v>135</v>
      </c>
      <c r="P173" s="99">
        <v>45783.696655092594</v>
      </c>
      <c r="Q173" s="98">
        <f t="shared" ca="1" si="8"/>
        <v>341.30334490740643</v>
      </c>
    </row>
    <row r="174" spans="1:18" ht="15.75">
      <c r="A174" s="109">
        <f t="shared" si="6"/>
        <v>172</v>
      </c>
      <c r="B174" s="113" t="s">
        <v>630</v>
      </c>
      <c r="C174" s="78" t="s">
        <v>658</v>
      </c>
      <c r="D174" s="90" t="s">
        <v>659</v>
      </c>
      <c r="E174" s="91">
        <v>500</v>
      </c>
      <c r="F174" s="91">
        <v>1150</v>
      </c>
      <c r="G174" s="91">
        <v>110</v>
      </c>
      <c r="H174" s="78">
        <f t="shared" si="7"/>
        <v>55000</v>
      </c>
      <c r="I174" s="78" t="s">
        <v>617</v>
      </c>
      <c r="J174" s="78" t="s">
        <v>87</v>
      </c>
      <c r="K174" s="78" t="s">
        <v>4</v>
      </c>
      <c r="L174" s="92" t="s">
        <v>133</v>
      </c>
      <c r="M174" s="93" t="s">
        <v>557</v>
      </c>
      <c r="N174" s="78" t="s">
        <v>133</v>
      </c>
      <c r="O174" s="11" t="s">
        <v>660</v>
      </c>
      <c r="P174" s="99">
        <v>45789.573263888888</v>
      </c>
      <c r="Q174" s="98">
        <f t="shared" ca="1" si="8"/>
        <v>335.4267361111124</v>
      </c>
    </row>
    <row r="175" spans="1:18" ht="15.75">
      <c r="A175" s="109">
        <f t="shared" si="6"/>
        <v>173</v>
      </c>
      <c r="B175" s="113" t="s">
        <v>630</v>
      </c>
      <c r="C175" s="78" t="s">
        <v>661</v>
      </c>
      <c r="D175" s="90" t="s">
        <v>662</v>
      </c>
      <c r="E175" s="91">
        <v>2000</v>
      </c>
      <c r="F175" s="91">
        <v>345</v>
      </c>
      <c r="G175" s="91">
        <v>16</v>
      </c>
      <c r="H175" s="78">
        <f t="shared" si="7"/>
        <v>32000</v>
      </c>
      <c r="I175" s="78" t="s">
        <v>633</v>
      </c>
      <c r="J175" s="78" t="s">
        <v>308</v>
      </c>
      <c r="K175" s="78" t="s">
        <v>635</v>
      </c>
      <c r="L175" s="92" t="s">
        <v>133</v>
      </c>
      <c r="M175" s="93" t="s">
        <v>640</v>
      </c>
      <c r="N175" s="78" t="s">
        <v>133</v>
      </c>
      <c r="O175" s="11" t="s">
        <v>135</v>
      </c>
      <c r="P175" s="99">
        <v>45783.70616898148</v>
      </c>
      <c r="Q175" s="98">
        <f t="shared" ca="1" si="8"/>
        <v>341.29383101852</v>
      </c>
    </row>
    <row r="176" spans="1:18" ht="15.75">
      <c r="A176" s="109">
        <f t="shared" si="6"/>
        <v>174</v>
      </c>
      <c r="B176" s="113" t="s">
        <v>663</v>
      </c>
      <c r="C176" s="78" t="s">
        <v>664</v>
      </c>
      <c r="D176" s="90" t="s">
        <v>665</v>
      </c>
      <c r="E176" s="91">
        <v>300</v>
      </c>
      <c r="F176" s="91">
        <v>1710</v>
      </c>
      <c r="G176" s="91">
        <v>230</v>
      </c>
      <c r="H176" s="78">
        <f t="shared" si="7"/>
        <v>69000</v>
      </c>
      <c r="I176" s="97" t="s">
        <v>666</v>
      </c>
      <c r="J176" s="78" t="s">
        <v>609</v>
      </c>
      <c r="K176" s="78" t="s">
        <v>26</v>
      </c>
      <c r="L176" s="92" t="s">
        <v>133</v>
      </c>
      <c r="M176" s="93" t="s">
        <v>592</v>
      </c>
      <c r="N176" s="78" t="s">
        <v>133</v>
      </c>
      <c r="O176" s="11" t="s">
        <v>135</v>
      </c>
      <c r="P176" s="99">
        <v>45783.706875000003</v>
      </c>
      <c r="Q176" s="98">
        <f t="shared" ca="1" si="8"/>
        <v>341.29312499999651</v>
      </c>
    </row>
    <row r="177" spans="1:17" ht="30">
      <c r="A177" s="44">
        <f t="shared" si="6"/>
        <v>175</v>
      </c>
      <c r="B177" s="45" t="s">
        <v>663</v>
      </c>
      <c r="C177" s="25" t="s">
        <v>667</v>
      </c>
      <c r="D177" s="47" t="s">
        <v>668</v>
      </c>
      <c r="E177" s="54">
        <v>300</v>
      </c>
      <c r="F177" s="54">
        <v>4700</v>
      </c>
      <c r="G177" s="54">
        <v>165</v>
      </c>
      <c r="H177" s="25">
        <f t="shared" si="7"/>
        <v>49500</v>
      </c>
      <c r="I177" s="47" t="s">
        <v>669</v>
      </c>
      <c r="J177" s="25" t="s">
        <v>609</v>
      </c>
      <c r="K177" s="25" t="s">
        <v>7</v>
      </c>
      <c r="L177" s="71" t="s">
        <v>133</v>
      </c>
      <c r="M177" s="46" t="s">
        <v>670</v>
      </c>
      <c r="N177" s="25" t="s">
        <v>133</v>
      </c>
      <c r="O177" s="11" t="s">
        <v>135</v>
      </c>
      <c r="P177" s="99">
        <v>45787</v>
      </c>
      <c r="Q177" s="98">
        <f t="shared" ca="1" si="8"/>
        <v>338</v>
      </c>
    </row>
    <row r="178" spans="1:17" s="6" customFormat="1" ht="31.5">
      <c r="A178" s="109">
        <f t="shared" si="6"/>
        <v>176</v>
      </c>
      <c r="B178" s="165" t="s">
        <v>663</v>
      </c>
      <c r="C178" s="110" t="s">
        <v>671</v>
      </c>
      <c r="D178" s="166" t="s">
        <v>672</v>
      </c>
      <c r="E178" s="109">
        <v>5000</v>
      </c>
      <c r="F178" s="109">
        <v>495</v>
      </c>
      <c r="G178" s="109">
        <v>62</v>
      </c>
      <c r="H178" s="110">
        <f t="shared" si="7"/>
        <v>310000</v>
      </c>
      <c r="I178" s="167" t="s">
        <v>673</v>
      </c>
      <c r="J178" s="110" t="s">
        <v>133</v>
      </c>
      <c r="K178" s="168" t="s">
        <v>674</v>
      </c>
      <c r="L178" s="112" t="s">
        <v>133</v>
      </c>
      <c r="M178" s="112" t="s">
        <v>675</v>
      </c>
      <c r="N178" s="110" t="s">
        <v>133</v>
      </c>
      <c r="O178" s="57" t="s">
        <v>135</v>
      </c>
      <c r="P178" s="104">
        <v>45787</v>
      </c>
      <c r="Q178" s="98">
        <f t="shared" ca="1" si="8"/>
        <v>338</v>
      </c>
    </row>
    <row r="179" spans="1:17">
      <c r="A179" s="7">
        <f t="shared" si="6"/>
        <v>177</v>
      </c>
      <c r="B179" s="4">
        <v>45768</v>
      </c>
      <c r="C179" s="5" t="str">
        <f t="shared" ref="C179:C192" si="9">IF(B179="","",_xlfn.CONCAT("MP0",A179))</f>
        <v>MP0177</v>
      </c>
      <c r="D179" s="78" t="s">
        <v>676</v>
      </c>
      <c r="E179" s="91">
        <v>500</v>
      </c>
      <c r="F179" s="91">
        <v>780</v>
      </c>
      <c r="G179" s="91">
        <v>57</v>
      </c>
      <c r="H179" s="78">
        <f t="shared" si="7"/>
        <v>28500</v>
      </c>
      <c r="I179" s="78" t="s">
        <v>677</v>
      </c>
      <c r="J179" s="78" t="s">
        <v>609</v>
      </c>
      <c r="K179" s="78" t="s">
        <v>678</v>
      </c>
      <c r="L179" s="92" t="s">
        <v>133</v>
      </c>
      <c r="M179" s="93" t="s">
        <v>679</v>
      </c>
      <c r="N179" s="78" t="s">
        <v>133</v>
      </c>
      <c r="O179" s="11" t="s">
        <v>135</v>
      </c>
      <c r="P179" s="99">
        <v>45776</v>
      </c>
      <c r="Q179" s="98">
        <f t="shared" ca="1" si="8"/>
        <v>349</v>
      </c>
    </row>
    <row r="180" spans="1:17">
      <c r="A180" s="7">
        <f t="shared" si="6"/>
        <v>178</v>
      </c>
      <c r="B180" s="4">
        <v>45768</v>
      </c>
      <c r="C180" s="5" t="str">
        <f t="shared" si="9"/>
        <v>MP0178</v>
      </c>
      <c r="D180" s="78" t="s">
        <v>680</v>
      </c>
      <c r="E180" s="91">
        <v>500</v>
      </c>
      <c r="F180" s="91">
        <v>750</v>
      </c>
      <c r="G180" s="91">
        <v>57</v>
      </c>
      <c r="H180" s="78">
        <f t="shared" si="7"/>
        <v>28500</v>
      </c>
      <c r="I180" s="78" t="s">
        <v>677</v>
      </c>
      <c r="J180" s="78" t="s">
        <v>609</v>
      </c>
      <c r="K180" s="78" t="s">
        <v>678</v>
      </c>
      <c r="L180" s="92"/>
      <c r="M180" s="93" t="s">
        <v>681</v>
      </c>
      <c r="N180" s="78"/>
      <c r="O180" s="11" t="s">
        <v>135</v>
      </c>
      <c r="P180" s="99">
        <v>45776</v>
      </c>
      <c r="Q180" s="98">
        <f t="shared" ca="1" si="8"/>
        <v>349</v>
      </c>
    </row>
    <row r="181" spans="1:17">
      <c r="A181" s="8">
        <f t="shared" si="6"/>
        <v>179</v>
      </c>
      <c r="B181" s="3">
        <v>45769</v>
      </c>
      <c r="C181" s="2" t="str">
        <f t="shared" si="9"/>
        <v>MP0179</v>
      </c>
      <c r="D181" s="25" t="s">
        <v>682</v>
      </c>
      <c r="E181" s="54">
        <v>1200</v>
      </c>
      <c r="F181" s="54">
        <v>140</v>
      </c>
      <c r="G181" s="54">
        <v>13</v>
      </c>
      <c r="H181" s="25">
        <f t="shared" si="7"/>
        <v>15600</v>
      </c>
      <c r="I181" s="25" t="s">
        <v>269</v>
      </c>
      <c r="J181" s="25" t="s">
        <v>265</v>
      </c>
      <c r="K181" s="25" t="s">
        <v>683</v>
      </c>
      <c r="L181" s="71"/>
      <c r="M181" s="46" t="s">
        <v>566</v>
      </c>
      <c r="N181" s="25"/>
      <c r="O181" s="11" t="s">
        <v>566</v>
      </c>
      <c r="P181" s="99">
        <v>45769.745925925927</v>
      </c>
      <c r="Q181" s="98">
        <f t="shared" ca="1" si="8"/>
        <v>355.25407407407329</v>
      </c>
    </row>
    <row r="182" spans="1:17">
      <c r="A182" s="8">
        <f t="shared" si="6"/>
        <v>180</v>
      </c>
      <c r="B182" s="3">
        <v>45769</v>
      </c>
      <c r="C182" s="2" t="str">
        <f t="shared" si="9"/>
        <v>MP0180</v>
      </c>
      <c r="D182" s="25" t="s">
        <v>684</v>
      </c>
      <c r="E182" s="54">
        <v>1200</v>
      </c>
      <c r="F182" s="54">
        <v>170</v>
      </c>
      <c r="G182" s="54">
        <v>13</v>
      </c>
      <c r="H182" s="25">
        <f t="shared" si="7"/>
        <v>15600</v>
      </c>
      <c r="I182" s="25" t="s">
        <v>269</v>
      </c>
      <c r="J182" s="25" t="s">
        <v>265</v>
      </c>
      <c r="K182" s="25" t="s">
        <v>683</v>
      </c>
      <c r="L182" s="71"/>
      <c r="M182" s="46" t="s">
        <v>566</v>
      </c>
      <c r="N182" s="25"/>
      <c r="O182" s="11" t="s">
        <v>566</v>
      </c>
      <c r="P182" s="99">
        <v>45769.747499999998</v>
      </c>
      <c r="Q182" s="98">
        <f t="shared" ca="1" si="8"/>
        <v>355.25250000000233</v>
      </c>
    </row>
    <row r="183" spans="1:17">
      <c r="A183" s="8">
        <f t="shared" si="6"/>
        <v>181</v>
      </c>
      <c r="B183" s="3">
        <v>45769</v>
      </c>
      <c r="C183" s="2" t="str">
        <f t="shared" si="9"/>
        <v>MP0181</v>
      </c>
      <c r="D183" s="25" t="s">
        <v>685</v>
      </c>
      <c r="E183" s="54">
        <v>1200</v>
      </c>
      <c r="F183" s="54">
        <v>165</v>
      </c>
      <c r="G183" s="54">
        <v>13</v>
      </c>
      <c r="H183" s="25">
        <f t="shared" si="7"/>
        <v>15600</v>
      </c>
      <c r="I183" s="25" t="s">
        <v>269</v>
      </c>
      <c r="J183" s="25" t="s">
        <v>265</v>
      </c>
      <c r="K183" s="25" t="s">
        <v>683</v>
      </c>
      <c r="L183" s="71"/>
      <c r="M183" s="46" t="s">
        <v>566</v>
      </c>
      <c r="N183" s="25"/>
      <c r="O183" s="11" t="s">
        <v>566</v>
      </c>
      <c r="P183" s="99">
        <v>45769.748831018522</v>
      </c>
      <c r="Q183" s="98">
        <f t="shared" ca="1" si="8"/>
        <v>355.25116898147826</v>
      </c>
    </row>
    <row r="184" spans="1:17">
      <c r="A184" s="7">
        <f t="shared" si="6"/>
        <v>182</v>
      </c>
      <c r="B184" s="113">
        <v>45770</v>
      </c>
      <c r="C184" s="5" t="str">
        <f t="shared" si="9"/>
        <v>MP0182</v>
      </c>
      <c r="D184" s="78" t="s">
        <v>686</v>
      </c>
      <c r="E184" s="91">
        <v>300</v>
      </c>
      <c r="F184" s="91">
        <v>960</v>
      </c>
      <c r="G184" s="91">
        <v>90</v>
      </c>
      <c r="H184" s="78">
        <f t="shared" si="7"/>
        <v>27000</v>
      </c>
      <c r="I184" s="78" t="s">
        <v>66</v>
      </c>
      <c r="J184" s="78" t="s">
        <v>609</v>
      </c>
      <c r="K184" s="78" t="s">
        <v>15</v>
      </c>
      <c r="L184" s="92"/>
      <c r="M184" s="93" t="s">
        <v>640</v>
      </c>
      <c r="N184" s="78" t="s">
        <v>200</v>
      </c>
      <c r="O184" s="11" t="s">
        <v>135</v>
      </c>
      <c r="P184" s="99">
        <v>45780.467233796298</v>
      </c>
      <c r="Q184" s="98">
        <f t="shared" ca="1" si="8"/>
        <v>344.53276620370161</v>
      </c>
    </row>
    <row r="185" spans="1:17">
      <c r="A185" s="7">
        <f t="shared" si="6"/>
        <v>183</v>
      </c>
      <c r="B185" s="113">
        <v>45770</v>
      </c>
      <c r="C185" s="5" t="str">
        <f t="shared" si="9"/>
        <v>MP0183</v>
      </c>
      <c r="D185" s="78" t="s">
        <v>687</v>
      </c>
      <c r="E185" s="91">
        <v>1000</v>
      </c>
      <c r="F185" s="91">
        <v>165</v>
      </c>
      <c r="G185" s="139"/>
      <c r="H185" s="78" t="str">
        <f t="shared" si="7"/>
        <v/>
      </c>
      <c r="I185" s="78" t="s">
        <v>688</v>
      </c>
      <c r="J185" s="78" t="s">
        <v>265</v>
      </c>
      <c r="K185" s="78" t="s">
        <v>23</v>
      </c>
      <c r="L185" s="92"/>
      <c r="M185" s="93" t="s">
        <v>657</v>
      </c>
      <c r="N185" s="78"/>
      <c r="O185" s="11" t="s">
        <v>135</v>
      </c>
      <c r="P185" s="99">
        <v>45783.712523148148</v>
      </c>
      <c r="Q185" s="98">
        <f t="shared" ca="1" si="8"/>
        <v>341.28747685185226</v>
      </c>
    </row>
    <row r="186" spans="1:17">
      <c r="A186" s="8">
        <v>184</v>
      </c>
      <c r="B186" s="45">
        <v>45773</v>
      </c>
      <c r="C186" s="2" t="str">
        <f t="shared" si="9"/>
        <v>MP0184</v>
      </c>
      <c r="D186" s="25" t="s">
        <v>689</v>
      </c>
      <c r="E186" s="54">
        <v>3000</v>
      </c>
      <c r="F186" s="54">
        <v>150</v>
      </c>
      <c r="G186" s="54">
        <v>24</v>
      </c>
      <c r="H186" s="25">
        <f t="shared" si="7"/>
        <v>72000</v>
      </c>
      <c r="I186" s="25" t="s">
        <v>690</v>
      </c>
      <c r="J186" s="25" t="s">
        <v>265</v>
      </c>
      <c r="K186" s="25" t="s">
        <v>678</v>
      </c>
      <c r="L186" s="71"/>
      <c r="M186" s="46"/>
      <c r="N186" s="25"/>
      <c r="O186" s="11" t="s">
        <v>570</v>
      </c>
      <c r="P186" s="99">
        <v>45774</v>
      </c>
      <c r="Q186" s="98">
        <f t="shared" ca="1" si="8"/>
        <v>351</v>
      </c>
    </row>
    <row r="187" spans="1:17">
      <c r="A187" s="7">
        <v>185</v>
      </c>
      <c r="B187" s="113">
        <v>45776</v>
      </c>
      <c r="C187" s="5" t="str">
        <f t="shared" si="9"/>
        <v>MP0185</v>
      </c>
      <c r="D187" s="78" t="s">
        <v>691</v>
      </c>
      <c r="E187" s="91">
        <v>300</v>
      </c>
      <c r="F187" s="91">
        <v>2200</v>
      </c>
      <c r="G187" s="91">
        <v>330</v>
      </c>
      <c r="H187" s="78">
        <f t="shared" si="7"/>
        <v>99000</v>
      </c>
      <c r="I187" s="78" t="s">
        <v>59</v>
      </c>
      <c r="J187" s="78" t="s">
        <v>87</v>
      </c>
      <c r="K187" s="78" t="s">
        <v>4</v>
      </c>
      <c r="L187" s="92"/>
      <c r="M187" s="93" t="s">
        <v>692</v>
      </c>
      <c r="N187" s="78"/>
      <c r="O187" s="11" t="s">
        <v>135</v>
      </c>
      <c r="P187" s="99">
        <v>45776.727962962963</v>
      </c>
      <c r="Q187" s="98">
        <f t="shared" ca="1" si="8"/>
        <v>348.27203703703708</v>
      </c>
    </row>
    <row r="188" spans="1:17">
      <c r="A188" s="7">
        <v>186</v>
      </c>
      <c r="B188" s="113">
        <v>45773</v>
      </c>
      <c r="C188" s="5" t="str">
        <f>IF(B186="","",_xlfn.CONCAT("MP0",A188))</f>
        <v>MP0186</v>
      </c>
      <c r="D188" s="78" t="s">
        <v>693</v>
      </c>
      <c r="E188" s="91">
        <v>300</v>
      </c>
      <c r="F188" s="91">
        <v>780</v>
      </c>
      <c r="G188" s="91">
        <v>54</v>
      </c>
      <c r="H188" s="78">
        <f t="shared" si="7"/>
        <v>16200</v>
      </c>
      <c r="I188" s="78" t="s">
        <v>66</v>
      </c>
      <c r="J188" s="78" t="s">
        <v>60</v>
      </c>
      <c r="K188" s="78" t="s">
        <v>678</v>
      </c>
      <c r="L188" s="92"/>
      <c r="M188" s="93" t="s">
        <v>692</v>
      </c>
      <c r="N188" s="78"/>
      <c r="O188" s="11" t="s">
        <v>135</v>
      </c>
      <c r="P188" s="99">
        <v>45782</v>
      </c>
      <c r="Q188" s="98">
        <f t="shared" ca="1" si="8"/>
        <v>343</v>
      </c>
    </row>
    <row r="189" spans="1:17">
      <c r="A189" s="42">
        <f t="shared" ref="A189" si="10">IF(B189="","",ROW()-2)</f>
        <v>187</v>
      </c>
      <c r="B189" s="36">
        <v>45773</v>
      </c>
      <c r="C189" s="23" t="s">
        <v>694</v>
      </c>
      <c r="D189" s="23" t="s">
        <v>98</v>
      </c>
      <c r="E189" s="114">
        <v>6000</v>
      </c>
      <c r="F189" s="114">
        <v>85</v>
      </c>
      <c r="G189" s="140">
        <v>10.6</v>
      </c>
      <c r="H189" s="23">
        <f t="shared" si="7"/>
        <v>63600</v>
      </c>
      <c r="I189" s="23" t="s">
        <v>99</v>
      </c>
      <c r="J189" s="23" t="s">
        <v>100</v>
      </c>
      <c r="K189" s="23" t="s">
        <v>5</v>
      </c>
      <c r="L189" s="115"/>
      <c r="M189" s="116" t="s">
        <v>692</v>
      </c>
      <c r="N189" s="23" t="s">
        <v>102</v>
      </c>
      <c r="O189" s="11" t="s">
        <v>695</v>
      </c>
      <c r="P189" s="99">
        <v>45773</v>
      </c>
      <c r="Q189" s="98">
        <f t="shared" ca="1" si="8"/>
        <v>352</v>
      </c>
    </row>
    <row r="190" spans="1:17">
      <c r="A190" s="8">
        <v>188</v>
      </c>
      <c r="B190" s="45">
        <v>45775</v>
      </c>
      <c r="C190" s="2" t="str">
        <f t="shared" si="9"/>
        <v>MP0188</v>
      </c>
      <c r="D190" s="25" t="s">
        <v>696</v>
      </c>
      <c r="E190" s="54">
        <v>3000</v>
      </c>
      <c r="F190" s="54">
        <v>145</v>
      </c>
      <c r="G190" s="141">
        <v>14.2</v>
      </c>
      <c r="H190" s="25">
        <f t="shared" si="7"/>
        <v>42600</v>
      </c>
      <c r="I190" s="25" t="s">
        <v>51</v>
      </c>
      <c r="J190" s="25" t="s">
        <v>385</v>
      </c>
      <c r="K190" s="25" t="s">
        <v>697</v>
      </c>
      <c r="L190" s="71"/>
      <c r="M190" s="46" t="s">
        <v>692</v>
      </c>
      <c r="N190" s="25"/>
      <c r="O190" s="11" t="s">
        <v>566</v>
      </c>
      <c r="P190" s="99">
        <v>45775</v>
      </c>
      <c r="Q190" s="98">
        <f t="shared" ca="1" si="8"/>
        <v>350</v>
      </c>
    </row>
    <row r="191" spans="1:17">
      <c r="A191" s="7">
        <v>189</v>
      </c>
      <c r="B191" s="113">
        <v>45773</v>
      </c>
      <c r="C191" s="5" t="s">
        <v>698</v>
      </c>
      <c r="D191" s="78" t="s">
        <v>693</v>
      </c>
      <c r="E191" s="91">
        <v>200</v>
      </c>
      <c r="F191" s="91">
        <v>600</v>
      </c>
      <c r="G191" s="91">
        <v>54</v>
      </c>
      <c r="H191" s="78">
        <f t="shared" si="7"/>
        <v>10800</v>
      </c>
      <c r="I191" s="78" t="s">
        <v>66</v>
      </c>
      <c r="J191" s="78" t="s">
        <v>60</v>
      </c>
      <c r="K191" s="78" t="s">
        <v>678</v>
      </c>
      <c r="L191" s="92"/>
      <c r="M191" s="93" t="s">
        <v>566</v>
      </c>
      <c r="N191" s="78"/>
      <c r="O191" s="11" t="s">
        <v>566</v>
      </c>
      <c r="P191" s="99">
        <v>45782</v>
      </c>
      <c r="Q191" s="98">
        <f t="shared" ca="1" si="8"/>
        <v>343</v>
      </c>
    </row>
    <row r="192" spans="1:17">
      <c r="A192" s="8">
        <v>190</v>
      </c>
      <c r="B192" s="45">
        <v>45776</v>
      </c>
      <c r="C192" s="2" t="str">
        <f t="shared" si="9"/>
        <v>MP0190</v>
      </c>
      <c r="D192" s="25" t="s">
        <v>699</v>
      </c>
      <c r="E192" s="54">
        <v>250</v>
      </c>
      <c r="F192" s="54"/>
      <c r="G192" s="141"/>
      <c r="H192" s="25" t="str">
        <f t="shared" si="7"/>
        <v/>
      </c>
      <c r="I192" s="25" t="s">
        <v>700</v>
      </c>
      <c r="J192" s="25" t="s">
        <v>609</v>
      </c>
      <c r="K192" s="25" t="s">
        <v>9</v>
      </c>
      <c r="L192" s="71"/>
      <c r="M192" s="46" t="s">
        <v>566</v>
      </c>
      <c r="N192" s="25"/>
      <c r="O192" s="11" t="s">
        <v>566</v>
      </c>
      <c r="P192" s="99">
        <v>45776.753182870372</v>
      </c>
      <c r="Q192" s="98"/>
    </row>
    <row r="193" spans="1:17" ht="30">
      <c r="A193" s="169">
        <v>191</v>
      </c>
      <c r="B193" s="170">
        <v>45776</v>
      </c>
      <c r="C193" s="169" t="s">
        <v>701</v>
      </c>
      <c r="D193" s="171" t="s">
        <v>702</v>
      </c>
      <c r="E193" s="171">
        <v>300</v>
      </c>
      <c r="F193" s="171"/>
      <c r="G193" s="172"/>
      <c r="H193" s="171" t="str">
        <f t="shared" si="7"/>
        <v/>
      </c>
      <c r="I193" s="171" t="s">
        <v>300</v>
      </c>
      <c r="J193" s="171" t="s">
        <v>60</v>
      </c>
      <c r="K193" s="171" t="s">
        <v>4</v>
      </c>
      <c r="L193" s="173"/>
      <c r="M193" s="173" t="s">
        <v>703</v>
      </c>
      <c r="N193" s="171"/>
      <c r="O193" s="11" t="s">
        <v>370</v>
      </c>
      <c r="P193" s="99">
        <v>45776.774884259263</v>
      </c>
      <c r="Q193" s="98"/>
    </row>
    <row r="194" spans="1:17">
      <c r="A194" s="8">
        <v>192</v>
      </c>
      <c r="B194" s="45">
        <v>45780</v>
      </c>
      <c r="C194" s="2" t="s">
        <v>704</v>
      </c>
      <c r="D194" s="25" t="s">
        <v>705</v>
      </c>
      <c r="E194" s="54">
        <v>300</v>
      </c>
      <c r="F194" s="54" t="s">
        <v>706</v>
      </c>
      <c r="G194" s="141"/>
      <c r="H194" s="25" t="str">
        <f t="shared" si="7"/>
        <v/>
      </c>
      <c r="I194" s="25" t="s">
        <v>66</v>
      </c>
      <c r="J194" s="25" t="s">
        <v>60</v>
      </c>
      <c r="K194" s="25" t="s">
        <v>9</v>
      </c>
      <c r="L194" s="71"/>
      <c r="M194" s="46" t="s">
        <v>566</v>
      </c>
      <c r="N194" s="25" t="s">
        <v>200</v>
      </c>
      <c r="O194" s="11" t="s">
        <v>566</v>
      </c>
      <c r="P194" s="99">
        <v>45780.552581018521</v>
      </c>
      <c r="Q194" s="98"/>
    </row>
    <row r="195" spans="1:17">
      <c r="A195" s="8">
        <v>193</v>
      </c>
      <c r="B195" s="45">
        <v>45780</v>
      </c>
      <c r="C195" s="2" t="s">
        <v>707</v>
      </c>
      <c r="D195" s="25" t="s">
        <v>708</v>
      </c>
      <c r="E195" s="54">
        <v>300</v>
      </c>
      <c r="F195" s="54">
        <v>1210</v>
      </c>
      <c r="G195" s="141"/>
      <c r="H195" s="25" t="str">
        <f t="shared" ref="H195:H258" si="11">IF(G195="","",E195*G195)</f>
        <v/>
      </c>
      <c r="I195" s="25" t="s">
        <v>66</v>
      </c>
      <c r="J195" s="25" t="s">
        <v>60</v>
      </c>
      <c r="K195" s="25" t="s">
        <v>9</v>
      </c>
      <c r="L195" s="71"/>
      <c r="M195" s="46" t="s">
        <v>566</v>
      </c>
      <c r="N195" s="25" t="s">
        <v>200</v>
      </c>
      <c r="O195" s="11" t="s">
        <v>566</v>
      </c>
      <c r="P195" s="99">
        <v>45780.55908564815</v>
      </c>
      <c r="Q195" s="98"/>
    </row>
    <row r="196" spans="1:17">
      <c r="A196" s="8">
        <v>194</v>
      </c>
      <c r="B196" s="45">
        <v>45780</v>
      </c>
      <c r="C196" s="2" t="s">
        <v>709</v>
      </c>
      <c r="D196" s="25" t="s">
        <v>710</v>
      </c>
      <c r="E196" s="54">
        <v>1200</v>
      </c>
      <c r="F196" s="54">
        <v>175</v>
      </c>
      <c r="G196" s="54">
        <v>13</v>
      </c>
      <c r="H196" s="25">
        <f t="shared" si="11"/>
        <v>15600</v>
      </c>
      <c r="I196" s="25" t="s">
        <v>269</v>
      </c>
      <c r="J196" s="25" t="s">
        <v>265</v>
      </c>
      <c r="K196" s="25" t="s">
        <v>683</v>
      </c>
      <c r="L196" s="71"/>
      <c r="M196" s="46" t="s">
        <v>566</v>
      </c>
      <c r="N196" s="25"/>
      <c r="O196" s="11" t="s">
        <v>566</v>
      </c>
      <c r="P196" s="99">
        <v>45780.56858796296</v>
      </c>
      <c r="Q196" s="98"/>
    </row>
    <row r="197" spans="1:17">
      <c r="A197" s="8">
        <v>195</v>
      </c>
      <c r="B197" s="45">
        <v>45780</v>
      </c>
      <c r="C197" s="2" t="s">
        <v>711</v>
      </c>
      <c r="D197" s="25" t="s">
        <v>712</v>
      </c>
      <c r="E197" s="54">
        <v>1200</v>
      </c>
      <c r="F197" s="54">
        <v>175</v>
      </c>
      <c r="G197" s="54">
        <v>13</v>
      </c>
      <c r="H197" s="25">
        <f t="shared" si="11"/>
        <v>15600</v>
      </c>
      <c r="I197" s="25" t="s">
        <v>269</v>
      </c>
      <c r="J197" s="25" t="s">
        <v>265</v>
      </c>
      <c r="K197" s="25" t="s">
        <v>683</v>
      </c>
      <c r="L197" s="71"/>
      <c r="M197" s="46" t="s">
        <v>566</v>
      </c>
      <c r="N197" s="25"/>
      <c r="O197" s="11" t="s">
        <v>566</v>
      </c>
      <c r="P197" s="99">
        <v>45780.574733796297</v>
      </c>
      <c r="Q197" s="98"/>
    </row>
    <row r="198" spans="1:17">
      <c r="A198" s="8">
        <v>196</v>
      </c>
      <c r="B198" s="45">
        <v>45780</v>
      </c>
      <c r="C198" s="2" t="s">
        <v>713</v>
      </c>
      <c r="D198" s="25" t="s">
        <v>714</v>
      </c>
      <c r="E198" s="54">
        <v>1200</v>
      </c>
      <c r="F198" s="54">
        <v>195</v>
      </c>
      <c r="G198" s="54">
        <v>13</v>
      </c>
      <c r="H198" s="25">
        <f t="shared" si="11"/>
        <v>15600</v>
      </c>
      <c r="I198" s="25" t="s">
        <v>269</v>
      </c>
      <c r="J198" s="25" t="s">
        <v>265</v>
      </c>
      <c r="K198" s="25" t="s">
        <v>683</v>
      </c>
      <c r="L198" s="71"/>
      <c r="M198" s="46" t="s">
        <v>566</v>
      </c>
      <c r="N198" s="25"/>
      <c r="O198" s="11" t="s">
        <v>566</v>
      </c>
      <c r="P198" s="99">
        <v>45780.57885416667</v>
      </c>
      <c r="Q198" s="98"/>
    </row>
    <row r="199" spans="1:17">
      <c r="A199" s="126">
        <f t="shared" ref="A199:A262" si="12">IF(B199="","",ROW()-2)</f>
        <v>197</v>
      </c>
      <c r="B199" s="120">
        <v>45780</v>
      </c>
      <c r="C199" s="127" t="s">
        <v>715</v>
      </c>
      <c r="D199" s="128" t="s">
        <v>85</v>
      </c>
      <c r="E199" s="129">
        <v>500</v>
      </c>
      <c r="F199" s="129">
        <v>1790</v>
      </c>
      <c r="G199" s="129">
        <v>130</v>
      </c>
      <c r="H199" s="128">
        <f t="shared" si="11"/>
        <v>65000</v>
      </c>
      <c r="I199" s="128" t="s">
        <v>86</v>
      </c>
      <c r="J199" s="128" t="s">
        <v>87</v>
      </c>
      <c r="K199" s="128" t="s">
        <v>4</v>
      </c>
      <c r="L199" s="130"/>
      <c r="M199" s="131" t="s">
        <v>692</v>
      </c>
      <c r="N199" s="128" t="s">
        <v>89</v>
      </c>
      <c r="O199" s="11" t="s">
        <v>695</v>
      </c>
      <c r="P199" s="99">
        <v>45783.716967592591</v>
      </c>
      <c r="Q199" s="98">
        <f t="shared" ref="Q199:Q200" ca="1" si="13">TODAY()-P199</f>
        <v>341.28303240740934</v>
      </c>
    </row>
    <row r="200" spans="1:17">
      <c r="A200" s="8">
        <f t="shared" si="12"/>
        <v>198</v>
      </c>
      <c r="B200" s="45">
        <v>45782</v>
      </c>
      <c r="C200" s="2" t="s">
        <v>716</v>
      </c>
      <c r="D200" s="25" t="s">
        <v>717</v>
      </c>
      <c r="E200" s="54">
        <v>150</v>
      </c>
      <c r="F200" s="54">
        <v>5240</v>
      </c>
      <c r="G200" s="54">
        <v>730</v>
      </c>
      <c r="H200" s="25">
        <f t="shared" si="11"/>
        <v>109500</v>
      </c>
      <c r="I200" s="25" t="s">
        <v>152</v>
      </c>
      <c r="J200" s="25" t="s">
        <v>60</v>
      </c>
      <c r="K200" s="25" t="s">
        <v>4</v>
      </c>
      <c r="L200" s="71"/>
      <c r="M200" s="46" t="s">
        <v>692</v>
      </c>
      <c r="N200" s="25"/>
      <c r="O200" s="11" t="s">
        <v>566</v>
      </c>
      <c r="P200" s="99">
        <v>45782.697129629632</v>
      </c>
      <c r="Q200" s="98">
        <f t="shared" ca="1" si="13"/>
        <v>342.3028703703676</v>
      </c>
    </row>
    <row r="201" spans="1:17">
      <c r="A201" s="119">
        <f t="shared" si="12"/>
        <v>199</v>
      </c>
      <c r="B201" s="120">
        <v>45782</v>
      </c>
      <c r="C201" s="121" t="s">
        <v>718</v>
      </c>
      <c r="D201" s="121" t="s">
        <v>50</v>
      </c>
      <c r="E201" s="122">
        <v>2000</v>
      </c>
      <c r="F201" s="122">
        <v>168</v>
      </c>
      <c r="G201" s="122">
        <v>24</v>
      </c>
      <c r="H201" s="121">
        <f t="shared" si="11"/>
        <v>48000</v>
      </c>
      <c r="I201" s="121" t="s">
        <v>51</v>
      </c>
      <c r="J201" s="121" t="s">
        <v>52</v>
      </c>
      <c r="K201" s="121" t="s">
        <v>27</v>
      </c>
      <c r="L201" s="123"/>
      <c r="M201" s="124" t="s">
        <v>692</v>
      </c>
      <c r="N201" s="121" t="s">
        <v>54</v>
      </c>
      <c r="O201" s="11" t="s">
        <v>695</v>
      </c>
      <c r="P201" s="99">
        <v>45782.718865740739</v>
      </c>
      <c r="Q201" s="98">
        <f ca="1">TODAY()-P201</f>
        <v>342.28113425926131</v>
      </c>
    </row>
    <row r="202" spans="1:17">
      <c r="A202" s="119">
        <f t="shared" si="12"/>
        <v>200</v>
      </c>
      <c r="B202" s="125">
        <v>45783</v>
      </c>
      <c r="C202" s="121" t="s">
        <v>719</v>
      </c>
      <c r="D202" s="121" t="s">
        <v>124</v>
      </c>
      <c r="E202" s="122">
        <v>300</v>
      </c>
      <c r="F202" s="122">
        <v>2500</v>
      </c>
      <c r="G202" s="122">
        <v>150</v>
      </c>
      <c r="H202" s="121">
        <f t="shared" si="11"/>
        <v>45000</v>
      </c>
      <c r="I202" s="121" t="s">
        <v>125</v>
      </c>
      <c r="J202" s="121" t="s">
        <v>113</v>
      </c>
      <c r="K202" s="121" t="s">
        <v>9</v>
      </c>
      <c r="L202" s="123"/>
      <c r="M202" s="124" t="s">
        <v>692</v>
      </c>
      <c r="N202" s="121" t="s">
        <v>54</v>
      </c>
      <c r="O202" s="11" t="s">
        <v>695</v>
      </c>
      <c r="P202" s="99">
        <v>45783.510578703703</v>
      </c>
      <c r="Q202" s="98">
        <f t="shared" ref="Q202:Q232" ca="1" si="14">TODAY()-P202</f>
        <v>341.48942129629722</v>
      </c>
    </row>
    <row r="203" spans="1:17">
      <c r="A203" s="8">
        <f t="shared" si="12"/>
        <v>201</v>
      </c>
      <c r="B203" s="45">
        <v>45783</v>
      </c>
      <c r="C203" s="2" t="s">
        <v>720</v>
      </c>
      <c r="D203" s="25" t="s">
        <v>721</v>
      </c>
      <c r="E203" s="54">
        <v>300</v>
      </c>
      <c r="F203" s="54">
        <v>1550</v>
      </c>
      <c r="G203" s="54">
        <v>165</v>
      </c>
      <c r="H203" s="25">
        <f t="shared" si="11"/>
        <v>49500</v>
      </c>
      <c r="I203" s="25" t="s">
        <v>66</v>
      </c>
      <c r="J203" s="25" t="s">
        <v>60</v>
      </c>
      <c r="K203" s="25" t="s">
        <v>7</v>
      </c>
      <c r="L203" s="71"/>
      <c r="M203" s="46" t="s">
        <v>722</v>
      </c>
      <c r="N203" s="25"/>
      <c r="O203" s="11" t="s">
        <v>570</v>
      </c>
      <c r="P203" s="99">
        <v>45786</v>
      </c>
      <c r="Q203" s="98">
        <f t="shared" ca="1" si="14"/>
        <v>339</v>
      </c>
    </row>
    <row r="204" spans="1:17">
      <c r="A204" s="2">
        <f t="shared" si="12"/>
        <v>202</v>
      </c>
      <c r="B204" s="151">
        <v>45785</v>
      </c>
      <c r="C204" s="2" t="str">
        <f t="shared" ref="C204:C267" si="15">IF(B204="","",_xlfn.CONCAT("MP0",A204))</f>
        <v>MP0202</v>
      </c>
      <c r="D204" s="152" t="s">
        <v>723</v>
      </c>
      <c r="E204" s="48">
        <v>300</v>
      </c>
      <c r="F204" s="48">
        <v>1090</v>
      </c>
      <c r="G204" s="133">
        <v>165</v>
      </c>
      <c r="H204" s="11">
        <f t="shared" si="11"/>
        <v>49500</v>
      </c>
      <c r="I204" s="152" t="s">
        <v>66</v>
      </c>
      <c r="J204" s="152" t="s">
        <v>60</v>
      </c>
      <c r="K204" s="152" t="s">
        <v>7</v>
      </c>
      <c r="L204" s="63"/>
      <c r="M204" s="153" t="s">
        <v>722</v>
      </c>
      <c r="N204" s="11"/>
      <c r="O204" s="11" t="s">
        <v>570</v>
      </c>
      <c r="P204" s="99">
        <v>45786</v>
      </c>
      <c r="Q204" s="164">
        <f t="shared" ca="1" si="14"/>
        <v>339</v>
      </c>
    </row>
    <row r="205" spans="1:17">
      <c r="A205" s="2">
        <f t="shared" si="12"/>
        <v>203</v>
      </c>
      <c r="B205" s="151">
        <v>45785</v>
      </c>
      <c r="C205" s="2" t="str">
        <f t="shared" si="15"/>
        <v>MP0203</v>
      </c>
      <c r="D205" s="152" t="s">
        <v>724</v>
      </c>
      <c r="E205" s="48">
        <v>3000</v>
      </c>
      <c r="F205" s="48" t="s">
        <v>725</v>
      </c>
      <c r="G205" s="133">
        <v>8.5</v>
      </c>
      <c r="H205" s="11">
        <f t="shared" si="11"/>
        <v>25500</v>
      </c>
      <c r="I205" s="11" t="s">
        <v>726</v>
      </c>
      <c r="J205" s="11" t="s">
        <v>634</v>
      </c>
      <c r="K205" s="152" t="s">
        <v>7</v>
      </c>
      <c r="L205" s="63"/>
      <c r="M205" s="153" t="s">
        <v>727</v>
      </c>
      <c r="N205" s="11"/>
      <c r="O205" s="11" t="s">
        <v>570</v>
      </c>
      <c r="P205" s="99">
        <v>45786</v>
      </c>
      <c r="Q205" s="164">
        <f t="shared" ca="1" si="14"/>
        <v>339</v>
      </c>
    </row>
    <row r="206" spans="1:17">
      <c r="A206" s="2">
        <f t="shared" si="12"/>
        <v>204</v>
      </c>
      <c r="B206" s="151">
        <v>45785</v>
      </c>
      <c r="C206" s="2" t="str">
        <f t="shared" si="15"/>
        <v>MP0204</v>
      </c>
      <c r="D206" s="152" t="s">
        <v>728</v>
      </c>
      <c r="E206" s="48">
        <v>3000</v>
      </c>
      <c r="F206" s="48" t="s">
        <v>729</v>
      </c>
      <c r="G206" s="133">
        <v>11.75</v>
      </c>
      <c r="H206" s="11">
        <f>IF(G206="","",E206*G206)</f>
        <v>35250</v>
      </c>
      <c r="I206" s="11" t="s">
        <v>726</v>
      </c>
      <c r="J206" s="11" t="s">
        <v>634</v>
      </c>
      <c r="K206" s="152" t="s">
        <v>7</v>
      </c>
      <c r="L206" s="63"/>
      <c r="M206" s="153" t="s">
        <v>727</v>
      </c>
      <c r="N206" s="11"/>
      <c r="O206" s="11" t="s">
        <v>570</v>
      </c>
      <c r="P206" s="99">
        <v>45786</v>
      </c>
      <c r="Q206" s="164">
        <f t="shared" ca="1" si="14"/>
        <v>339</v>
      </c>
    </row>
    <row r="207" spans="1:17">
      <c r="A207" s="2">
        <f t="shared" si="12"/>
        <v>205</v>
      </c>
      <c r="B207" s="151">
        <v>45785</v>
      </c>
      <c r="C207" s="2" t="str">
        <f t="shared" si="15"/>
        <v>MP0205</v>
      </c>
      <c r="D207" s="152" t="s">
        <v>730</v>
      </c>
      <c r="E207" s="48">
        <v>3000</v>
      </c>
      <c r="F207" s="48" t="s">
        <v>731</v>
      </c>
      <c r="G207" s="133">
        <v>8.5</v>
      </c>
      <c r="H207" s="11">
        <f t="shared" si="11"/>
        <v>25500</v>
      </c>
      <c r="I207" s="11" t="s">
        <v>726</v>
      </c>
      <c r="J207" s="11" t="s">
        <v>634</v>
      </c>
      <c r="K207" s="152" t="s">
        <v>7</v>
      </c>
      <c r="L207" s="63"/>
      <c r="M207" s="153" t="s">
        <v>727</v>
      </c>
      <c r="N207" s="11"/>
      <c r="O207" s="11" t="s">
        <v>570</v>
      </c>
      <c r="P207" s="99">
        <v>45786</v>
      </c>
      <c r="Q207" s="164">
        <f t="shared" ca="1" si="14"/>
        <v>339</v>
      </c>
    </row>
    <row r="208" spans="1:17" ht="15.75">
      <c r="A208" s="2">
        <f t="shared" si="12"/>
        <v>206</v>
      </c>
      <c r="B208" s="151">
        <v>45785</v>
      </c>
      <c r="C208" s="2" t="str">
        <f t="shared" si="15"/>
        <v>MP0206</v>
      </c>
      <c r="D208" s="152" t="s">
        <v>732</v>
      </c>
      <c r="E208" s="48">
        <v>3000</v>
      </c>
      <c r="F208" s="48" t="s">
        <v>733</v>
      </c>
      <c r="G208" s="161">
        <v>9.25</v>
      </c>
      <c r="H208" s="11">
        <f t="shared" si="11"/>
        <v>27750</v>
      </c>
      <c r="I208" s="11" t="s">
        <v>726</v>
      </c>
      <c r="J208" s="11" t="s">
        <v>634</v>
      </c>
      <c r="K208" s="152" t="s">
        <v>7</v>
      </c>
      <c r="L208" s="63"/>
      <c r="M208" s="153" t="s">
        <v>727</v>
      </c>
      <c r="N208" s="11"/>
      <c r="O208" s="11" t="s">
        <v>570</v>
      </c>
      <c r="P208" s="99">
        <v>45786</v>
      </c>
      <c r="Q208" s="164">
        <f t="shared" ca="1" si="14"/>
        <v>339</v>
      </c>
    </row>
    <row r="209" spans="1:17">
      <c r="A209" s="2">
        <f t="shared" si="12"/>
        <v>207</v>
      </c>
      <c r="B209" s="151">
        <v>45785</v>
      </c>
      <c r="C209" s="2" t="str">
        <f t="shared" si="15"/>
        <v>MP0207</v>
      </c>
      <c r="D209" s="152" t="s">
        <v>734</v>
      </c>
      <c r="E209" s="48">
        <v>3000</v>
      </c>
      <c r="F209" s="48" t="s">
        <v>735</v>
      </c>
      <c r="G209" s="133">
        <v>7.9</v>
      </c>
      <c r="H209" s="11">
        <f t="shared" si="11"/>
        <v>23700</v>
      </c>
      <c r="I209" s="11" t="s">
        <v>726</v>
      </c>
      <c r="J209" s="11" t="s">
        <v>634</v>
      </c>
      <c r="K209" s="152" t="s">
        <v>7</v>
      </c>
      <c r="L209" s="63"/>
      <c r="M209" s="153" t="s">
        <v>727</v>
      </c>
      <c r="N209" s="11"/>
      <c r="O209" s="11" t="s">
        <v>570</v>
      </c>
      <c r="P209" s="99">
        <v>45786</v>
      </c>
      <c r="Q209" s="164">
        <f t="shared" ca="1" si="14"/>
        <v>339</v>
      </c>
    </row>
    <row r="210" spans="1:17">
      <c r="A210" s="2">
        <f t="shared" si="12"/>
        <v>208</v>
      </c>
      <c r="B210" s="151">
        <v>45785</v>
      </c>
      <c r="C210" s="2" t="str">
        <f t="shared" si="15"/>
        <v>MP0208</v>
      </c>
      <c r="D210" s="152" t="s">
        <v>736</v>
      </c>
      <c r="E210" s="48">
        <v>1200</v>
      </c>
      <c r="F210" s="48">
        <v>125</v>
      </c>
      <c r="G210" s="133">
        <v>17.5</v>
      </c>
      <c r="H210" s="11">
        <f t="shared" si="11"/>
        <v>21000</v>
      </c>
      <c r="I210" s="11" t="s">
        <v>737</v>
      </c>
      <c r="J210" s="11" t="s">
        <v>738</v>
      </c>
      <c r="K210" s="11" t="s">
        <v>20</v>
      </c>
      <c r="L210" s="63"/>
      <c r="M210" s="153" t="s">
        <v>727</v>
      </c>
      <c r="N210" s="11"/>
      <c r="O210" s="11" t="s">
        <v>570</v>
      </c>
      <c r="P210" s="99">
        <v>45786</v>
      </c>
      <c r="Q210" s="164">
        <f t="shared" ca="1" si="14"/>
        <v>339</v>
      </c>
    </row>
    <row r="211" spans="1:17">
      <c r="A211" s="2">
        <f t="shared" si="12"/>
        <v>209</v>
      </c>
      <c r="B211" s="151">
        <v>45785</v>
      </c>
      <c r="C211" s="2" t="str">
        <f t="shared" si="15"/>
        <v>MP0209</v>
      </c>
      <c r="D211" s="162" t="s">
        <v>739</v>
      </c>
      <c r="E211" s="48">
        <v>1200</v>
      </c>
      <c r="F211" s="48">
        <v>125</v>
      </c>
      <c r="G211" s="133">
        <v>19.5</v>
      </c>
      <c r="H211" s="11">
        <f t="shared" si="11"/>
        <v>23400</v>
      </c>
      <c r="I211" s="11" t="s">
        <v>737</v>
      </c>
      <c r="J211" s="11" t="s">
        <v>738</v>
      </c>
      <c r="K211" s="11" t="s">
        <v>20</v>
      </c>
      <c r="L211" s="63"/>
      <c r="M211" s="153" t="s">
        <v>727</v>
      </c>
      <c r="N211" s="11"/>
      <c r="O211" s="11" t="s">
        <v>570</v>
      </c>
      <c r="P211" s="99">
        <v>45786</v>
      </c>
      <c r="Q211" s="164">
        <f t="shared" ca="1" si="14"/>
        <v>339</v>
      </c>
    </row>
    <row r="212" spans="1:17">
      <c r="A212" s="2">
        <f>IF(B212="","",ROW()-2)</f>
        <v>210</v>
      </c>
      <c r="B212" s="151">
        <v>45785</v>
      </c>
      <c r="C212" s="2" t="str">
        <f t="shared" si="15"/>
        <v>MP0210</v>
      </c>
      <c r="D212" s="11" t="s">
        <v>740</v>
      </c>
      <c r="E212" s="48">
        <v>1500</v>
      </c>
      <c r="F212" s="48">
        <v>143</v>
      </c>
      <c r="G212" s="133">
        <v>15.5</v>
      </c>
      <c r="H212" s="11">
        <f t="shared" si="11"/>
        <v>23250</v>
      </c>
      <c r="I212" s="11" t="s">
        <v>741</v>
      </c>
      <c r="J212" s="11" t="s">
        <v>742</v>
      </c>
      <c r="K212" s="11" t="s">
        <v>683</v>
      </c>
      <c r="L212" s="63"/>
      <c r="M212" s="153" t="s">
        <v>727</v>
      </c>
      <c r="N212" s="11"/>
      <c r="O212" s="11" t="s">
        <v>570</v>
      </c>
      <c r="P212" s="99">
        <v>45786</v>
      </c>
      <c r="Q212" s="164">
        <f t="shared" ca="1" si="14"/>
        <v>339</v>
      </c>
    </row>
    <row r="213" spans="1:17">
      <c r="A213" s="2">
        <f t="shared" si="12"/>
        <v>211</v>
      </c>
      <c r="B213" s="151">
        <v>45785</v>
      </c>
      <c r="C213" s="2" t="str">
        <f t="shared" si="15"/>
        <v>MP0211</v>
      </c>
      <c r="D213" s="11" t="s">
        <v>743</v>
      </c>
      <c r="E213" s="48">
        <v>1200</v>
      </c>
      <c r="F213" s="48">
        <v>130</v>
      </c>
      <c r="G213" s="133">
        <v>15</v>
      </c>
      <c r="H213" s="11">
        <f>IF(G213="","",E213*G213)</f>
        <v>18000</v>
      </c>
      <c r="I213" s="11" t="s">
        <v>737</v>
      </c>
      <c r="J213" s="11" t="s">
        <v>738</v>
      </c>
      <c r="K213" s="11" t="s">
        <v>20</v>
      </c>
      <c r="L213" s="63"/>
      <c r="M213" s="153" t="s">
        <v>727</v>
      </c>
      <c r="N213" s="11"/>
      <c r="O213" s="11" t="s">
        <v>570</v>
      </c>
      <c r="P213" s="99">
        <v>45786</v>
      </c>
      <c r="Q213" s="164">
        <f t="shared" ca="1" si="14"/>
        <v>339</v>
      </c>
    </row>
    <row r="214" spans="1:17">
      <c r="A214" s="2">
        <f t="shared" si="12"/>
        <v>212</v>
      </c>
      <c r="B214" s="151">
        <v>45786</v>
      </c>
      <c r="C214" s="2" t="str">
        <f t="shared" si="15"/>
        <v>MP0212</v>
      </c>
      <c r="D214" s="162" t="s">
        <v>744</v>
      </c>
      <c r="E214" s="48">
        <v>300</v>
      </c>
      <c r="F214" s="48">
        <v>225</v>
      </c>
      <c r="G214" s="133"/>
      <c r="H214" s="11" t="str">
        <f t="shared" si="11"/>
        <v/>
      </c>
      <c r="I214" s="11" t="s">
        <v>531</v>
      </c>
      <c r="J214" s="11" t="s">
        <v>609</v>
      </c>
      <c r="K214" s="11" t="s">
        <v>2</v>
      </c>
      <c r="L214" s="63"/>
      <c r="M214" s="153" t="s">
        <v>745</v>
      </c>
      <c r="N214" s="11"/>
      <c r="O214" s="11" t="s">
        <v>695</v>
      </c>
      <c r="P214" s="99">
        <v>45786</v>
      </c>
      <c r="Q214" s="164">
        <f t="shared" ca="1" si="14"/>
        <v>339</v>
      </c>
    </row>
    <row r="215" spans="1:17">
      <c r="A215" s="2">
        <f t="shared" si="12"/>
        <v>213</v>
      </c>
      <c r="B215" s="151">
        <v>45787</v>
      </c>
      <c r="C215" s="2" t="str">
        <f t="shared" si="15"/>
        <v>MP0213</v>
      </c>
      <c r="D215" s="162" t="s">
        <v>746</v>
      </c>
      <c r="E215" s="48">
        <v>3000</v>
      </c>
      <c r="F215" s="48">
        <v>78</v>
      </c>
      <c r="G215" s="133">
        <v>10.75</v>
      </c>
      <c r="H215" s="11">
        <f t="shared" si="11"/>
        <v>32250</v>
      </c>
      <c r="I215" s="162" t="s">
        <v>747</v>
      </c>
      <c r="J215" s="11" t="s">
        <v>748</v>
      </c>
      <c r="K215" s="11" t="s">
        <v>697</v>
      </c>
      <c r="L215" s="63"/>
      <c r="M215" s="163"/>
      <c r="N215" s="11"/>
      <c r="O215" s="11" t="s">
        <v>566</v>
      </c>
      <c r="P215" s="99">
        <v>45787</v>
      </c>
      <c r="Q215" s="164">
        <f t="shared" ca="1" si="14"/>
        <v>338</v>
      </c>
    </row>
    <row r="216" spans="1:17">
      <c r="A216" s="2">
        <f t="shared" si="12"/>
        <v>214</v>
      </c>
      <c r="B216" s="151">
        <v>45787</v>
      </c>
      <c r="C216" s="2" t="str">
        <f t="shared" si="15"/>
        <v>MP0214</v>
      </c>
      <c r="D216" s="162" t="s">
        <v>749</v>
      </c>
      <c r="E216" s="48">
        <v>10000</v>
      </c>
      <c r="F216" s="48" t="s">
        <v>231</v>
      </c>
      <c r="G216" s="133">
        <v>6.1</v>
      </c>
      <c r="H216" s="11">
        <f t="shared" si="11"/>
        <v>61000</v>
      </c>
      <c r="I216" s="162" t="s">
        <v>750</v>
      </c>
      <c r="J216" s="11" t="s">
        <v>751</v>
      </c>
      <c r="K216" s="11" t="s">
        <v>7</v>
      </c>
      <c r="L216" s="63"/>
      <c r="M216" s="26"/>
      <c r="N216" s="11"/>
      <c r="O216" s="11" t="s">
        <v>570</v>
      </c>
      <c r="P216" s="99">
        <v>45787</v>
      </c>
      <c r="Q216" s="164">
        <f t="shared" ca="1" si="14"/>
        <v>338</v>
      </c>
    </row>
    <row r="217" spans="1:17">
      <c r="A217" s="2">
        <f t="shared" si="12"/>
        <v>215</v>
      </c>
      <c r="B217" s="151">
        <v>45787</v>
      </c>
      <c r="C217" s="2" t="str">
        <f t="shared" si="15"/>
        <v>MP0215</v>
      </c>
      <c r="D217" s="162" t="s">
        <v>752</v>
      </c>
      <c r="E217" s="48">
        <v>250</v>
      </c>
      <c r="F217" s="48">
        <v>3900</v>
      </c>
      <c r="G217" s="133">
        <v>170</v>
      </c>
      <c r="H217" s="11">
        <f t="shared" si="11"/>
        <v>42500</v>
      </c>
      <c r="I217" s="11" t="s">
        <v>586</v>
      </c>
      <c r="J217" s="11" t="s">
        <v>609</v>
      </c>
      <c r="K217" s="11" t="s">
        <v>4</v>
      </c>
      <c r="L217" s="63"/>
      <c r="M217" s="26"/>
      <c r="N217" s="11"/>
      <c r="O217" s="11" t="s">
        <v>566</v>
      </c>
      <c r="P217" s="99">
        <v>45787</v>
      </c>
      <c r="Q217" s="164">
        <f t="shared" ca="1" si="14"/>
        <v>338</v>
      </c>
    </row>
    <row r="218" spans="1:17">
      <c r="A218" s="2">
        <f t="shared" si="12"/>
        <v>216</v>
      </c>
      <c r="B218" s="151">
        <v>45787</v>
      </c>
      <c r="C218" s="2" t="str">
        <f t="shared" si="15"/>
        <v>MP0216</v>
      </c>
      <c r="D218" s="162" t="s">
        <v>753</v>
      </c>
      <c r="E218" s="48">
        <v>200</v>
      </c>
      <c r="F218" s="48" t="s">
        <v>754</v>
      </c>
      <c r="G218" s="133">
        <v>225</v>
      </c>
      <c r="H218" s="11">
        <f t="shared" si="11"/>
        <v>45000</v>
      </c>
      <c r="I218" s="162" t="s">
        <v>755</v>
      </c>
      <c r="J218" s="11" t="s">
        <v>609</v>
      </c>
      <c r="K218" s="11" t="s">
        <v>4</v>
      </c>
      <c r="L218" s="63"/>
      <c r="M218" s="26"/>
      <c r="N218" s="11"/>
      <c r="O218" s="11" t="s">
        <v>570</v>
      </c>
      <c r="P218" s="99">
        <v>45787</v>
      </c>
      <c r="Q218" s="164">
        <f t="shared" ca="1" si="14"/>
        <v>338</v>
      </c>
    </row>
    <row r="219" spans="1:17" ht="15.75">
      <c r="A219" s="2">
        <f t="shared" si="12"/>
        <v>217</v>
      </c>
      <c r="B219" s="151">
        <v>45787</v>
      </c>
      <c r="C219" s="2" t="str">
        <f t="shared" si="15"/>
        <v>MP0217</v>
      </c>
      <c r="D219" s="162" t="s">
        <v>756</v>
      </c>
      <c r="E219" s="48">
        <v>300</v>
      </c>
      <c r="F219" s="48">
        <v>6200</v>
      </c>
      <c r="G219" s="133">
        <v>590</v>
      </c>
      <c r="H219" s="11">
        <f t="shared" si="11"/>
        <v>177000</v>
      </c>
      <c r="I219" s="161" t="s">
        <v>757</v>
      </c>
      <c r="J219" s="11" t="s">
        <v>609</v>
      </c>
      <c r="K219" s="11" t="s">
        <v>16</v>
      </c>
      <c r="L219" s="63"/>
      <c r="M219" s="26"/>
      <c r="N219" s="11"/>
      <c r="O219" s="11" t="s">
        <v>570</v>
      </c>
      <c r="P219" s="99">
        <v>45790</v>
      </c>
      <c r="Q219" s="164">
        <f t="shared" ca="1" si="14"/>
        <v>335</v>
      </c>
    </row>
    <row r="220" spans="1:17">
      <c r="A220" s="2">
        <f t="shared" si="12"/>
        <v>218</v>
      </c>
      <c r="B220" s="151">
        <v>45789</v>
      </c>
      <c r="C220" s="2" t="str">
        <f t="shared" si="15"/>
        <v>MP0218</v>
      </c>
      <c r="D220" s="162" t="s">
        <v>758</v>
      </c>
      <c r="E220" s="48">
        <v>250</v>
      </c>
      <c r="F220" s="48">
        <v>1900</v>
      </c>
      <c r="G220" s="133"/>
      <c r="H220" s="11" t="str">
        <f t="shared" si="11"/>
        <v/>
      </c>
      <c r="I220" s="162" t="s">
        <v>66</v>
      </c>
      <c r="J220" s="11" t="s">
        <v>609</v>
      </c>
      <c r="K220" s="11" t="s">
        <v>2</v>
      </c>
      <c r="L220" s="63"/>
      <c r="M220" s="26"/>
      <c r="N220" s="11"/>
      <c r="O220" s="11" t="s">
        <v>566</v>
      </c>
      <c r="P220" s="99">
        <v>45789</v>
      </c>
      <c r="Q220" s="164">
        <f t="shared" ca="1" si="14"/>
        <v>336</v>
      </c>
    </row>
    <row r="221" spans="1:17">
      <c r="A221" s="2">
        <f t="shared" si="12"/>
        <v>219</v>
      </c>
      <c r="B221" s="151">
        <v>45789</v>
      </c>
      <c r="C221" s="2" t="str">
        <f t="shared" si="15"/>
        <v>MP0219</v>
      </c>
      <c r="D221" s="162" t="s">
        <v>759</v>
      </c>
      <c r="E221" s="48">
        <v>3000</v>
      </c>
      <c r="F221" s="48">
        <v>88</v>
      </c>
      <c r="G221" s="133">
        <v>7.5</v>
      </c>
      <c r="H221" s="11">
        <f t="shared" si="11"/>
        <v>22500</v>
      </c>
      <c r="I221" s="162" t="s">
        <v>760</v>
      </c>
      <c r="J221" s="11" t="s">
        <v>604</v>
      </c>
      <c r="K221" s="11" t="s">
        <v>22</v>
      </c>
      <c r="L221" s="63"/>
      <c r="M221" s="26"/>
      <c r="N221" s="11"/>
      <c r="O221" s="11" t="s">
        <v>566</v>
      </c>
      <c r="P221" s="99">
        <v>45789</v>
      </c>
      <c r="Q221" s="164">
        <f t="shared" ca="1" si="14"/>
        <v>336</v>
      </c>
    </row>
    <row r="222" spans="1:17">
      <c r="A222" s="2">
        <f t="shared" si="12"/>
        <v>220</v>
      </c>
      <c r="B222" s="151">
        <v>45789</v>
      </c>
      <c r="C222" s="2" t="str">
        <f t="shared" si="15"/>
        <v>MP0220</v>
      </c>
      <c r="D222" s="11" t="s">
        <v>761</v>
      </c>
      <c r="E222" s="48">
        <v>1200</v>
      </c>
      <c r="F222" s="48">
        <v>75</v>
      </c>
      <c r="G222" s="133"/>
      <c r="H222" s="11" t="str">
        <f t="shared" si="11"/>
        <v/>
      </c>
      <c r="I222" s="162" t="s">
        <v>737</v>
      </c>
      <c r="J222" s="11" t="s">
        <v>762</v>
      </c>
      <c r="K222" s="11" t="s">
        <v>20</v>
      </c>
      <c r="L222" s="63"/>
      <c r="M222" s="26"/>
      <c r="N222" s="11"/>
      <c r="O222" s="11" t="s">
        <v>566</v>
      </c>
      <c r="P222" s="99">
        <v>45789</v>
      </c>
      <c r="Q222" s="164">
        <f t="shared" ca="1" si="14"/>
        <v>336</v>
      </c>
    </row>
    <row r="223" spans="1:17">
      <c r="A223" s="2">
        <f t="shared" si="12"/>
        <v>221</v>
      </c>
      <c r="B223" s="151">
        <v>45789</v>
      </c>
      <c r="C223" s="2" t="str">
        <f t="shared" si="15"/>
        <v>MP0221</v>
      </c>
      <c r="D223" s="11" t="s">
        <v>763</v>
      </c>
      <c r="E223" s="48">
        <v>1200</v>
      </c>
      <c r="F223" s="48">
        <v>135</v>
      </c>
      <c r="G223" s="133"/>
      <c r="H223" s="11" t="str">
        <f t="shared" si="11"/>
        <v/>
      </c>
      <c r="I223" s="162" t="s">
        <v>737</v>
      </c>
      <c r="J223" s="11" t="s">
        <v>762</v>
      </c>
      <c r="K223" s="11" t="s">
        <v>20</v>
      </c>
      <c r="L223" s="63"/>
      <c r="M223" s="26"/>
      <c r="N223" s="11"/>
      <c r="O223" s="11" t="s">
        <v>566</v>
      </c>
      <c r="P223" s="99">
        <v>45789</v>
      </c>
      <c r="Q223" s="164">
        <f t="shared" ca="1" si="14"/>
        <v>336</v>
      </c>
    </row>
    <row r="224" spans="1:17">
      <c r="A224" s="2">
        <f t="shared" si="12"/>
        <v>222</v>
      </c>
      <c r="B224" s="151">
        <v>45789</v>
      </c>
      <c r="C224" s="2" t="str">
        <f t="shared" si="15"/>
        <v>MP0222</v>
      </c>
      <c r="D224" s="11" t="s">
        <v>764</v>
      </c>
      <c r="E224" s="48">
        <v>1200</v>
      </c>
      <c r="F224" s="48">
        <v>145</v>
      </c>
      <c r="G224" s="133"/>
      <c r="H224" s="11" t="str">
        <f t="shared" si="11"/>
        <v/>
      </c>
      <c r="I224" s="11" t="s">
        <v>737</v>
      </c>
      <c r="J224" s="11" t="s">
        <v>762</v>
      </c>
      <c r="K224" s="11" t="s">
        <v>20</v>
      </c>
      <c r="L224" s="63"/>
      <c r="M224" s="26"/>
      <c r="N224" s="11"/>
      <c r="O224" s="11" t="s">
        <v>566</v>
      </c>
      <c r="P224" s="99">
        <v>45789</v>
      </c>
      <c r="Q224" s="164">
        <f t="shared" ca="1" si="14"/>
        <v>336</v>
      </c>
    </row>
    <row r="225" spans="1:17">
      <c r="A225" s="2">
        <f t="shared" si="12"/>
        <v>223</v>
      </c>
      <c r="B225" s="151">
        <v>45789</v>
      </c>
      <c r="C225" s="2" t="str">
        <f t="shared" si="15"/>
        <v>MP0223</v>
      </c>
      <c r="D225" s="11" t="s">
        <v>765</v>
      </c>
      <c r="E225" s="48">
        <v>3000</v>
      </c>
      <c r="F225" s="48">
        <v>185</v>
      </c>
      <c r="G225" s="133"/>
      <c r="H225" s="11" t="str">
        <f t="shared" si="11"/>
        <v/>
      </c>
      <c r="I225" s="162" t="s">
        <v>766</v>
      </c>
      <c r="J225" s="11" t="s">
        <v>767</v>
      </c>
      <c r="K225" s="11" t="s">
        <v>22</v>
      </c>
      <c r="L225" s="63"/>
      <c r="M225" s="26"/>
      <c r="N225" s="11"/>
      <c r="O225" s="11" t="s">
        <v>566</v>
      </c>
      <c r="P225" s="99">
        <v>45789</v>
      </c>
      <c r="Q225" s="164">
        <f t="shared" ca="1" si="14"/>
        <v>336</v>
      </c>
    </row>
    <row r="226" spans="1:17">
      <c r="A226" s="2">
        <f t="shared" si="12"/>
        <v>224</v>
      </c>
      <c r="B226" s="151">
        <v>45789</v>
      </c>
      <c r="C226" s="2" t="str">
        <f t="shared" si="15"/>
        <v>MP0224</v>
      </c>
      <c r="D226" s="11" t="s">
        <v>768</v>
      </c>
      <c r="E226" s="48">
        <v>100</v>
      </c>
      <c r="F226" s="48">
        <v>11750</v>
      </c>
      <c r="G226" s="133">
        <v>795</v>
      </c>
      <c r="H226" s="11">
        <f t="shared" si="11"/>
        <v>79500</v>
      </c>
      <c r="I226" s="162" t="s">
        <v>757</v>
      </c>
      <c r="J226" s="11" t="s">
        <v>609</v>
      </c>
      <c r="K226" s="11" t="s">
        <v>20</v>
      </c>
      <c r="L226" s="63"/>
      <c r="M226" s="26" t="s">
        <v>769</v>
      </c>
      <c r="N226" s="11"/>
      <c r="O226" s="11" t="s">
        <v>570</v>
      </c>
      <c r="P226" s="99">
        <v>45790</v>
      </c>
      <c r="Q226" s="164">
        <f t="shared" ca="1" si="14"/>
        <v>335</v>
      </c>
    </row>
    <row r="227" spans="1:17">
      <c r="A227" s="2">
        <f t="shared" si="12"/>
        <v>225</v>
      </c>
      <c r="B227" s="151">
        <v>45789</v>
      </c>
      <c r="C227" s="2" t="str">
        <f t="shared" si="15"/>
        <v>MP0225</v>
      </c>
      <c r="D227" s="162" t="s">
        <v>770</v>
      </c>
      <c r="E227" s="48">
        <v>3000</v>
      </c>
      <c r="F227" s="48">
        <v>155</v>
      </c>
      <c r="G227" s="133"/>
      <c r="H227" s="11" t="str">
        <f t="shared" si="11"/>
        <v/>
      </c>
      <c r="I227" s="162" t="s">
        <v>766</v>
      </c>
      <c r="J227" s="11" t="s">
        <v>767</v>
      </c>
      <c r="K227" s="11" t="s">
        <v>22</v>
      </c>
      <c r="L227" s="63"/>
      <c r="M227" s="26"/>
      <c r="N227" s="11"/>
      <c r="O227" s="11" t="s">
        <v>566</v>
      </c>
      <c r="P227" s="99">
        <v>45789</v>
      </c>
      <c r="Q227" s="164">
        <f t="shared" ca="1" si="14"/>
        <v>336</v>
      </c>
    </row>
    <row r="228" spans="1:17">
      <c r="A228" s="2">
        <f t="shared" si="12"/>
        <v>226</v>
      </c>
      <c r="B228" s="151">
        <v>45789</v>
      </c>
      <c r="C228" s="2" t="str">
        <f t="shared" si="15"/>
        <v>MP0226</v>
      </c>
      <c r="D228" s="162" t="s">
        <v>771</v>
      </c>
      <c r="E228" s="48">
        <v>3000</v>
      </c>
      <c r="F228" s="48">
        <v>99</v>
      </c>
      <c r="G228" s="133">
        <v>8.75</v>
      </c>
      <c r="H228" s="11">
        <f t="shared" si="11"/>
        <v>26250</v>
      </c>
      <c r="I228" s="11" t="s">
        <v>772</v>
      </c>
      <c r="J228" s="11" t="s">
        <v>767</v>
      </c>
      <c r="K228" s="11" t="s">
        <v>22</v>
      </c>
      <c r="L228" s="63"/>
      <c r="M228" s="26"/>
      <c r="N228" s="11"/>
      <c r="O228" s="11" t="s">
        <v>566</v>
      </c>
      <c r="P228" s="99">
        <v>45789</v>
      </c>
      <c r="Q228" s="164">
        <f t="shared" ca="1" si="14"/>
        <v>336</v>
      </c>
    </row>
    <row r="229" spans="1:17">
      <c r="A229" s="2">
        <f t="shared" si="12"/>
        <v>227</v>
      </c>
      <c r="B229" s="151">
        <v>45789</v>
      </c>
      <c r="C229" s="2" t="str">
        <f t="shared" si="15"/>
        <v>MP0227</v>
      </c>
      <c r="D229" s="162" t="s">
        <v>773</v>
      </c>
      <c r="E229" s="48">
        <v>3000</v>
      </c>
      <c r="F229" s="48">
        <v>300</v>
      </c>
      <c r="G229" s="133">
        <v>17.5</v>
      </c>
      <c r="H229" s="11">
        <f t="shared" si="11"/>
        <v>52500</v>
      </c>
      <c r="I229" s="162" t="s">
        <v>774</v>
      </c>
      <c r="J229" s="11" t="s">
        <v>775</v>
      </c>
      <c r="K229" s="11" t="s">
        <v>10</v>
      </c>
      <c r="L229" s="63"/>
      <c r="M229" s="26"/>
      <c r="N229" s="11"/>
      <c r="O229" s="11" t="s">
        <v>566</v>
      </c>
      <c r="P229" s="99">
        <v>45789</v>
      </c>
      <c r="Q229" s="164">
        <f t="shared" ca="1" si="14"/>
        <v>336</v>
      </c>
    </row>
    <row r="230" spans="1:17" ht="15.75">
      <c r="A230" s="2">
        <f t="shared" si="12"/>
        <v>228</v>
      </c>
      <c r="B230" s="151">
        <v>45789</v>
      </c>
      <c r="C230" s="2" t="str">
        <f t="shared" si="15"/>
        <v>MP0228</v>
      </c>
      <c r="D230" s="11" t="s">
        <v>776</v>
      </c>
      <c r="E230" s="48">
        <v>25000</v>
      </c>
      <c r="F230" s="48">
        <v>39.5</v>
      </c>
      <c r="G230" s="133">
        <v>4.5999999999999996</v>
      </c>
      <c r="H230" s="11">
        <f t="shared" si="11"/>
        <v>114999.99999999999</v>
      </c>
      <c r="I230" s="161" t="s">
        <v>777</v>
      </c>
      <c r="J230" s="11" t="s">
        <v>778</v>
      </c>
      <c r="K230" s="11" t="s">
        <v>10</v>
      </c>
      <c r="L230" s="63"/>
      <c r="M230" s="26"/>
      <c r="N230" s="11"/>
      <c r="O230" s="11" t="s">
        <v>566</v>
      </c>
      <c r="P230" s="99">
        <v>45789</v>
      </c>
      <c r="Q230" s="164">
        <f t="shared" ca="1" si="14"/>
        <v>336</v>
      </c>
    </row>
    <row r="231" spans="1:17" ht="15.75">
      <c r="A231" s="2">
        <f t="shared" si="12"/>
        <v>229</v>
      </c>
      <c r="B231" s="151">
        <v>45789</v>
      </c>
      <c r="C231" s="2" t="str">
        <f t="shared" si="15"/>
        <v>MP0229</v>
      </c>
      <c r="D231" s="11" t="s">
        <v>779</v>
      </c>
      <c r="E231" s="48">
        <v>25000</v>
      </c>
      <c r="F231" s="48">
        <v>27.5</v>
      </c>
      <c r="G231" s="133">
        <v>3</v>
      </c>
      <c r="H231" s="11">
        <f t="shared" si="11"/>
        <v>75000</v>
      </c>
      <c r="I231" s="161" t="s">
        <v>777</v>
      </c>
      <c r="J231" s="11" t="s">
        <v>778</v>
      </c>
      <c r="K231" s="11" t="s">
        <v>10</v>
      </c>
      <c r="L231" s="63"/>
      <c r="M231" s="26"/>
      <c r="N231" s="11"/>
      <c r="O231" s="11" t="s">
        <v>566</v>
      </c>
      <c r="P231" s="99">
        <v>45789</v>
      </c>
      <c r="Q231" s="164">
        <f t="shared" ca="1" si="14"/>
        <v>336</v>
      </c>
    </row>
    <row r="232" spans="1:17">
      <c r="A232" s="2">
        <f t="shared" si="12"/>
        <v>230</v>
      </c>
      <c r="B232" s="151">
        <v>45789</v>
      </c>
      <c r="C232" s="2" t="str">
        <f t="shared" si="15"/>
        <v>MP0230</v>
      </c>
      <c r="D232" s="11" t="s">
        <v>780</v>
      </c>
      <c r="E232" s="48">
        <v>1500</v>
      </c>
      <c r="F232" s="48">
        <v>140</v>
      </c>
      <c r="G232" s="133">
        <v>14.5</v>
      </c>
      <c r="H232" s="11">
        <f t="shared" si="11"/>
        <v>21750</v>
      </c>
      <c r="I232" s="162" t="s">
        <v>781</v>
      </c>
      <c r="J232" s="11" t="s">
        <v>782</v>
      </c>
      <c r="K232" s="11" t="s">
        <v>20</v>
      </c>
      <c r="L232" s="63"/>
      <c r="M232" s="26" t="s">
        <v>783</v>
      </c>
      <c r="N232" s="11"/>
      <c r="O232" s="11" t="s">
        <v>566</v>
      </c>
      <c r="P232" s="99">
        <v>45789</v>
      </c>
      <c r="Q232" s="164">
        <f t="shared" ca="1" si="14"/>
        <v>336</v>
      </c>
    </row>
    <row r="233" spans="1:17">
      <c r="A233" s="2" t="str">
        <f t="shared" si="12"/>
        <v/>
      </c>
      <c r="B233" s="11"/>
      <c r="C233" s="2" t="str">
        <f t="shared" si="15"/>
        <v/>
      </c>
      <c r="D233" s="11"/>
      <c r="E233" s="48"/>
      <c r="F233" s="48"/>
      <c r="G233" s="133"/>
      <c r="H233" s="11" t="str">
        <f t="shared" si="11"/>
        <v/>
      </c>
      <c r="I233" s="11"/>
      <c r="J233" s="11"/>
      <c r="K233" s="11"/>
      <c r="L233" s="63"/>
      <c r="M233" s="26"/>
      <c r="N233" s="11"/>
      <c r="O233" s="11"/>
      <c r="P233" s="99"/>
      <c r="Q233" s="26"/>
    </row>
    <row r="234" spans="1:17">
      <c r="A234" s="2" t="str">
        <f t="shared" si="12"/>
        <v/>
      </c>
      <c r="B234" s="11"/>
      <c r="C234" s="2" t="str">
        <f t="shared" si="15"/>
        <v/>
      </c>
      <c r="D234" s="11"/>
      <c r="E234" s="48"/>
      <c r="F234" s="48"/>
      <c r="G234" s="133"/>
      <c r="H234" s="11" t="str">
        <f t="shared" si="11"/>
        <v/>
      </c>
      <c r="I234" s="11"/>
      <c r="J234" s="11"/>
      <c r="K234" s="11"/>
      <c r="L234" s="63"/>
      <c r="M234" s="26"/>
      <c r="N234" s="11"/>
      <c r="O234" s="11"/>
      <c r="P234" s="99"/>
      <c r="Q234" s="26"/>
    </row>
    <row r="235" spans="1:17">
      <c r="A235" s="2" t="str">
        <f t="shared" si="12"/>
        <v/>
      </c>
      <c r="B235" s="11"/>
      <c r="C235" s="2" t="str">
        <f t="shared" si="15"/>
        <v/>
      </c>
      <c r="D235" s="11"/>
      <c r="E235" s="48"/>
      <c r="F235" s="48"/>
      <c r="G235" s="133"/>
      <c r="H235" s="11" t="str">
        <f t="shared" si="11"/>
        <v/>
      </c>
      <c r="I235" s="11"/>
      <c r="J235" s="11"/>
      <c r="K235" s="11"/>
      <c r="L235" s="63"/>
      <c r="M235" s="26"/>
      <c r="N235" s="11"/>
      <c r="O235" s="11"/>
      <c r="P235" s="99"/>
      <c r="Q235" s="26"/>
    </row>
    <row r="236" spans="1:17">
      <c r="A236" s="2" t="str">
        <f t="shared" si="12"/>
        <v/>
      </c>
      <c r="B236" s="11"/>
      <c r="C236" s="2" t="str">
        <f t="shared" si="15"/>
        <v/>
      </c>
      <c r="D236" s="11"/>
      <c r="E236" s="48"/>
      <c r="F236" s="48"/>
      <c r="G236" s="133"/>
      <c r="H236" s="11" t="str">
        <f t="shared" si="11"/>
        <v/>
      </c>
      <c r="I236" s="11"/>
      <c r="J236" s="11"/>
      <c r="K236" s="11"/>
      <c r="L236" s="63"/>
      <c r="M236" s="26"/>
      <c r="N236" s="11"/>
      <c r="O236" s="11"/>
      <c r="P236" s="99"/>
      <c r="Q236" s="26"/>
    </row>
    <row r="237" spans="1:17">
      <c r="A237" s="2" t="str">
        <f t="shared" si="12"/>
        <v/>
      </c>
      <c r="B237" s="11"/>
      <c r="C237" s="2" t="str">
        <f t="shared" si="15"/>
        <v/>
      </c>
      <c r="D237" s="11"/>
      <c r="E237" s="48"/>
      <c r="F237" s="48"/>
      <c r="G237" s="133"/>
      <c r="H237" s="11" t="str">
        <f t="shared" si="11"/>
        <v/>
      </c>
      <c r="I237" s="11"/>
      <c r="J237" s="11"/>
      <c r="K237" s="11"/>
      <c r="L237" s="63"/>
      <c r="M237" s="26"/>
      <c r="N237" s="11"/>
      <c r="O237" s="11"/>
      <c r="P237" s="99"/>
      <c r="Q237" s="26"/>
    </row>
    <row r="238" spans="1:17">
      <c r="A238" s="2" t="str">
        <f t="shared" si="12"/>
        <v/>
      </c>
      <c r="B238" s="11"/>
      <c r="C238" s="2" t="str">
        <f t="shared" si="15"/>
        <v/>
      </c>
      <c r="D238" s="11"/>
      <c r="E238" s="48"/>
      <c r="F238" s="48"/>
      <c r="G238" s="133"/>
      <c r="H238" s="11" t="str">
        <f t="shared" si="11"/>
        <v/>
      </c>
      <c r="I238" s="11"/>
      <c r="J238" s="11"/>
      <c r="K238" s="11"/>
      <c r="L238" s="63"/>
      <c r="M238" s="26"/>
      <c r="N238" s="11"/>
      <c r="O238" s="11"/>
      <c r="P238" s="99"/>
      <c r="Q238" s="26"/>
    </row>
    <row r="239" spans="1:17">
      <c r="A239" s="2" t="str">
        <f t="shared" si="12"/>
        <v/>
      </c>
      <c r="B239" s="11"/>
      <c r="C239" s="2" t="str">
        <f t="shared" si="15"/>
        <v/>
      </c>
      <c r="D239" s="11"/>
      <c r="E239" s="48"/>
      <c r="F239" s="48"/>
      <c r="G239" s="133"/>
      <c r="H239" s="11" t="str">
        <f t="shared" si="11"/>
        <v/>
      </c>
      <c r="I239" s="11"/>
      <c r="J239" s="11"/>
      <c r="K239" s="11"/>
      <c r="L239" s="63"/>
      <c r="M239" s="26"/>
      <c r="N239" s="11"/>
      <c r="O239" s="11"/>
      <c r="P239" s="99"/>
      <c r="Q239" s="26"/>
    </row>
    <row r="240" spans="1:17">
      <c r="A240" s="2" t="str">
        <f t="shared" si="12"/>
        <v/>
      </c>
      <c r="B240" s="11"/>
      <c r="C240" s="2" t="str">
        <f t="shared" si="15"/>
        <v/>
      </c>
      <c r="D240" s="11"/>
      <c r="E240" s="48"/>
      <c r="F240" s="48"/>
      <c r="G240" s="133"/>
      <c r="H240" s="11" t="str">
        <f t="shared" si="11"/>
        <v/>
      </c>
      <c r="I240" s="11"/>
      <c r="J240" s="11"/>
      <c r="K240" s="11"/>
      <c r="L240" s="63"/>
      <c r="M240" s="26"/>
      <c r="N240" s="11"/>
      <c r="O240" s="11"/>
      <c r="P240" s="99"/>
      <c r="Q240" s="26"/>
    </row>
    <row r="241" spans="1:17">
      <c r="A241" s="2" t="str">
        <f t="shared" si="12"/>
        <v/>
      </c>
      <c r="B241" s="11"/>
      <c r="C241" s="2" t="str">
        <f t="shared" si="15"/>
        <v/>
      </c>
      <c r="D241" s="11"/>
      <c r="E241" s="48"/>
      <c r="F241" s="48"/>
      <c r="G241" s="133"/>
      <c r="H241" s="11" t="str">
        <f t="shared" si="11"/>
        <v/>
      </c>
      <c r="I241" s="11"/>
      <c r="J241" s="11"/>
      <c r="K241" s="11"/>
      <c r="L241" s="63"/>
      <c r="M241" s="26"/>
      <c r="N241" s="11"/>
      <c r="O241" s="11"/>
      <c r="P241" s="99"/>
      <c r="Q241" s="26"/>
    </row>
    <row r="242" spans="1:17">
      <c r="A242" s="2" t="str">
        <f t="shared" si="12"/>
        <v/>
      </c>
      <c r="B242" s="11"/>
      <c r="C242" s="2" t="str">
        <f t="shared" si="15"/>
        <v/>
      </c>
      <c r="D242" s="11"/>
      <c r="E242" s="48"/>
      <c r="F242" s="48"/>
      <c r="G242" s="133"/>
      <c r="H242" s="11" t="str">
        <f t="shared" si="11"/>
        <v/>
      </c>
      <c r="I242" s="11"/>
      <c r="J242" s="11"/>
      <c r="K242" s="11"/>
      <c r="L242" s="63"/>
      <c r="M242" s="26"/>
      <c r="N242" s="11"/>
      <c r="O242" s="11"/>
      <c r="P242" s="99"/>
      <c r="Q242" s="26"/>
    </row>
    <row r="243" spans="1:17">
      <c r="A243" s="2" t="str">
        <f t="shared" si="12"/>
        <v/>
      </c>
      <c r="B243" s="11"/>
      <c r="C243" s="2" t="str">
        <f t="shared" si="15"/>
        <v/>
      </c>
      <c r="D243" s="11"/>
      <c r="E243" s="48"/>
      <c r="F243" s="48"/>
      <c r="G243" s="133"/>
      <c r="H243" s="11" t="str">
        <f t="shared" si="11"/>
        <v/>
      </c>
      <c r="I243" s="11"/>
      <c r="J243" s="11"/>
      <c r="K243" s="11"/>
      <c r="L243" s="63"/>
      <c r="M243" s="26"/>
      <c r="N243" s="11"/>
      <c r="O243" s="11"/>
      <c r="P243" s="99"/>
      <c r="Q243" s="26"/>
    </row>
    <row r="244" spans="1:17">
      <c r="A244" s="2" t="str">
        <f t="shared" si="12"/>
        <v/>
      </c>
      <c r="B244" s="11"/>
      <c r="C244" s="2" t="str">
        <f t="shared" si="15"/>
        <v/>
      </c>
      <c r="D244" s="11"/>
      <c r="E244" s="48"/>
      <c r="F244" s="48"/>
      <c r="G244" s="133"/>
      <c r="H244" s="11" t="str">
        <f t="shared" si="11"/>
        <v/>
      </c>
      <c r="I244" s="11"/>
      <c r="J244" s="11"/>
      <c r="K244" s="11"/>
      <c r="L244" s="63"/>
      <c r="M244" s="26"/>
      <c r="N244" s="11"/>
      <c r="O244" s="11"/>
      <c r="P244" s="99"/>
      <c r="Q244" s="26"/>
    </row>
    <row r="245" spans="1:17">
      <c r="A245" s="2" t="str">
        <f t="shared" si="12"/>
        <v/>
      </c>
      <c r="B245" s="11"/>
      <c r="C245" s="2" t="str">
        <f t="shared" si="15"/>
        <v/>
      </c>
      <c r="D245" s="11"/>
      <c r="E245" s="48"/>
      <c r="F245" s="48"/>
      <c r="G245" s="133"/>
      <c r="H245" s="11" t="str">
        <f t="shared" si="11"/>
        <v/>
      </c>
      <c r="I245" s="11"/>
      <c r="J245" s="11"/>
      <c r="K245" s="11"/>
      <c r="L245" s="63"/>
      <c r="M245" s="26"/>
      <c r="N245" s="11"/>
      <c r="O245" s="11"/>
      <c r="P245" s="99"/>
      <c r="Q245" s="26"/>
    </row>
    <row r="246" spans="1:17">
      <c r="A246" s="2" t="str">
        <f t="shared" si="12"/>
        <v/>
      </c>
      <c r="B246" s="11"/>
      <c r="C246" s="2" t="str">
        <f t="shared" si="15"/>
        <v/>
      </c>
      <c r="D246" s="11"/>
      <c r="E246" s="48"/>
      <c r="F246" s="48"/>
      <c r="G246" s="133"/>
      <c r="H246" s="11" t="str">
        <f t="shared" si="11"/>
        <v/>
      </c>
      <c r="I246" s="11"/>
      <c r="J246" s="11"/>
      <c r="K246" s="11"/>
      <c r="L246" s="63"/>
      <c r="M246" s="26"/>
      <c r="N246" s="11"/>
      <c r="O246" s="11"/>
      <c r="P246" s="99"/>
      <c r="Q246" s="26"/>
    </row>
    <row r="247" spans="1:17">
      <c r="A247" s="2" t="str">
        <f t="shared" si="12"/>
        <v/>
      </c>
      <c r="B247" s="11"/>
      <c r="C247" s="2" t="str">
        <f t="shared" si="15"/>
        <v/>
      </c>
      <c r="D247" s="11"/>
      <c r="E247" s="48"/>
      <c r="F247" s="48"/>
      <c r="G247" s="133"/>
      <c r="H247" s="11" t="str">
        <f t="shared" si="11"/>
        <v/>
      </c>
      <c r="I247" s="11"/>
      <c r="J247" s="11"/>
      <c r="K247" s="11"/>
      <c r="L247" s="63"/>
      <c r="M247" s="26"/>
      <c r="N247" s="11"/>
      <c r="O247" s="11"/>
      <c r="P247" s="99"/>
      <c r="Q247" s="26"/>
    </row>
    <row r="248" spans="1:17">
      <c r="A248" s="2" t="str">
        <f t="shared" si="12"/>
        <v/>
      </c>
      <c r="B248" s="11"/>
      <c r="C248" s="2" t="str">
        <f t="shared" si="15"/>
        <v/>
      </c>
      <c r="D248" s="11"/>
      <c r="E248" s="48"/>
      <c r="F248" s="48"/>
      <c r="G248" s="133"/>
      <c r="H248" s="11" t="str">
        <f t="shared" si="11"/>
        <v/>
      </c>
      <c r="I248" s="11"/>
      <c r="J248" s="11"/>
      <c r="K248" s="11"/>
      <c r="L248" s="63"/>
      <c r="M248" s="26"/>
      <c r="N248" s="11"/>
      <c r="O248" s="11"/>
      <c r="P248" s="99"/>
      <c r="Q248" s="26"/>
    </row>
    <row r="249" spans="1:17">
      <c r="A249" s="2" t="str">
        <f t="shared" si="12"/>
        <v/>
      </c>
      <c r="B249" s="11"/>
      <c r="C249" s="2" t="str">
        <f t="shared" si="15"/>
        <v/>
      </c>
      <c r="D249" s="11"/>
      <c r="E249" s="48"/>
      <c r="F249" s="48"/>
      <c r="G249" s="133"/>
      <c r="H249" s="11" t="str">
        <f t="shared" si="11"/>
        <v/>
      </c>
      <c r="I249" s="11"/>
      <c r="J249" s="11"/>
      <c r="K249" s="11"/>
      <c r="L249" s="63"/>
      <c r="M249" s="26"/>
      <c r="N249" s="11"/>
      <c r="O249" s="11"/>
      <c r="P249" s="99"/>
      <c r="Q249" s="26"/>
    </row>
    <row r="250" spans="1:17">
      <c r="A250" s="2" t="str">
        <f t="shared" si="12"/>
        <v/>
      </c>
      <c r="B250" s="11"/>
      <c r="C250" s="2" t="str">
        <f t="shared" si="15"/>
        <v/>
      </c>
      <c r="D250" s="11"/>
      <c r="E250" s="48"/>
      <c r="F250" s="48"/>
      <c r="G250" s="133"/>
      <c r="H250" s="11" t="str">
        <f t="shared" si="11"/>
        <v/>
      </c>
      <c r="I250" s="11"/>
      <c r="J250" s="11"/>
      <c r="K250" s="11"/>
      <c r="L250" s="63"/>
      <c r="M250" s="26"/>
      <c r="N250" s="11"/>
      <c r="O250" s="11"/>
      <c r="P250" s="99"/>
      <c r="Q250" s="26"/>
    </row>
    <row r="251" spans="1:17">
      <c r="A251" s="2" t="str">
        <f t="shared" si="12"/>
        <v/>
      </c>
      <c r="B251" s="11"/>
      <c r="C251" s="2" t="str">
        <f t="shared" si="15"/>
        <v/>
      </c>
      <c r="D251" s="11"/>
      <c r="E251" s="48"/>
      <c r="F251" s="48"/>
      <c r="G251" s="133"/>
      <c r="H251" s="11" t="str">
        <f t="shared" si="11"/>
        <v/>
      </c>
      <c r="I251" s="11"/>
      <c r="J251" s="11"/>
      <c r="K251" s="11"/>
      <c r="L251" s="63"/>
      <c r="M251" s="26"/>
      <c r="N251" s="11"/>
      <c r="O251" s="11"/>
      <c r="P251" s="99"/>
      <c r="Q251" s="26"/>
    </row>
    <row r="252" spans="1:17">
      <c r="A252" s="2" t="str">
        <f t="shared" si="12"/>
        <v/>
      </c>
      <c r="B252" s="11"/>
      <c r="C252" s="2" t="str">
        <f t="shared" si="15"/>
        <v/>
      </c>
      <c r="D252" s="11"/>
      <c r="E252" s="48"/>
      <c r="F252" s="48"/>
      <c r="G252" s="133"/>
      <c r="H252" s="11" t="str">
        <f t="shared" si="11"/>
        <v/>
      </c>
      <c r="I252" s="11"/>
      <c r="J252" s="11"/>
      <c r="K252" s="11"/>
      <c r="L252" s="63"/>
      <c r="M252" s="26"/>
      <c r="N252" s="11"/>
      <c r="O252" s="11"/>
      <c r="P252" s="99"/>
      <c r="Q252" s="26"/>
    </row>
    <row r="253" spans="1:17">
      <c r="A253" s="2" t="str">
        <f t="shared" si="12"/>
        <v/>
      </c>
      <c r="B253" s="11"/>
      <c r="C253" s="2" t="str">
        <f t="shared" si="15"/>
        <v/>
      </c>
      <c r="D253" s="11"/>
      <c r="E253" s="48"/>
      <c r="F253" s="48"/>
      <c r="G253" s="133"/>
      <c r="H253" s="11" t="str">
        <f t="shared" si="11"/>
        <v/>
      </c>
      <c r="I253" s="11"/>
      <c r="J253" s="11"/>
      <c r="K253" s="11"/>
      <c r="L253" s="63"/>
      <c r="M253" s="26"/>
      <c r="N253" s="11"/>
      <c r="O253" s="11"/>
      <c r="P253" s="99"/>
      <c r="Q253" s="26"/>
    </row>
    <row r="254" spans="1:17">
      <c r="A254" s="2" t="str">
        <f t="shared" si="12"/>
        <v/>
      </c>
      <c r="B254" s="11"/>
      <c r="C254" s="2" t="str">
        <f t="shared" si="15"/>
        <v/>
      </c>
      <c r="D254" s="11"/>
      <c r="E254" s="48"/>
      <c r="F254" s="48"/>
      <c r="G254" s="133"/>
      <c r="H254" s="11" t="str">
        <f t="shared" si="11"/>
        <v/>
      </c>
      <c r="I254" s="11"/>
      <c r="J254" s="11"/>
      <c r="K254" s="11"/>
      <c r="L254" s="63"/>
      <c r="M254" s="26"/>
      <c r="N254" s="11"/>
      <c r="O254" s="11"/>
      <c r="P254" s="99"/>
      <c r="Q254" s="26"/>
    </row>
    <row r="255" spans="1:17">
      <c r="A255" s="2" t="str">
        <f t="shared" si="12"/>
        <v/>
      </c>
      <c r="B255" s="11"/>
      <c r="C255" s="2" t="str">
        <f t="shared" si="15"/>
        <v/>
      </c>
      <c r="D255" s="11"/>
      <c r="E255" s="48"/>
      <c r="F255" s="48"/>
      <c r="G255" s="133"/>
      <c r="H255" s="11" t="str">
        <f t="shared" si="11"/>
        <v/>
      </c>
      <c r="I255" s="11"/>
      <c r="J255" s="11"/>
      <c r="K255" s="11"/>
      <c r="L255" s="63"/>
      <c r="M255" s="26"/>
      <c r="N255" s="11"/>
      <c r="O255" s="11"/>
      <c r="P255" s="99"/>
      <c r="Q255" s="26"/>
    </row>
    <row r="256" spans="1:17">
      <c r="A256" s="2" t="str">
        <f t="shared" si="12"/>
        <v/>
      </c>
      <c r="B256" s="11"/>
      <c r="C256" s="2" t="str">
        <f t="shared" si="15"/>
        <v/>
      </c>
      <c r="D256" s="11"/>
      <c r="E256" s="48"/>
      <c r="F256" s="48"/>
      <c r="G256" s="133"/>
      <c r="H256" s="11" t="str">
        <f t="shared" si="11"/>
        <v/>
      </c>
      <c r="I256" s="11"/>
      <c r="J256" s="11"/>
      <c r="K256" s="11"/>
      <c r="L256" s="63"/>
      <c r="M256" s="26"/>
      <c r="N256" s="11"/>
      <c r="O256" s="11"/>
      <c r="P256" s="99"/>
      <c r="Q256" s="26"/>
    </row>
    <row r="257" spans="1:17">
      <c r="A257" s="2" t="str">
        <f t="shared" si="12"/>
        <v/>
      </c>
      <c r="B257" s="11"/>
      <c r="C257" s="2" t="str">
        <f t="shared" si="15"/>
        <v/>
      </c>
      <c r="D257" s="11"/>
      <c r="E257" s="48"/>
      <c r="F257" s="48"/>
      <c r="G257" s="133"/>
      <c r="H257" s="11" t="str">
        <f t="shared" si="11"/>
        <v/>
      </c>
      <c r="I257" s="11"/>
      <c r="J257" s="11"/>
      <c r="K257" s="11"/>
      <c r="L257" s="63"/>
      <c r="M257" s="26"/>
      <c r="N257" s="11"/>
      <c r="O257" s="11"/>
      <c r="P257" s="99"/>
      <c r="Q257" s="26"/>
    </row>
    <row r="258" spans="1:17">
      <c r="A258" s="2" t="str">
        <f t="shared" si="12"/>
        <v/>
      </c>
      <c r="B258" s="11"/>
      <c r="C258" s="2" t="str">
        <f t="shared" si="15"/>
        <v/>
      </c>
      <c r="D258" s="11"/>
      <c r="E258" s="48"/>
      <c r="F258" s="48"/>
      <c r="G258" s="133"/>
      <c r="H258" s="11" t="str">
        <f t="shared" si="11"/>
        <v/>
      </c>
      <c r="I258" s="11"/>
      <c r="J258" s="11"/>
      <c r="K258" s="11"/>
      <c r="L258" s="63"/>
      <c r="M258" s="26"/>
      <c r="N258" s="11"/>
      <c r="O258" s="11"/>
      <c r="P258" s="99"/>
      <c r="Q258" s="26"/>
    </row>
    <row r="259" spans="1:17">
      <c r="A259" s="2" t="str">
        <f t="shared" si="12"/>
        <v/>
      </c>
      <c r="B259" s="11"/>
      <c r="C259" s="2" t="str">
        <f t="shared" si="15"/>
        <v/>
      </c>
      <c r="D259" s="11"/>
      <c r="E259" s="48"/>
      <c r="F259" s="48"/>
      <c r="G259" s="133"/>
      <c r="H259" s="11" t="str">
        <f t="shared" ref="H259:H297" si="16">IF(G259="","",E259*G259)</f>
        <v/>
      </c>
      <c r="I259" s="11"/>
      <c r="J259" s="11"/>
      <c r="K259" s="11"/>
      <c r="L259" s="63"/>
      <c r="M259" s="26"/>
      <c r="N259" s="11"/>
      <c r="O259" s="11"/>
      <c r="P259" s="99"/>
      <c r="Q259" s="26"/>
    </row>
    <row r="260" spans="1:17">
      <c r="A260" s="2" t="str">
        <f t="shared" si="12"/>
        <v/>
      </c>
      <c r="B260" s="11"/>
      <c r="C260" s="2" t="str">
        <f t="shared" si="15"/>
        <v/>
      </c>
      <c r="D260" s="11"/>
      <c r="E260" s="48"/>
      <c r="F260" s="48"/>
      <c r="G260" s="133"/>
      <c r="H260" s="11" t="str">
        <f t="shared" si="16"/>
        <v/>
      </c>
      <c r="I260" s="11"/>
      <c r="J260" s="11"/>
      <c r="K260" s="11"/>
      <c r="L260" s="63"/>
      <c r="M260" s="26"/>
      <c r="N260" s="11"/>
      <c r="O260" s="11"/>
      <c r="P260" s="99"/>
      <c r="Q260" s="26"/>
    </row>
    <row r="261" spans="1:17">
      <c r="A261" s="2" t="str">
        <f t="shared" si="12"/>
        <v/>
      </c>
      <c r="B261" s="11"/>
      <c r="C261" s="2" t="str">
        <f t="shared" si="15"/>
        <v/>
      </c>
      <c r="D261" s="11"/>
      <c r="E261" s="48"/>
      <c r="F261" s="48"/>
      <c r="G261" s="133"/>
      <c r="H261" s="11" t="str">
        <f t="shared" si="16"/>
        <v/>
      </c>
      <c r="I261" s="11"/>
      <c r="J261" s="11"/>
      <c r="K261" s="11"/>
      <c r="L261" s="63"/>
      <c r="M261" s="26"/>
      <c r="N261" s="11"/>
      <c r="O261" s="11"/>
      <c r="P261" s="99"/>
      <c r="Q261" s="26"/>
    </row>
    <row r="262" spans="1:17">
      <c r="A262" s="2" t="str">
        <f t="shared" si="12"/>
        <v/>
      </c>
      <c r="B262" s="11"/>
      <c r="C262" s="2" t="str">
        <f t="shared" si="15"/>
        <v/>
      </c>
      <c r="D262" s="11"/>
      <c r="E262" s="48"/>
      <c r="F262" s="48"/>
      <c r="G262" s="133"/>
      <c r="H262" s="11" t="str">
        <f t="shared" si="16"/>
        <v/>
      </c>
      <c r="I262" s="11"/>
      <c r="J262" s="11"/>
      <c r="K262" s="11"/>
      <c r="L262" s="63"/>
      <c r="M262" s="26"/>
      <c r="N262" s="11"/>
      <c r="O262" s="11"/>
      <c r="P262" s="99"/>
      <c r="Q262" s="26"/>
    </row>
    <row r="263" spans="1:17">
      <c r="A263" s="2" t="str">
        <f t="shared" ref="A263:A297" si="17">IF(B263="","",ROW()-2)</f>
        <v/>
      </c>
      <c r="B263" s="11"/>
      <c r="C263" s="2" t="str">
        <f t="shared" si="15"/>
        <v/>
      </c>
      <c r="D263" s="11"/>
      <c r="E263" s="48"/>
      <c r="F263" s="48"/>
      <c r="G263" s="133"/>
      <c r="H263" s="11" t="str">
        <f t="shared" si="16"/>
        <v/>
      </c>
      <c r="I263" s="11"/>
      <c r="J263" s="11"/>
      <c r="K263" s="11"/>
      <c r="L263" s="63"/>
      <c r="M263" s="26"/>
      <c r="N263" s="11"/>
      <c r="O263" s="11"/>
      <c r="P263" s="99"/>
      <c r="Q263" s="26"/>
    </row>
    <row r="264" spans="1:17">
      <c r="A264" s="2" t="str">
        <f t="shared" si="17"/>
        <v/>
      </c>
      <c r="B264" s="11"/>
      <c r="C264" s="2" t="str">
        <f t="shared" si="15"/>
        <v/>
      </c>
      <c r="D264" s="11"/>
      <c r="E264" s="48"/>
      <c r="F264" s="48"/>
      <c r="G264" s="133"/>
      <c r="H264" s="11" t="str">
        <f t="shared" si="16"/>
        <v/>
      </c>
      <c r="I264" s="11"/>
      <c r="J264" s="11"/>
      <c r="K264" s="11"/>
      <c r="L264" s="63"/>
      <c r="M264" s="26"/>
      <c r="N264" s="11"/>
      <c r="O264" s="11"/>
      <c r="P264" s="99"/>
      <c r="Q264" s="26"/>
    </row>
    <row r="265" spans="1:17">
      <c r="A265" s="2" t="str">
        <f t="shared" si="17"/>
        <v/>
      </c>
      <c r="B265" s="11"/>
      <c r="C265" s="2" t="str">
        <f t="shared" si="15"/>
        <v/>
      </c>
      <c r="D265" s="11"/>
      <c r="E265" s="48"/>
      <c r="F265" s="48"/>
      <c r="G265" s="133"/>
      <c r="H265" s="11" t="str">
        <f t="shared" si="16"/>
        <v/>
      </c>
      <c r="I265" s="11"/>
      <c r="J265" s="11"/>
      <c r="K265" s="11"/>
      <c r="L265" s="63"/>
      <c r="M265" s="26"/>
      <c r="N265" s="11"/>
      <c r="O265" s="11"/>
      <c r="P265" s="99"/>
      <c r="Q265" s="26"/>
    </row>
    <row r="266" spans="1:17">
      <c r="A266" s="2" t="str">
        <f t="shared" si="17"/>
        <v/>
      </c>
      <c r="B266" s="11"/>
      <c r="C266" s="2" t="str">
        <f t="shared" si="15"/>
        <v/>
      </c>
      <c r="D266" s="11"/>
      <c r="E266" s="48"/>
      <c r="F266" s="48"/>
      <c r="G266" s="133"/>
      <c r="H266" s="11" t="str">
        <f t="shared" si="16"/>
        <v/>
      </c>
      <c r="I266" s="11"/>
      <c r="J266" s="11"/>
      <c r="K266" s="11"/>
      <c r="L266" s="63"/>
      <c r="M266" s="26"/>
      <c r="N266" s="11"/>
      <c r="O266" s="11"/>
      <c r="P266" s="99"/>
      <c r="Q266" s="26"/>
    </row>
    <row r="267" spans="1:17">
      <c r="A267" s="2" t="str">
        <f t="shared" si="17"/>
        <v/>
      </c>
      <c r="B267" s="11"/>
      <c r="C267" s="2" t="str">
        <f t="shared" si="15"/>
        <v/>
      </c>
      <c r="D267" s="11"/>
      <c r="E267" s="48"/>
      <c r="F267" s="48"/>
      <c r="G267" s="133"/>
      <c r="H267" s="11" t="str">
        <f t="shared" si="16"/>
        <v/>
      </c>
      <c r="I267" s="11"/>
      <c r="J267" s="11"/>
      <c r="K267" s="11"/>
      <c r="L267" s="63"/>
      <c r="M267" s="26"/>
      <c r="N267" s="11"/>
      <c r="O267" s="11"/>
      <c r="P267" s="99"/>
      <c r="Q267" s="26"/>
    </row>
    <row r="268" spans="1:17">
      <c r="A268" s="2" t="str">
        <f t="shared" si="17"/>
        <v/>
      </c>
      <c r="B268" s="11"/>
      <c r="C268" s="2" t="str">
        <f t="shared" ref="C268:C322" si="18">IF(B268="","",_xlfn.CONCAT("MP0",A268))</f>
        <v/>
      </c>
      <c r="D268" s="11"/>
      <c r="E268" s="48"/>
      <c r="F268" s="48"/>
      <c r="G268" s="133"/>
      <c r="H268" s="11" t="str">
        <f t="shared" si="16"/>
        <v/>
      </c>
      <c r="I268" s="11"/>
      <c r="J268" s="11"/>
      <c r="K268" s="11"/>
      <c r="L268" s="63"/>
      <c r="M268" s="26"/>
      <c r="N268" s="11"/>
      <c r="O268" s="11"/>
      <c r="P268" s="99"/>
      <c r="Q268" s="26"/>
    </row>
    <row r="269" spans="1:17">
      <c r="A269" s="2" t="str">
        <f t="shared" si="17"/>
        <v/>
      </c>
      <c r="B269" s="11"/>
      <c r="C269" s="2" t="str">
        <f t="shared" si="18"/>
        <v/>
      </c>
      <c r="D269" s="11"/>
      <c r="E269" s="48"/>
      <c r="F269" s="48"/>
      <c r="G269" s="133"/>
      <c r="H269" s="11" t="str">
        <f t="shared" si="16"/>
        <v/>
      </c>
      <c r="I269" s="11"/>
      <c r="J269" s="11"/>
      <c r="K269" s="11"/>
      <c r="L269" s="63"/>
      <c r="M269" s="26"/>
      <c r="N269" s="11"/>
      <c r="O269" s="11"/>
      <c r="P269" s="99"/>
      <c r="Q269" s="26"/>
    </row>
    <row r="270" spans="1:17">
      <c r="A270" s="2" t="str">
        <f t="shared" si="17"/>
        <v/>
      </c>
      <c r="B270" s="11"/>
      <c r="C270" s="2" t="str">
        <f t="shared" si="18"/>
        <v/>
      </c>
      <c r="D270" s="11"/>
      <c r="E270" s="48"/>
      <c r="F270" s="48"/>
      <c r="G270" s="133"/>
      <c r="H270" s="11" t="str">
        <f t="shared" si="16"/>
        <v/>
      </c>
      <c r="I270" s="11"/>
      <c r="J270" s="11"/>
      <c r="K270" s="11"/>
      <c r="L270" s="63"/>
      <c r="M270" s="26"/>
      <c r="N270" s="11"/>
      <c r="O270" s="11"/>
      <c r="P270" s="99"/>
      <c r="Q270" s="26"/>
    </row>
    <row r="271" spans="1:17">
      <c r="A271" s="2" t="str">
        <f t="shared" si="17"/>
        <v/>
      </c>
      <c r="B271" s="11"/>
      <c r="C271" s="2" t="str">
        <f t="shared" si="18"/>
        <v/>
      </c>
      <c r="D271" s="11"/>
      <c r="E271" s="48"/>
      <c r="F271" s="48"/>
      <c r="G271" s="133"/>
      <c r="H271" s="11" t="str">
        <f t="shared" si="16"/>
        <v/>
      </c>
      <c r="I271" s="11"/>
      <c r="J271" s="11"/>
      <c r="K271" s="11"/>
      <c r="L271" s="63"/>
      <c r="M271" s="26"/>
      <c r="N271" s="11"/>
      <c r="O271" s="11"/>
      <c r="P271" s="99"/>
      <c r="Q271" s="26"/>
    </row>
    <row r="272" spans="1:17">
      <c r="A272" s="2" t="str">
        <f t="shared" si="17"/>
        <v/>
      </c>
      <c r="B272" s="11"/>
      <c r="C272" s="2" t="str">
        <f t="shared" si="18"/>
        <v/>
      </c>
      <c r="D272" s="11"/>
      <c r="E272" s="48"/>
      <c r="F272" s="48"/>
      <c r="G272" s="133"/>
      <c r="H272" s="11" t="str">
        <f t="shared" si="16"/>
        <v/>
      </c>
      <c r="I272" s="11"/>
      <c r="J272" s="11"/>
      <c r="K272" s="11"/>
      <c r="L272" s="63"/>
      <c r="M272" s="26"/>
      <c r="N272" s="11"/>
      <c r="O272" s="11"/>
      <c r="P272" s="99"/>
      <c r="Q272" s="26"/>
    </row>
    <row r="273" spans="1:17">
      <c r="A273" s="2" t="str">
        <f t="shared" si="17"/>
        <v/>
      </c>
      <c r="B273" s="11"/>
      <c r="C273" s="2" t="str">
        <f t="shared" si="18"/>
        <v/>
      </c>
      <c r="D273" s="11"/>
      <c r="E273" s="48"/>
      <c r="F273" s="48"/>
      <c r="G273" s="133"/>
      <c r="H273" s="11" t="str">
        <f t="shared" si="16"/>
        <v/>
      </c>
      <c r="I273" s="11"/>
      <c r="J273" s="11"/>
      <c r="K273" s="11"/>
      <c r="L273" s="63"/>
      <c r="M273" s="26"/>
      <c r="N273" s="11"/>
      <c r="O273" s="11"/>
      <c r="P273" s="99"/>
      <c r="Q273" s="26"/>
    </row>
    <row r="274" spans="1:17">
      <c r="A274" s="2" t="str">
        <f t="shared" si="17"/>
        <v/>
      </c>
      <c r="B274" s="11"/>
      <c r="C274" s="2" t="str">
        <f t="shared" si="18"/>
        <v/>
      </c>
      <c r="D274" s="11"/>
      <c r="E274" s="48"/>
      <c r="F274" s="48"/>
      <c r="G274" s="133"/>
      <c r="H274" s="11" t="str">
        <f t="shared" si="16"/>
        <v/>
      </c>
      <c r="I274" s="11"/>
      <c r="J274" s="11"/>
      <c r="K274" s="11"/>
      <c r="L274" s="63"/>
      <c r="M274" s="26"/>
      <c r="N274" s="11"/>
      <c r="O274" s="11"/>
      <c r="P274" s="99"/>
      <c r="Q274" s="26"/>
    </row>
    <row r="275" spans="1:17">
      <c r="A275" s="2" t="str">
        <f t="shared" si="17"/>
        <v/>
      </c>
      <c r="B275" s="11"/>
      <c r="C275" s="2" t="str">
        <f t="shared" si="18"/>
        <v/>
      </c>
      <c r="D275" s="11"/>
      <c r="E275" s="48"/>
      <c r="F275" s="48"/>
      <c r="G275" s="133"/>
      <c r="H275" s="11" t="str">
        <f t="shared" si="16"/>
        <v/>
      </c>
      <c r="I275" s="11"/>
      <c r="J275" s="11"/>
      <c r="K275" s="11"/>
      <c r="L275" s="63"/>
      <c r="M275" s="26"/>
      <c r="N275" s="11"/>
      <c r="O275" s="11"/>
      <c r="P275" s="99"/>
      <c r="Q275" s="26"/>
    </row>
    <row r="276" spans="1:17">
      <c r="A276" s="2" t="str">
        <f t="shared" si="17"/>
        <v/>
      </c>
      <c r="B276" s="11"/>
      <c r="C276" s="2" t="str">
        <f t="shared" si="18"/>
        <v/>
      </c>
      <c r="D276" s="11"/>
      <c r="E276" s="48"/>
      <c r="F276" s="48"/>
      <c r="G276" s="133"/>
      <c r="H276" s="11" t="str">
        <f t="shared" si="16"/>
        <v/>
      </c>
      <c r="I276" s="11"/>
      <c r="J276" s="11"/>
      <c r="K276" s="11"/>
      <c r="L276" s="63"/>
      <c r="M276" s="26"/>
      <c r="N276" s="11"/>
      <c r="O276" s="11"/>
      <c r="P276" s="99"/>
      <c r="Q276" s="26"/>
    </row>
    <row r="277" spans="1:17">
      <c r="A277" s="2" t="str">
        <f t="shared" si="17"/>
        <v/>
      </c>
      <c r="B277" s="11"/>
      <c r="C277" s="2" t="str">
        <f t="shared" si="18"/>
        <v/>
      </c>
      <c r="D277" s="11"/>
      <c r="E277" s="48"/>
      <c r="F277" s="48"/>
      <c r="G277" s="133"/>
      <c r="H277" s="11" t="str">
        <f t="shared" si="16"/>
        <v/>
      </c>
      <c r="I277" s="11"/>
      <c r="J277" s="11"/>
      <c r="K277" s="11"/>
      <c r="L277" s="63"/>
      <c r="M277" s="26"/>
      <c r="N277" s="11"/>
      <c r="O277" s="11"/>
      <c r="P277" s="99"/>
      <c r="Q277" s="26"/>
    </row>
    <row r="278" spans="1:17">
      <c r="A278" s="2" t="str">
        <f t="shared" si="17"/>
        <v/>
      </c>
      <c r="B278" s="11"/>
      <c r="C278" s="2" t="str">
        <f t="shared" si="18"/>
        <v/>
      </c>
      <c r="D278" s="11"/>
      <c r="E278" s="48"/>
      <c r="F278" s="48"/>
      <c r="G278" s="133"/>
      <c r="H278" s="11" t="str">
        <f t="shared" si="16"/>
        <v/>
      </c>
      <c r="I278" s="11"/>
      <c r="J278" s="11"/>
      <c r="K278" s="11"/>
      <c r="L278" s="63"/>
      <c r="M278" s="26"/>
      <c r="N278" s="11"/>
      <c r="O278" s="11"/>
      <c r="P278" s="99"/>
      <c r="Q278" s="26"/>
    </row>
    <row r="279" spans="1:17">
      <c r="A279" s="2" t="str">
        <f t="shared" si="17"/>
        <v/>
      </c>
      <c r="B279" s="11"/>
      <c r="C279" s="2" t="str">
        <f t="shared" si="18"/>
        <v/>
      </c>
      <c r="D279" s="11"/>
      <c r="E279" s="48"/>
      <c r="F279" s="48"/>
      <c r="G279" s="133"/>
      <c r="H279" s="11" t="str">
        <f t="shared" si="16"/>
        <v/>
      </c>
      <c r="I279" s="11"/>
      <c r="J279" s="11"/>
      <c r="K279" s="11"/>
      <c r="L279" s="63"/>
      <c r="M279" s="26"/>
      <c r="N279" s="11"/>
      <c r="O279" s="11"/>
      <c r="P279" s="99"/>
      <c r="Q279" s="26"/>
    </row>
    <row r="280" spans="1:17">
      <c r="A280" s="2" t="str">
        <f t="shared" si="17"/>
        <v/>
      </c>
      <c r="B280" s="11"/>
      <c r="C280" s="2" t="str">
        <f t="shared" si="18"/>
        <v/>
      </c>
      <c r="D280" s="11"/>
      <c r="E280" s="48"/>
      <c r="F280" s="48"/>
      <c r="G280" s="133"/>
      <c r="H280" s="11" t="str">
        <f t="shared" si="16"/>
        <v/>
      </c>
      <c r="I280" s="11"/>
      <c r="J280" s="11"/>
      <c r="K280" s="11"/>
      <c r="L280" s="63"/>
      <c r="M280" s="26"/>
      <c r="N280" s="11"/>
      <c r="O280" s="11"/>
      <c r="P280" s="99"/>
      <c r="Q280" s="26"/>
    </row>
    <row r="281" spans="1:17">
      <c r="A281" s="2" t="str">
        <f t="shared" si="17"/>
        <v/>
      </c>
      <c r="B281" s="11"/>
      <c r="C281" s="2" t="str">
        <f t="shared" si="18"/>
        <v/>
      </c>
      <c r="D281" s="11"/>
      <c r="E281" s="48"/>
      <c r="F281" s="48"/>
      <c r="G281" s="133"/>
      <c r="H281" s="11" t="str">
        <f t="shared" si="16"/>
        <v/>
      </c>
      <c r="I281" s="11"/>
      <c r="J281" s="11"/>
      <c r="K281" s="11"/>
      <c r="L281" s="63"/>
      <c r="M281" s="26"/>
      <c r="N281" s="11"/>
      <c r="O281" s="11"/>
      <c r="P281" s="99"/>
      <c r="Q281" s="26"/>
    </row>
    <row r="282" spans="1:17">
      <c r="A282" s="2" t="str">
        <f t="shared" si="17"/>
        <v/>
      </c>
      <c r="B282" s="11"/>
      <c r="C282" s="2" t="str">
        <f t="shared" si="18"/>
        <v/>
      </c>
      <c r="D282" s="11"/>
      <c r="E282" s="48"/>
      <c r="F282" s="48"/>
      <c r="G282" s="133"/>
      <c r="H282" s="11" t="str">
        <f t="shared" si="16"/>
        <v/>
      </c>
      <c r="I282" s="11"/>
      <c r="J282" s="11"/>
      <c r="K282" s="11"/>
      <c r="L282" s="63"/>
      <c r="M282" s="26"/>
      <c r="N282" s="11"/>
      <c r="O282" s="11"/>
      <c r="P282" s="99"/>
      <c r="Q282" s="26"/>
    </row>
    <row r="283" spans="1:17">
      <c r="A283" s="2" t="str">
        <f t="shared" si="17"/>
        <v/>
      </c>
      <c r="B283" s="11"/>
      <c r="C283" s="2" t="str">
        <f t="shared" si="18"/>
        <v/>
      </c>
      <c r="D283" s="11"/>
      <c r="E283" s="48"/>
      <c r="F283" s="48"/>
      <c r="G283" s="133"/>
      <c r="H283" s="11" t="str">
        <f t="shared" si="16"/>
        <v/>
      </c>
      <c r="I283" s="11"/>
      <c r="J283" s="11"/>
      <c r="K283" s="11"/>
      <c r="L283" s="63"/>
      <c r="M283" s="26"/>
      <c r="N283" s="11"/>
      <c r="O283" s="11"/>
      <c r="P283" s="99"/>
      <c r="Q283" s="26"/>
    </row>
    <row r="284" spans="1:17">
      <c r="A284" s="2" t="str">
        <f t="shared" si="17"/>
        <v/>
      </c>
      <c r="B284" s="11"/>
      <c r="C284" s="2" t="str">
        <f t="shared" si="18"/>
        <v/>
      </c>
      <c r="D284" s="11"/>
      <c r="E284" s="48"/>
      <c r="F284" s="48"/>
      <c r="G284" s="133"/>
      <c r="H284" s="11" t="str">
        <f t="shared" si="16"/>
        <v/>
      </c>
      <c r="I284" s="11"/>
      <c r="J284" s="11"/>
      <c r="K284" s="11"/>
      <c r="L284" s="63"/>
      <c r="M284" s="26"/>
      <c r="N284" s="11"/>
      <c r="O284" s="11"/>
      <c r="P284" s="99"/>
      <c r="Q284" s="26"/>
    </row>
    <row r="285" spans="1:17">
      <c r="A285" s="2" t="str">
        <f t="shared" si="17"/>
        <v/>
      </c>
      <c r="B285" s="11"/>
      <c r="C285" s="2" t="str">
        <f t="shared" si="18"/>
        <v/>
      </c>
      <c r="D285" s="11"/>
      <c r="E285" s="48"/>
      <c r="F285" s="48"/>
      <c r="G285" s="133"/>
      <c r="H285" s="11" t="str">
        <f t="shared" si="16"/>
        <v/>
      </c>
      <c r="I285" s="11"/>
      <c r="J285" s="11"/>
      <c r="K285" s="11"/>
      <c r="L285" s="63"/>
      <c r="M285" s="26"/>
      <c r="N285" s="11"/>
      <c r="O285" s="11"/>
      <c r="P285" s="99"/>
      <c r="Q285" s="26"/>
    </row>
    <row r="286" spans="1:17">
      <c r="A286" s="2" t="str">
        <f t="shared" si="17"/>
        <v/>
      </c>
      <c r="B286" s="11"/>
      <c r="C286" s="2" t="str">
        <f t="shared" si="18"/>
        <v/>
      </c>
      <c r="D286" s="11"/>
      <c r="E286" s="48"/>
      <c r="F286" s="48"/>
      <c r="G286" s="133"/>
      <c r="H286" s="11" t="str">
        <f t="shared" si="16"/>
        <v/>
      </c>
      <c r="I286" s="11"/>
      <c r="J286" s="11"/>
      <c r="K286" s="11"/>
      <c r="L286" s="63"/>
      <c r="M286" s="26"/>
      <c r="N286" s="11"/>
      <c r="O286" s="11"/>
      <c r="P286" s="99"/>
      <c r="Q286" s="26"/>
    </row>
    <row r="287" spans="1:17">
      <c r="A287" s="2" t="str">
        <f t="shared" si="17"/>
        <v/>
      </c>
      <c r="B287" s="11"/>
      <c r="C287" s="2" t="str">
        <f t="shared" si="18"/>
        <v/>
      </c>
      <c r="D287" s="11"/>
      <c r="E287" s="48"/>
      <c r="F287" s="48"/>
      <c r="G287" s="133"/>
      <c r="H287" s="11" t="str">
        <f t="shared" si="16"/>
        <v/>
      </c>
      <c r="I287" s="11"/>
      <c r="J287" s="11"/>
      <c r="K287" s="11"/>
      <c r="L287" s="63"/>
      <c r="M287" s="26"/>
      <c r="N287" s="11"/>
      <c r="O287" s="11"/>
      <c r="P287" s="99"/>
      <c r="Q287" s="26"/>
    </row>
    <row r="288" spans="1:17">
      <c r="A288" s="2" t="str">
        <f t="shared" si="17"/>
        <v/>
      </c>
      <c r="B288" s="11"/>
      <c r="C288" s="2" t="str">
        <f t="shared" si="18"/>
        <v/>
      </c>
      <c r="D288" s="11"/>
      <c r="E288" s="48"/>
      <c r="F288" s="48"/>
      <c r="G288" s="133"/>
      <c r="H288" s="11" t="str">
        <f t="shared" si="16"/>
        <v/>
      </c>
      <c r="I288" s="11"/>
      <c r="J288" s="11"/>
      <c r="K288" s="11"/>
      <c r="L288" s="63"/>
      <c r="M288" s="26"/>
      <c r="N288" s="11"/>
      <c r="O288" s="11"/>
      <c r="P288" s="99"/>
      <c r="Q288" s="26"/>
    </row>
    <row r="289" spans="1:17">
      <c r="A289" s="2" t="str">
        <f t="shared" si="17"/>
        <v/>
      </c>
      <c r="B289" s="11"/>
      <c r="C289" s="2" t="str">
        <f t="shared" si="18"/>
        <v/>
      </c>
      <c r="D289" s="11"/>
      <c r="E289" s="48"/>
      <c r="F289" s="48"/>
      <c r="G289" s="133"/>
      <c r="H289" s="11" t="str">
        <f t="shared" si="16"/>
        <v/>
      </c>
      <c r="I289" s="11"/>
      <c r="J289" s="11"/>
      <c r="K289" s="11"/>
      <c r="L289" s="63"/>
      <c r="M289" s="26"/>
      <c r="N289" s="11"/>
      <c r="O289" s="11"/>
      <c r="P289" s="99"/>
      <c r="Q289" s="26"/>
    </row>
    <row r="290" spans="1:17">
      <c r="A290" s="2" t="str">
        <f t="shared" si="17"/>
        <v/>
      </c>
      <c r="B290" s="11"/>
      <c r="C290" s="2" t="str">
        <f t="shared" si="18"/>
        <v/>
      </c>
      <c r="D290" s="11"/>
      <c r="E290" s="48"/>
      <c r="F290" s="48"/>
      <c r="G290" s="133"/>
      <c r="H290" s="11" t="str">
        <f t="shared" si="16"/>
        <v/>
      </c>
      <c r="I290" s="11"/>
      <c r="J290" s="11"/>
      <c r="K290" s="11"/>
      <c r="L290" s="63"/>
      <c r="M290" s="26"/>
      <c r="N290" s="11"/>
      <c r="O290" s="11"/>
      <c r="P290" s="99"/>
      <c r="Q290" s="26"/>
    </row>
    <row r="291" spans="1:17">
      <c r="A291" s="2" t="str">
        <f t="shared" si="17"/>
        <v/>
      </c>
      <c r="B291" s="11"/>
      <c r="C291" s="2" t="str">
        <f t="shared" si="18"/>
        <v/>
      </c>
      <c r="D291" s="11"/>
      <c r="E291" s="48"/>
      <c r="F291" s="48"/>
      <c r="G291" s="133"/>
      <c r="H291" s="11" t="str">
        <f t="shared" si="16"/>
        <v/>
      </c>
      <c r="I291" s="11"/>
      <c r="J291" s="11"/>
      <c r="K291" s="11"/>
      <c r="L291" s="63"/>
      <c r="M291" s="26"/>
      <c r="N291" s="11"/>
      <c r="O291" s="11"/>
      <c r="P291" s="99"/>
      <c r="Q291" s="26"/>
    </row>
    <row r="292" spans="1:17">
      <c r="A292" s="2" t="str">
        <f t="shared" si="17"/>
        <v/>
      </c>
      <c r="B292" s="11"/>
      <c r="C292" s="2" t="str">
        <f t="shared" si="18"/>
        <v/>
      </c>
      <c r="D292" s="11"/>
      <c r="E292" s="48"/>
      <c r="F292" s="48"/>
      <c r="G292" s="133"/>
      <c r="H292" s="11" t="str">
        <f t="shared" si="16"/>
        <v/>
      </c>
      <c r="I292" s="11"/>
      <c r="J292" s="11"/>
      <c r="K292" s="11"/>
      <c r="L292" s="63"/>
      <c r="M292" s="26"/>
      <c r="N292" s="11"/>
      <c r="O292" s="11"/>
      <c r="P292" s="99"/>
      <c r="Q292" s="26"/>
    </row>
    <row r="293" spans="1:17">
      <c r="A293" s="2" t="str">
        <f t="shared" si="17"/>
        <v/>
      </c>
      <c r="B293" s="11"/>
      <c r="C293" s="2" t="str">
        <f t="shared" si="18"/>
        <v/>
      </c>
      <c r="D293" s="11"/>
      <c r="E293" s="48"/>
      <c r="F293" s="48"/>
      <c r="G293" s="133"/>
      <c r="H293" s="11" t="str">
        <f t="shared" si="16"/>
        <v/>
      </c>
      <c r="I293" s="11"/>
      <c r="J293" s="11"/>
      <c r="K293" s="11"/>
      <c r="L293" s="63"/>
      <c r="M293" s="26"/>
      <c r="N293" s="11"/>
      <c r="O293" s="11"/>
      <c r="P293" s="99"/>
      <c r="Q293" s="26"/>
    </row>
    <row r="294" spans="1:17">
      <c r="A294" s="2" t="str">
        <f t="shared" si="17"/>
        <v/>
      </c>
      <c r="B294" s="11"/>
      <c r="C294" s="2" t="str">
        <f t="shared" si="18"/>
        <v/>
      </c>
      <c r="D294" s="11"/>
      <c r="E294" s="48"/>
      <c r="F294" s="48"/>
      <c r="G294" s="133"/>
      <c r="H294" s="11" t="str">
        <f t="shared" si="16"/>
        <v/>
      </c>
      <c r="I294" s="11"/>
      <c r="J294" s="11"/>
      <c r="K294" s="11"/>
      <c r="L294" s="63"/>
      <c r="M294" s="26"/>
      <c r="N294" s="11"/>
      <c r="O294" s="11"/>
      <c r="P294" s="99"/>
      <c r="Q294" s="26"/>
    </row>
    <row r="295" spans="1:17">
      <c r="A295" s="2" t="str">
        <f t="shared" si="17"/>
        <v/>
      </c>
      <c r="B295" s="11"/>
      <c r="C295" s="2" t="str">
        <f t="shared" si="18"/>
        <v/>
      </c>
      <c r="D295" s="11"/>
      <c r="E295" s="48"/>
      <c r="F295" s="48"/>
      <c r="G295" s="133"/>
      <c r="H295" s="11" t="str">
        <f t="shared" si="16"/>
        <v/>
      </c>
      <c r="I295" s="11"/>
      <c r="J295" s="11"/>
      <c r="K295" s="11"/>
      <c r="L295" s="63"/>
      <c r="M295" s="26"/>
      <c r="N295" s="11"/>
      <c r="O295" s="11"/>
      <c r="P295" s="99"/>
      <c r="Q295" s="26"/>
    </row>
    <row r="296" spans="1:17">
      <c r="A296" s="2" t="str">
        <f t="shared" si="17"/>
        <v/>
      </c>
      <c r="B296" s="11"/>
      <c r="C296" s="2" t="str">
        <f t="shared" si="18"/>
        <v/>
      </c>
      <c r="D296" s="11"/>
      <c r="E296" s="48"/>
      <c r="F296" s="48"/>
      <c r="G296" s="133"/>
      <c r="H296" s="11" t="str">
        <f t="shared" si="16"/>
        <v/>
      </c>
      <c r="I296" s="11"/>
      <c r="J296" s="11"/>
      <c r="K296" s="11"/>
      <c r="L296" s="63"/>
      <c r="M296" s="26"/>
      <c r="N296" s="11"/>
      <c r="O296" s="11"/>
      <c r="P296" s="99"/>
      <c r="Q296" s="26"/>
    </row>
    <row r="297" spans="1:17">
      <c r="A297" s="2" t="str">
        <f t="shared" si="17"/>
        <v/>
      </c>
      <c r="B297" s="11"/>
      <c r="C297" s="2" t="str">
        <f t="shared" si="18"/>
        <v/>
      </c>
      <c r="D297" s="11"/>
      <c r="E297" s="48"/>
      <c r="F297" s="48"/>
      <c r="G297" s="133"/>
      <c r="H297" s="11" t="str">
        <f t="shared" si="16"/>
        <v/>
      </c>
      <c r="I297" s="11"/>
      <c r="J297" s="11"/>
      <c r="K297" s="11"/>
      <c r="L297" s="63"/>
      <c r="M297" s="26"/>
      <c r="N297" s="11"/>
      <c r="O297" s="11"/>
      <c r="P297" s="99"/>
      <c r="Q297" s="26"/>
    </row>
    <row r="298" spans="1:17">
      <c r="C298" s="2" t="str">
        <f t="shared" si="18"/>
        <v/>
      </c>
      <c r="G298" s="142"/>
    </row>
    <row r="299" spans="1:17">
      <c r="C299" s="2" t="str">
        <f t="shared" si="18"/>
        <v/>
      </c>
    </row>
    <row r="300" spans="1:17">
      <c r="C300" s="2" t="str">
        <f t="shared" si="18"/>
        <v/>
      </c>
    </row>
    <row r="301" spans="1:17">
      <c r="C301" s="2" t="str">
        <f t="shared" si="18"/>
        <v/>
      </c>
    </row>
    <row r="302" spans="1:17">
      <c r="C302" s="2" t="str">
        <f t="shared" si="18"/>
        <v/>
      </c>
    </row>
    <row r="303" spans="1:17">
      <c r="C303" s="2" t="str">
        <f t="shared" si="18"/>
        <v/>
      </c>
    </row>
    <row r="304" spans="1:17">
      <c r="C304" s="2" t="str">
        <f t="shared" si="18"/>
        <v/>
      </c>
    </row>
    <row r="305" spans="3:3">
      <c r="C305" s="2" t="str">
        <f t="shared" si="18"/>
        <v/>
      </c>
    </row>
    <row r="306" spans="3:3">
      <c r="C306" s="2" t="str">
        <f t="shared" si="18"/>
        <v/>
      </c>
    </row>
    <row r="307" spans="3:3">
      <c r="C307" s="2" t="str">
        <f t="shared" si="18"/>
        <v/>
      </c>
    </row>
    <row r="308" spans="3:3">
      <c r="C308" s="2" t="str">
        <f t="shared" si="18"/>
        <v/>
      </c>
    </row>
    <row r="309" spans="3:3">
      <c r="C309" s="2" t="str">
        <f t="shared" si="18"/>
        <v/>
      </c>
    </row>
    <row r="310" spans="3:3">
      <c r="C310" s="2" t="str">
        <f t="shared" si="18"/>
        <v/>
      </c>
    </row>
    <row r="311" spans="3:3">
      <c r="C311" s="2" t="str">
        <f t="shared" si="18"/>
        <v/>
      </c>
    </row>
    <row r="312" spans="3:3">
      <c r="C312" s="2" t="str">
        <f t="shared" si="18"/>
        <v/>
      </c>
    </row>
    <row r="313" spans="3:3">
      <c r="C313" s="2" t="str">
        <f t="shared" si="18"/>
        <v/>
      </c>
    </row>
    <row r="314" spans="3:3">
      <c r="C314" s="2" t="str">
        <f t="shared" si="18"/>
        <v/>
      </c>
    </row>
    <row r="315" spans="3:3">
      <c r="C315" s="2" t="str">
        <f t="shared" si="18"/>
        <v/>
      </c>
    </row>
    <row r="316" spans="3:3">
      <c r="C316" s="2" t="str">
        <f t="shared" si="18"/>
        <v/>
      </c>
    </row>
    <row r="317" spans="3:3">
      <c r="C317" s="2" t="str">
        <f t="shared" si="18"/>
        <v/>
      </c>
    </row>
    <row r="318" spans="3:3">
      <c r="C318" s="2" t="str">
        <f t="shared" si="18"/>
        <v/>
      </c>
    </row>
    <row r="319" spans="3:3">
      <c r="C319" s="2" t="str">
        <f t="shared" si="18"/>
        <v/>
      </c>
    </row>
    <row r="320" spans="3:3">
      <c r="C320" s="2" t="str">
        <f t="shared" si="18"/>
        <v/>
      </c>
    </row>
    <row r="321" spans="3:3">
      <c r="C321" s="2" t="str">
        <f t="shared" si="18"/>
        <v/>
      </c>
    </row>
    <row r="322" spans="3:3">
      <c r="C322" s="2" t="str">
        <f t="shared" si="18"/>
        <v/>
      </c>
    </row>
  </sheetData>
  <phoneticPr fontId="2" type="noConversion"/>
  <pageMargins left="0.42" right="0.2" top="0.75" bottom="0.75" header="0.3" footer="0.3"/>
  <pageSetup scale="90" orientation="landscape"/>
  <extLst>
    <ext xmlns:x14="http://schemas.microsoft.com/office/spreadsheetml/2009/9/main" uri="{CCE6A557-97BC-4b89-ADB6-D9C93CAAB3DF}">
      <x14:dataValidations xmlns:xm="http://schemas.microsoft.com/office/excel/2006/main" count="4">
        <x14:dataValidation type="list" allowBlank="1" showInputMessage="1" showErrorMessage="1" xr:uid="{53D30B4E-BF45-4504-8D94-DF95405E824B}">
          <x14:formula1>
            <xm:f>List!$A$1:$A$10</xm:f>
          </x14:formula1>
          <xm:sqref>O3:O115 O117:O297</xm:sqref>
        </x14:dataValidation>
        <x14:dataValidation type="list" allowBlank="1" showInputMessage="1" showErrorMessage="1" xr:uid="{77714DB0-FA0D-427A-80C3-6A087B8517A2}">
          <x14:formula1>
            <xm:f>List!$D$2:$D$280</xm:f>
          </x14:formula1>
          <xm:sqref>K3:K115 K117:K297</xm:sqref>
        </x14:dataValidation>
        <x14:dataValidation type="list" allowBlank="1" showInputMessage="1" showErrorMessage="1" xr:uid="{8783F7E9-4A1A-4A77-8B24-873A1C65E218}">
          <x14:formula1>
            <xm:f>List!$D$2:$D$1048576</xm:f>
          </x14:formula1>
          <xm:sqref>K298:K1048576</xm:sqref>
        </x14:dataValidation>
        <x14:dataValidation type="list" allowBlank="1" showInputMessage="1" showErrorMessage="1" xr:uid="{49C16644-A478-4769-AC64-9BAFC1F2DFAE}">
          <x14:formula1>
            <xm:f>List!$A$1:$A$20</xm:f>
          </x14:formula1>
          <xm:sqref>O298:O1048576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48576"/>
  <sheetViews>
    <sheetView tabSelected="1" zoomScaleNormal="100" workbookViewId="0">
      <pane xSplit="4" ySplit="2" topLeftCell="E151" activePane="bottomRight" state="frozen"/>
      <selection pane="bottomRight" activeCell="A974" sqref="A974:XFD974"/>
      <selection pane="bottomLeft" activeCell="A3" sqref="A3"/>
      <selection pane="topRight" activeCell="E1" sqref="E1"/>
    </sheetView>
  </sheetViews>
  <sheetFormatPr defaultColWidth="9.140625" defaultRowHeight="15" zeroHeight="1"/>
  <cols>
    <col min="1" max="1" width="8.85546875" style="227" bestFit="1" customWidth="1"/>
    <col min="2" max="2" width="11.85546875" style="285" bestFit="1" customWidth="1"/>
    <col min="3" max="3" width="17.28515625" style="181" customWidth="1"/>
    <col min="4" max="4" width="46.85546875" style="181" customWidth="1"/>
    <col min="5" max="5" width="11" style="227" bestFit="1" customWidth="1"/>
    <col min="6" max="6" width="20" style="227" customWidth="1"/>
    <col min="7" max="7" width="7.85546875" style="227" bestFit="1" customWidth="1"/>
    <col min="8" max="8" width="12.140625" style="181" bestFit="1" customWidth="1"/>
    <col min="9" max="9" width="84.5703125" style="181" bestFit="1" customWidth="1"/>
    <col min="10" max="10" width="25.28515625" style="181" bestFit="1" customWidth="1"/>
    <col min="11" max="11" width="32.28515625" style="181" bestFit="1" customWidth="1"/>
    <col min="12" max="12" width="20" style="227" bestFit="1" customWidth="1"/>
    <col min="13" max="13" width="44.140625" style="181" customWidth="1"/>
    <col min="14" max="14" width="12.5703125" style="181" bestFit="1" customWidth="1"/>
    <col min="15" max="15" width="17.5703125" style="181" bestFit="1" customWidth="1"/>
    <col min="16" max="16" width="16.7109375" style="218" customWidth="1"/>
    <col min="17" max="17" width="16" style="181" bestFit="1" customWidth="1"/>
    <col min="18" max="18" width="13.7109375" style="181" bestFit="1" customWidth="1"/>
    <col min="19" max="16384" width="9.140625" style="181"/>
  </cols>
  <sheetData>
    <row r="1" spans="1:19">
      <c r="A1" s="287"/>
      <c r="B1" s="221"/>
      <c r="C1" s="178"/>
      <c r="D1" s="178"/>
      <c r="E1" s="221"/>
      <c r="F1" s="221"/>
      <c r="G1" s="234"/>
      <c r="H1" s="178">
        <f>SUBTOTAL(9,H3:H29776)/10^5</f>
        <v>4.47</v>
      </c>
      <c r="I1" s="178">
        <f>H1*1.05</f>
        <v>4.6935000000000002</v>
      </c>
      <c r="J1" s="178"/>
      <c r="K1" s="178"/>
      <c r="L1" s="236"/>
      <c r="M1" s="179"/>
      <c r="N1" s="178"/>
      <c r="O1" s="178"/>
      <c r="P1" s="180"/>
      <c r="Q1" s="188"/>
    </row>
    <row r="2" spans="1:19" ht="30">
      <c r="A2" s="288" t="s">
        <v>30</v>
      </c>
      <c r="B2" s="222" t="s">
        <v>31</v>
      </c>
      <c r="C2" s="182" t="s">
        <v>32</v>
      </c>
      <c r="D2" s="182" t="s">
        <v>33</v>
      </c>
      <c r="E2" s="222" t="s">
        <v>34</v>
      </c>
      <c r="F2" s="182" t="s">
        <v>35</v>
      </c>
      <c r="G2" s="272" t="s">
        <v>36</v>
      </c>
      <c r="H2" s="182" t="s">
        <v>37</v>
      </c>
      <c r="I2" s="182" t="s">
        <v>38</v>
      </c>
      <c r="J2" s="182" t="s">
        <v>39</v>
      </c>
      <c r="K2" s="182" t="s">
        <v>40</v>
      </c>
      <c r="L2" s="183" t="s">
        <v>41</v>
      </c>
      <c r="M2" s="183" t="s">
        <v>42</v>
      </c>
      <c r="N2" s="182" t="s">
        <v>43</v>
      </c>
      <c r="O2" s="182" t="s">
        <v>44</v>
      </c>
      <c r="P2" s="184" t="s">
        <v>45</v>
      </c>
      <c r="Q2" s="410" t="s">
        <v>46</v>
      </c>
      <c r="R2" s="181" t="s">
        <v>47</v>
      </c>
      <c r="S2" s="455" t="s">
        <v>784</v>
      </c>
    </row>
    <row r="3" spans="1:19" hidden="1">
      <c r="A3" s="229">
        <f t="shared" ref="A3:A66" si="0">IF(B3="","",ROW()-2)</f>
        <v>1</v>
      </c>
      <c r="B3" s="220" t="s">
        <v>48</v>
      </c>
      <c r="C3" s="186" t="s">
        <v>49</v>
      </c>
      <c r="D3" s="186" t="s">
        <v>50</v>
      </c>
      <c r="E3" s="229">
        <v>1000</v>
      </c>
      <c r="F3" s="229">
        <v>168</v>
      </c>
      <c r="G3" s="229">
        <v>24</v>
      </c>
      <c r="H3" s="186">
        <f t="shared" ref="H3:H66" si="1">IF(G3="","",E3*G3)</f>
        <v>24000</v>
      </c>
      <c r="I3" s="186" t="s">
        <v>51</v>
      </c>
      <c r="J3" s="186" t="s">
        <v>52</v>
      </c>
      <c r="K3" s="186" t="s">
        <v>27</v>
      </c>
      <c r="L3" s="238">
        <v>487</v>
      </c>
      <c r="M3" s="187" t="s">
        <v>53</v>
      </c>
      <c r="N3" s="186" t="s">
        <v>54</v>
      </c>
      <c r="O3" s="178" t="s">
        <v>55</v>
      </c>
      <c r="P3" s="180">
        <v>45769.760092592594</v>
      </c>
      <c r="Q3" s="188">
        <f ca="1">TODAY()-P3</f>
        <v>355.23990740740555</v>
      </c>
      <c r="S3" s="454"/>
    </row>
    <row r="4" spans="1:19" hidden="1">
      <c r="A4" s="230">
        <f t="shared" si="0"/>
        <v>2</v>
      </c>
      <c r="B4" s="219" t="s">
        <v>56</v>
      </c>
      <c r="C4" s="190" t="s">
        <v>57</v>
      </c>
      <c r="D4" s="190" t="s">
        <v>58</v>
      </c>
      <c r="E4" s="230">
        <v>500</v>
      </c>
      <c r="F4" s="230">
        <v>580</v>
      </c>
      <c r="G4" s="230">
        <v>38</v>
      </c>
      <c r="H4" s="190">
        <f t="shared" si="1"/>
        <v>19000</v>
      </c>
      <c r="I4" s="190" t="s">
        <v>59</v>
      </c>
      <c r="J4" s="190" t="s">
        <v>60</v>
      </c>
      <c r="K4" s="190" t="s">
        <v>22</v>
      </c>
      <c r="L4" s="239">
        <v>491</v>
      </c>
      <c r="M4" s="191" t="s">
        <v>61</v>
      </c>
      <c r="N4" s="190" t="s">
        <v>54</v>
      </c>
      <c r="O4" s="178" t="s">
        <v>55</v>
      </c>
      <c r="P4" s="180" t="s">
        <v>62</v>
      </c>
      <c r="Q4" s="188">
        <f t="shared" ref="Q4:Q67" ca="1" si="2">TODAY()-P4</f>
        <v>362.3034722222219</v>
      </c>
    </row>
    <row r="5" spans="1:19" hidden="1">
      <c r="A5" s="230">
        <f t="shared" si="0"/>
        <v>3</v>
      </c>
      <c r="B5" s="219" t="s">
        <v>63</v>
      </c>
      <c r="C5" s="190" t="s">
        <v>64</v>
      </c>
      <c r="D5" s="190" t="s">
        <v>65</v>
      </c>
      <c r="E5" s="230">
        <v>500</v>
      </c>
      <c r="F5" s="230">
        <v>1250</v>
      </c>
      <c r="G5" s="230">
        <v>80</v>
      </c>
      <c r="H5" s="190">
        <f t="shared" si="1"/>
        <v>40000</v>
      </c>
      <c r="I5" s="190" t="s">
        <v>66</v>
      </c>
      <c r="J5" s="190" t="s">
        <v>60</v>
      </c>
      <c r="K5" s="190" t="s">
        <v>15</v>
      </c>
      <c r="L5" s="239">
        <v>522</v>
      </c>
      <c r="M5" s="191" t="s">
        <v>67</v>
      </c>
      <c r="N5" s="190" t="s">
        <v>54</v>
      </c>
      <c r="O5" s="178" t="s">
        <v>55</v>
      </c>
      <c r="P5" s="180" t="s">
        <v>68</v>
      </c>
      <c r="Q5" s="188">
        <f t="shared" ca="1" si="2"/>
        <v>392</v>
      </c>
    </row>
    <row r="6" spans="1:19" hidden="1">
      <c r="A6" s="229">
        <f t="shared" si="0"/>
        <v>4</v>
      </c>
      <c r="B6" s="220" t="s">
        <v>63</v>
      </c>
      <c r="C6" s="186" t="s">
        <v>69</v>
      </c>
      <c r="D6" s="186" t="s">
        <v>70</v>
      </c>
      <c r="E6" s="229">
        <v>500</v>
      </c>
      <c r="F6" s="229">
        <v>1020</v>
      </c>
      <c r="G6" s="229">
        <v>72</v>
      </c>
      <c r="H6" s="186">
        <f t="shared" si="1"/>
        <v>36000</v>
      </c>
      <c r="I6" s="186" t="s">
        <v>66</v>
      </c>
      <c r="J6" s="186" t="s">
        <v>60</v>
      </c>
      <c r="K6" s="186" t="s">
        <v>22</v>
      </c>
      <c r="L6" s="238">
        <v>496</v>
      </c>
      <c r="M6" s="187" t="s">
        <v>71</v>
      </c>
      <c r="N6" s="186" t="s">
        <v>54</v>
      </c>
      <c r="O6" s="178" t="s">
        <v>55</v>
      </c>
      <c r="P6" s="180">
        <v>45771.512754629628</v>
      </c>
      <c r="Q6" s="188">
        <f t="shared" ca="1" si="2"/>
        <v>353.48724537037197</v>
      </c>
    </row>
    <row r="7" spans="1:19" hidden="1">
      <c r="A7" s="230">
        <f t="shared" si="0"/>
        <v>5</v>
      </c>
      <c r="B7" s="219" t="s">
        <v>63</v>
      </c>
      <c r="C7" s="190" t="s">
        <v>72</v>
      </c>
      <c r="D7" s="190" t="s">
        <v>73</v>
      </c>
      <c r="E7" s="230">
        <v>300</v>
      </c>
      <c r="F7" s="230">
        <v>1200</v>
      </c>
      <c r="G7" s="230">
        <v>50</v>
      </c>
      <c r="H7" s="190">
        <f t="shared" si="1"/>
        <v>15000</v>
      </c>
      <c r="I7" s="190" t="s">
        <v>74</v>
      </c>
      <c r="J7" s="190" t="s">
        <v>60</v>
      </c>
      <c r="K7" s="190" t="s">
        <v>4</v>
      </c>
      <c r="L7" s="239">
        <v>305</v>
      </c>
      <c r="M7" s="191" t="s">
        <v>75</v>
      </c>
      <c r="N7" s="190" t="s">
        <v>76</v>
      </c>
      <c r="O7" s="178" t="s">
        <v>55</v>
      </c>
      <c r="P7" s="180">
        <v>45721</v>
      </c>
      <c r="Q7" s="188">
        <f t="shared" ca="1" si="2"/>
        <v>404</v>
      </c>
    </row>
    <row r="8" spans="1:19" hidden="1">
      <c r="A8" s="230">
        <f t="shared" si="0"/>
        <v>6</v>
      </c>
      <c r="B8" s="219" t="s">
        <v>63</v>
      </c>
      <c r="C8" s="190" t="s">
        <v>77</v>
      </c>
      <c r="D8" s="190" t="s">
        <v>78</v>
      </c>
      <c r="E8" s="230">
        <v>300</v>
      </c>
      <c r="F8" s="230">
        <v>1800</v>
      </c>
      <c r="G8" s="230">
        <v>60</v>
      </c>
      <c r="H8" s="190">
        <f t="shared" si="1"/>
        <v>18000</v>
      </c>
      <c r="I8" s="190" t="s">
        <v>74</v>
      </c>
      <c r="J8" s="190" t="s">
        <v>60</v>
      </c>
      <c r="K8" s="190" t="s">
        <v>4</v>
      </c>
      <c r="L8" s="239">
        <v>309</v>
      </c>
      <c r="M8" s="191" t="s">
        <v>79</v>
      </c>
      <c r="N8" s="190" t="s">
        <v>76</v>
      </c>
      <c r="O8" s="178" t="s">
        <v>55</v>
      </c>
      <c r="P8" s="180" t="s">
        <v>80</v>
      </c>
      <c r="Q8" s="188">
        <f t="shared" ca="1" si="2"/>
        <v>413</v>
      </c>
    </row>
    <row r="9" spans="1:19" hidden="1">
      <c r="A9" s="230">
        <f t="shared" si="0"/>
        <v>7</v>
      </c>
      <c r="B9" s="219" t="s">
        <v>63</v>
      </c>
      <c r="C9" s="190" t="s">
        <v>81</v>
      </c>
      <c r="D9" s="190" t="s">
        <v>82</v>
      </c>
      <c r="E9" s="230">
        <v>300</v>
      </c>
      <c r="F9" s="230">
        <v>2250</v>
      </c>
      <c r="G9" s="230">
        <v>88</v>
      </c>
      <c r="H9" s="190">
        <f t="shared" si="1"/>
        <v>26400</v>
      </c>
      <c r="I9" s="190" t="s">
        <v>74</v>
      </c>
      <c r="J9" s="190" t="s">
        <v>60</v>
      </c>
      <c r="K9" s="190" t="s">
        <v>4</v>
      </c>
      <c r="L9" s="239">
        <v>271</v>
      </c>
      <c r="M9" s="191" t="s">
        <v>83</v>
      </c>
      <c r="N9" s="190" t="s">
        <v>76</v>
      </c>
      <c r="O9" s="178" t="s">
        <v>55</v>
      </c>
      <c r="P9" s="180">
        <v>45750</v>
      </c>
      <c r="Q9" s="188">
        <f t="shared" ca="1" si="2"/>
        <v>375</v>
      </c>
    </row>
    <row r="10" spans="1:19" hidden="1">
      <c r="A10" s="230">
        <f t="shared" si="0"/>
        <v>8</v>
      </c>
      <c r="B10" s="219" t="s">
        <v>63</v>
      </c>
      <c r="C10" s="190" t="s">
        <v>84</v>
      </c>
      <c r="D10" s="190" t="s">
        <v>85</v>
      </c>
      <c r="E10" s="230">
        <v>300</v>
      </c>
      <c r="F10" s="230">
        <v>1790</v>
      </c>
      <c r="G10" s="230">
        <v>135</v>
      </c>
      <c r="H10" s="190">
        <f t="shared" si="1"/>
        <v>40500</v>
      </c>
      <c r="I10" s="190" t="s">
        <v>86</v>
      </c>
      <c r="J10" s="190" t="s">
        <v>87</v>
      </c>
      <c r="K10" s="190" t="s">
        <v>4</v>
      </c>
      <c r="L10" s="239">
        <v>295</v>
      </c>
      <c r="M10" s="191" t="s">
        <v>88</v>
      </c>
      <c r="N10" s="190" t="s">
        <v>89</v>
      </c>
      <c r="O10" s="178" t="s">
        <v>55</v>
      </c>
      <c r="P10" s="180" t="s">
        <v>90</v>
      </c>
      <c r="Q10" s="188">
        <f t="shared" ca="1" si="2"/>
        <v>382</v>
      </c>
    </row>
    <row r="11" spans="1:19" hidden="1">
      <c r="A11" s="230">
        <f t="shared" si="0"/>
        <v>9</v>
      </c>
      <c r="B11" s="219">
        <v>45718</v>
      </c>
      <c r="C11" s="190" t="s">
        <v>91</v>
      </c>
      <c r="D11" s="190" t="s">
        <v>785</v>
      </c>
      <c r="E11" s="230">
        <v>500</v>
      </c>
      <c r="F11" s="230">
        <v>1100</v>
      </c>
      <c r="G11" s="230">
        <v>85</v>
      </c>
      <c r="H11" s="190">
        <f t="shared" si="1"/>
        <v>42500</v>
      </c>
      <c r="I11" s="190" t="s">
        <v>74</v>
      </c>
      <c r="J11" s="190" t="s">
        <v>60</v>
      </c>
      <c r="K11" s="190" t="s">
        <v>4</v>
      </c>
      <c r="L11" s="239">
        <v>501</v>
      </c>
      <c r="M11" s="191" t="s">
        <v>93</v>
      </c>
      <c r="N11" s="190" t="s">
        <v>89</v>
      </c>
      <c r="O11" s="178" t="s">
        <v>55</v>
      </c>
      <c r="P11" s="180" t="s">
        <v>94</v>
      </c>
      <c r="Q11" s="188">
        <f t="shared" ca="1" si="2"/>
        <v>388</v>
      </c>
    </row>
    <row r="12" spans="1:19" hidden="1">
      <c r="A12" s="230">
        <f t="shared" si="0"/>
        <v>10</v>
      </c>
      <c r="B12" s="219">
        <v>45718</v>
      </c>
      <c r="C12" s="190" t="s">
        <v>95</v>
      </c>
      <c r="D12" s="190" t="s">
        <v>96</v>
      </c>
      <c r="E12" s="230">
        <v>500</v>
      </c>
      <c r="F12" s="230">
        <v>1200</v>
      </c>
      <c r="G12" s="230">
        <v>90</v>
      </c>
      <c r="H12" s="190">
        <f t="shared" si="1"/>
        <v>45000</v>
      </c>
      <c r="I12" s="190" t="s">
        <v>74</v>
      </c>
      <c r="J12" s="190" t="s">
        <v>60</v>
      </c>
      <c r="K12" s="190" t="s">
        <v>4</v>
      </c>
      <c r="L12" s="239">
        <v>492</v>
      </c>
      <c r="M12" s="191" t="s">
        <v>93</v>
      </c>
      <c r="N12" s="190" t="s">
        <v>89</v>
      </c>
      <c r="O12" s="178" t="s">
        <v>55</v>
      </c>
      <c r="P12" s="180" t="s">
        <v>94</v>
      </c>
      <c r="Q12" s="188">
        <f t="shared" ca="1" si="2"/>
        <v>388</v>
      </c>
    </row>
    <row r="13" spans="1:19" hidden="1">
      <c r="A13" s="229">
        <f t="shared" si="0"/>
        <v>11</v>
      </c>
      <c r="B13" s="220">
        <v>45779</v>
      </c>
      <c r="C13" s="186" t="s">
        <v>97</v>
      </c>
      <c r="D13" s="186" t="s">
        <v>786</v>
      </c>
      <c r="E13" s="229">
        <v>2000</v>
      </c>
      <c r="F13" s="229">
        <v>85</v>
      </c>
      <c r="G13" s="229">
        <v>11</v>
      </c>
      <c r="H13" s="186">
        <f t="shared" si="1"/>
        <v>22000</v>
      </c>
      <c r="I13" s="186" t="s">
        <v>99</v>
      </c>
      <c r="J13" s="186" t="s">
        <v>100</v>
      </c>
      <c r="K13" s="186" t="s">
        <v>5</v>
      </c>
      <c r="L13" s="238">
        <v>2146</v>
      </c>
      <c r="M13" s="187" t="s">
        <v>101</v>
      </c>
      <c r="N13" s="186" t="s">
        <v>102</v>
      </c>
      <c r="O13" s="178" t="s">
        <v>55</v>
      </c>
      <c r="P13" s="180">
        <v>45769.526747685188</v>
      </c>
      <c r="Q13" s="188">
        <f t="shared" ca="1" si="2"/>
        <v>355.47325231481227</v>
      </c>
    </row>
    <row r="14" spans="1:19" hidden="1">
      <c r="A14" s="229">
        <f t="shared" si="0"/>
        <v>12</v>
      </c>
      <c r="B14" s="220">
        <v>45779</v>
      </c>
      <c r="C14" s="186" t="s">
        <v>103</v>
      </c>
      <c r="D14" s="186" t="s">
        <v>104</v>
      </c>
      <c r="E14" s="229">
        <v>500</v>
      </c>
      <c r="F14" s="229">
        <v>270</v>
      </c>
      <c r="G14" s="229">
        <v>44</v>
      </c>
      <c r="H14" s="186">
        <f t="shared" si="1"/>
        <v>22000</v>
      </c>
      <c r="I14" s="186" t="s">
        <v>105</v>
      </c>
      <c r="J14" s="186" t="s">
        <v>100</v>
      </c>
      <c r="K14" s="186" t="s">
        <v>5</v>
      </c>
      <c r="L14" s="238">
        <v>484</v>
      </c>
      <c r="M14" s="187" t="s">
        <v>106</v>
      </c>
      <c r="N14" s="186" t="s">
        <v>102</v>
      </c>
      <c r="O14" s="178" t="s">
        <v>55</v>
      </c>
      <c r="P14" s="180">
        <v>45783.607465277775</v>
      </c>
      <c r="Q14" s="188">
        <f t="shared" ca="1" si="2"/>
        <v>341.39253472222481</v>
      </c>
    </row>
    <row r="15" spans="1:19" hidden="1">
      <c r="A15" s="229">
        <f t="shared" si="0"/>
        <v>13</v>
      </c>
      <c r="B15" s="220">
        <v>45779</v>
      </c>
      <c r="C15" s="186" t="s">
        <v>107</v>
      </c>
      <c r="D15" s="186" t="s">
        <v>108</v>
      </c>
      <c r="E15" s="229">
        <v>500</v>
      </c>
      <c r="F15" s="229">
        <v>270</v>
      </c>
      <c r="G15" s="229">
        <v>42.5</v>
      </c>
      <c r="H15" s="186">
        <f t="shared" si="1"/>
        <v>21250</v>
      </c>
      <c r="I15" s="186" t="s">
        <v>109</v>
      </c>
      <c r="J15" s="186" t="s">
        <v>100</v>
      </c>
      <c r="K15" s="186" t="s">
        <v>5</v>
      </c>
      <c r="L15" s="238">
        <v>474</v>
      </c>
      <c r="M15" s="187" t="s">
        <v>106</v>
      </c>
      <c r="N15" s="186" t="s">
        <v>102</v>
      </c>
      <c r="O15" s="178" t="s">
        <v>55</v>
      </c>
      <c r="P15" s="180">
        <v>45783.60728009259</v>
      </c>
      <c r="Q15" s="188">
        <f t="shared" ca="1" si="2"/>
        <v>341.39271990740963</v>
      </c>
    </row>
    <row r="16" spans="1:19" hidden="1">
      <c r="A16" s="230">
        <f t="shared" si="0"/>
        <v>14</v>
      </c>
      <c r="B16" s="219">
        <v>45779</v>
      </c>
      <c r="C16" s="190" t="s">
        <v>110</v>
      </c>
      <c r="D16" s="190" t="s">
        <v>111</v>
      </c>
      <c r="E16" s="230">
        <v>300</v>
      </c>
      <c r="F16" s="230">
        <v>1090</v>
      </c>
      <c r="G16" s="230">
        <v>67</v>
      </c>
      <c r="H16" s="190">
        <f t="shared" si="1"/>
        <v>20100</v>
      </c>
      <c r="I16" s="190" t="s">
        <v>112</v>
      </c>
      <c r="J16" s="190" t="s">
        <v>113</v>
      </c>
      <c r="K16" s="190" t="s">
        <v>9</v>
      </c>
      <c r="L16" s="239">
        <v>302</v>
      </c>
      <c r="M16" s="191" t="s">
        <v>114</v>
      </c>
      <c r="N16" s="190" t="s">
        <v>54</v>
      </c>
      <c r="O16" s="178" t="s">
        <v>55</v>
      </c>
      <c r="P16" s="180" t="s">
        <v>115</v>
      </c>
      <c r="Q16" s="188">
        <f t="shared" ca="1" si="2"/>
        <v>383</v>
      </c>
    </row>
    <row r="17" spans="1:17" hidden="1">
      <c r="A17" s="230">
        <f t="shared" si="0"/>
        <v>15</v>
      </c>
      <c r="B17" s="219">
        <v>45810</v>
      </c>
      <c r="C17" s="190" t="s">
        <v>116</v>
      </c>
      <c r="D17" s="190" t="s">
        <v>787</v>
      </c>
      <c r="E17" s="230">
        <v>500</v>
      </c>
      <c r="F17" s="230">
        <v>1750</v>
      </c>
      <c r="G17" s="230">
        <v>65</v>
      </c>
      <c r="H17" s="190">
        <f t="shared" si="1"/>
        <v>32500</v>
      </c>
      <c r="I17" s="190" t="s">
        <v>118</v>
      </c>
      <c r="J17" s="190" t="s">
        <v>60</v>
      </c>
      <c r="K17" s="190" t="s">
        <v>15</v>
      </c>
      <c r="L17" s="239">
        <v>529</v>
      </c>
      <c r="M17" s="191" t="s">
        <v>55</v>
      </c>
      <c r="N17" s="190" t="s">
        <v>54</v>
      </c>
      <c r="O17" s="178" t="s">
        <v>55</v>
      </c>
      <c r="P17" s="180">
        <v>45720</v>
      </c>
      <c r="Q17" s="188">
        <f t="shared" ca="1" si="2"/>
        <v>405</v>
      </c>
    </row>
    <row r="18" spans="1:17" hidden="1">
      <c r="A18" s="230">
        <f t="shared" si="0"/>
        <v>16</v>
      </c>
      <c r="B18" s="219">
        <v>45810</v>
      </c>
      <c r="C18" s="190" t="s">
        <v>119</v>
      </c>
      <c r="D18" s="190" t="s">
        <v>120</v>
      </c>
      <c r="E18" s="230">
        <v>500</v>
      </c>
      <c r="F18" s="230">
        <v>1450</v>
      </c>
      <c r="G18" s="230">
        <v>52</v>
      </c>
      <c r="H18" s="190">
        <f t="shared" si="1"/>
        <v>26000</v>
      </c>
      <c r="I18" s="190" t="s">
        <v>118</v>
      </c>
      <c r="J18" s="190" t="s">
        <v>60</v>
      </c>
      <c r="K18" s="190" t="s">
        <v>22</v>
      </c>
      <c r="L18" s="239">
        <v>495</v>
      </c>
      <c r="M18" s="191" t="s">
        <v>55</v>
      </c>
      <c r="N18" s="190" t="s">
        <v>54</v>
      </c>
      <c r="O18" s="178" t="s">
        <v>55</v>
      </c>
      <c r="P18" s="180" t="s">
        <v>121</v>
      </c>
      <c r="Q18" s="188">
        <f t="shared" ca="1" si="2"/>
        <v>362.30277777777519</v>
      </c>
    </row>
    <row r="19" spans="1:17" hidden="1">
      <c r="A19" s="230">
        <f t="shared" si="0"/>
        <v>17</v>
      </c>
      <c r="B19" s="219" t="s">
        <v>122</v>
      </c>
      <c r="C19" s="190" t="s">
        <v>123</v>
      </c>
      <c r="D19" s="190" t="s">
        <v>124</v>
      </c>
      <c r="E19" s="230">
        <v>300</v>
      </c>
      <c r="F19" s="230">
        <v>2500</v>
      </c>
      <c r="G19" s="230">
        <v>150</v>
      </c>
      <c r="H19" s="190">
        <f t="shared" si="1"/>
        <v>45000</v>
      </c>
      <c r="I19" s="190" t="s">
        <v>125</v>
      </c>
      <c r="J19" s="190" t="s">
        <v>113</v>
      </c>
      <c r="K19" s="190" t="s">
        <v>9</v>
      </c>
      <c r="L19" s="239">
        <v>297</v>
      </c>
      <c r="M19" s="191" t="s">
        <v>126</v>
      </c>
      <c r="N19" s="190" t="s">
        <v>54</v>
      </c>
      <c r="O19" s="178" t="s">
        <v>55</v>
      </c>
      <c r="P19" s="180" t="s">
        <v>127</v>
      </c>
      <c r="Q19" s="188">
        <f t="shared" ca="1" si="2"/>
        <v>380</v>
      </c>
    </row>
    <row r="20" spans="1:17" hidden="1">
      <c r="A20" s="230">
        <f t="shared" si="0"/>
        <v>18</v>
      </c>
      <c r="B20" s="219" t="s">
        <v>122</v>
      </c>
      <c r="C20" s="190" t="s">
        <v>128</v>
      </c>
      <c r="D20" s="190" t="s">
        <v>129</v>
      </c>
      <c r="E20" s="230">
        <v>300</v>
      </c>
      <c r="F20" s="230">
        <v>1400</v>
      </c>
      <c r="G20" s="230">
        <v>70</v>
      </c>
      <c r="H20" s="190">
        <f t="shared" si="1"/>
        <v>21000</v>
      </c>
      <c r="I20" s="190" t="s">
        <v>59</v>
      </c>
      <c r="J20" s="190" t="s">
        <v>113</v>
      </c>
      <c r="K20" s="190" t="s">
        <v>9</v>
      </c>
      <c r="L20" s="239">
        <v>288</v>
      </c>
      <c r="M20" s="191" t="s">
        <v>114</v>
      </c>
      <c r="N20" s="190" t="s">
        <v>54</v>
      </c>
      <c r="O20" s="178" t="s">
        <v>55</v>
      </c>
      <c r="P20" s="180" t="s">
        <v>115</v>
      </c>
      <c r="Q20" s="188">
        <f t="shared" ca="1" si="2"/>
        <v>383</v>
      </c>
    </row>
    <row r="21" spans="1:17" s="245" customFormat="1" hidden="1">
      <c r="A21" s="247">
        <f t="shared" si="0"/>
        <v>19</v>
      </c>
      <c r="B21" s="244">
        <v>45694</v>
      </c>
      <c r="C21" s="246" t="s">
        <v>130</v>
      </c>
      <c r="D21" s="246" t="s">
        <v>131</v>
      </c>
      <c r="E21" s="247">
        <v>300</v>
      </c>
      <c r="F21" s="247">
        <v>390</v>
      </c>
      <c r="G21" s="247">
        <v>72</v>
      </c>
      <c r="H21" s="246">
        <f t="shared" si="1"/>
        <v>21600</v>
      </c>
      <c r="I21" s="246" t="s">
        <v>132</v>
      </c>
      <c r="J21" s="246" t="s">
        <v>60</v>
      </c>
      <c r="K21" s="246" t="s">
        <v>22</v>
      </c>
      <c r="L21" s="248">
        <v>298</v>
      </c>
      <c r="M21" s="249" t="s">
        <v>134</v>
      </c>
      <c r="N21" s="246" t="s">
        <v>54</v>
      </c>
      <c r="O21" s="246" t="s">
        <v>55</v>
      </c>
      <c r="P21" s="328">
        <v>45860</v>
      </c>
      <c r="Q21" s="327">
        <f t="shared" ca="1" si="2"/>
        <v>265</v>
      </c>
    </row>
    <row r="22" spans="1:17" hidden="1">
      <c r="A22" s="229">
        <f t="shared" si="0"/>
        <v>20</v>
      </c>
      <c r="B22" s="220">
        <v>45694</v>
      </c>
      <c r="C22" s="186" t="s">
        <v>136</v>
      </c>
      <c r="D22" s="186" t="s">
        <v>137</v>
      </c>
      <c r="E22" s="229">
        <v>300</v>
      </c>
      <c r="F22" s="229">
        <v>880</v>
      </c>
      <c r="G22" s="229">
        <v>68</v>
      </c>
      <c r="H22" s="186">
        <f t="shared" si="1"/>
        <v>20400</v>
      </c>
      <c r="I22" s="186" t="s">
        <v>66</v>
      </c>
      <c r="J22" s="186" t="s">
        <v>60</v>
      </c>
      <c r="K22" s="186" t="s">
        <v>22</v>
      </c>
      <c r="L22" s="238">
        <v>296</v>
      </c>
      <c r="M22" s="187" t="s">
        <v>71</v>
      </c>
      <c r="N22" s="186" t="s">
        <v>54</v>
      </c>
      <c r="O22" s="178" t="s">
        <v>55</v>
      </c>
      <c r="P22" s="180">
        <v>45771.51363425926</v>
      </c>
      <c r="Q22" s="188">
        <f t="shared" ca="1" si="2"/>
        <v>353.48636574074044</v>
      </c>
    </row>
    <row r="23" spans="1:17" hidden="1">
      <c r="A23" s="230">
        <f t="shared" si="0"/>
        <v>21</v>
      </c>
      <c r="B23" s="220">
        <v>45694</v>
      </c>
      <c r="C23" s="190" t="s">
        <v>138</v>
      </c>
      <c r="D23" s="190" t="s">
        <v>139</v>
      </c>
      <c r="E23" s="230">
        <v>300</v>
      </c>
      <c r="F23" s="230">
        <v>980</v>
      </c>
      <c r="G23" s="230">
        <v>65</v>
      </c>
      <c r="H23" s="190">
        <f t="shared" si="1"/>
        <v>19500</v>
      </c>
      <c r="I23" s="190" t="s">
        <v>59</v>
      </c>
      <c r="J23" s="190" t="s">
        <v>60</v>
      </c>
      <c r="K23" s="190" t="s">
        <v>22</v>
      </c>
      <c r="L23" s="239">
        <v>298</v>
      </c>
      <c r="M23" s="191" t="s">
        <v>61</v>
      </c>
      <c r="N23" s="190" t="s">
        <v>54</v>
      </c>
      <c r="O23" s="178" t="s">
        <v>55</v>
      </c>
      <c r="P23" s="180" t="s">
        <v>140</v>
      </c>
      <c r="Q23" s="188">
        <f t="shared" ca="1" si="2"/>
        <v>362.34027777778101</v>
      </c>
    </row>
    <row r="24" spans="1:17" hidden="1">
      <c r="A24" s="229">
        <f t="shared" si="0"/>
        <v>22</v>
      </c>
      <c r="B24" s="220">
        <v>45694</v>
      </c>
      <c r="C24" s="186" t="s">
        <v>141</v>
      </c>
      <c r="D24" s="186" t="s">
        <v>142</v>
      </c>
      <c r="E24" s="229">
        <v>3000</v>
      </c>
      <c r="F24" s="229">
        <v>110</v>
      </c>
      <c r="G24" s="265">
        <v>9.4</v>
      </c>
      <c r="H24" s="186">
        <f t="shared" si="1"/>
        <v>28200</v>
      </c>
      <c r="I24" s="186" t="s">
        <v>143</v>
      </c>
      <c r="J24" s="186" t="s">
        <v>144</v>
      </c>
      <c r="K24" s="186" t="s">
        <v>22</v>
      </c>
      <c r="L24" s="238">
        <v>1944</v>
      </c>
      <c r="M24" s="187" t="s">
        <v>145</v>
      </c>
      <c r="N24" s="186" t="s">
        <v>54</v>
      </c>
      <c r="O24" s="178" t="s">
        <v>55</v>
      </c>
      <c r="P24" s="180">
        <v>45771.514525462961</v>
      </c>
      <c r="Q24" s="188">
        <f t="shared" ca="1" si="2"/>
        <v>353.48547453703941</v>
      </c>
    </row>
    <row r="25" spans="1:17" hidden="1">
      <c r="A25" s="230">
        <f t="shared" si="0"/>
        <v>23</v>
      </c>
      <c r="B25" s="220">
        <v>45694</v>
      </c>
      <c r="C25" s="190" t="s">
        <v>146</v>
      </c>
      <c r="D25" s="190" t="s">
        <v>147</v>
      </c>
      <c r="E25" s="230">
        <v>300</v>
      </c>
      <c r="F25" s="230">
        <v>1750</v>
      </c>
      <c r="G25" s="230">
        <v>150</v>
      </c>
      <c r="H25" s="190">
        <f t="shared" si="1"/>
        <v>45000</v>
      </c>
      <c r="I25" s="190" t="s">
        <v>66</v>
      </c>
      <c r="J25" s="190" t="s">
        <v>87</v>
      </c>
      <c r="K25" s="190" t="s">
        <v>15</v>
      </c>
      <c r="L25" s="239">
        <v>323</v>
      </c>
      <c r="M25" s="191" t="s">
        <v>148</v>
      </c>
      <c r="N25" s="190" t="s">
        <v>76</v>
      </c>
      <c r="O25" s="178" t="s">
        <v>55</v>
      </c>
      <c r="P25" s="180">
        <v>45758</v>
      </c>
      <c r="Q25" s="188">
        <f t="shared" ca="1" si="2"/>
        <v>367</v>
      </c>
    </row>
    <row r="26" spans="1:17" hidden="1">
      <c r="A26" s="230">
        <f t="shared" si="0"/>
        <v>24</v>
      </c>
      <c r="B26" s="219" t="s">
        <v>149</v>
      </c>
      <c r="C26" s="190" t="s">
        <v>150</v>
      </c>
      <c r="D26" s="190" t="s">
        <v>151</v>
      </c>
      <c r="E26" s="230">
        <v>250</v>
      </c>
      <c r="F26" s="230">
        <v>2450</v>
      </c>
      <c r="G26" s="230">
        <v>240</v>
      </c>
      <c r="H26" s="190">
        <f t="shared" si="1"/>
        <v>60000</v>
      </c>
      <c r="I26" s="190" t="s">
        <v>152</v>
      </c>
      <c r="J26" s="190" t="s">
        <v>60</v>
      </c>
      <c r="K26" s="190" t="s">
        <v>4</v>
      </c>
      <c r="L26" s="239">
        <v>247</v>
      </c>
      <c r="M26" s="191" t="s">
        <v>153</v>
      </c>
      <c r="N26" s="190" t="s">
        <v>76</v>
      </c>
      <c r="O26" s="178" t="s">
        <v>55</v>
      </c>
      <c r="P26" s="180">
        <v>45758</v>
      </c>
      <c r="Q26" s="188">
        <f t="shared" ca="1" si="2"/>
        <v>367</v>
      </c>
    </row>
    <row r="27" spans="1:17" hidden="1">
      <c r="A27" s="229">
        <f t="shared" si="0"/>
        <v>25</v>
      </c>
      <c r="B27" s="220">
        <v>45722</v>
      </c>
      <c r="C27" s="186" t="s">
        <v>154</v>
      </c>
      <c r="D27" s="186" t="s">
        <v>155</v>
      </c>
      <c r="E27" s="229">
        <v>300</v>
      </c>
      <c r="F27" s="229">
        <v>2200</v>
      </c>
      <c r="G27" s="229">
        <v>125</v>
      </c>
      <c r="H27" s="186">
        <f t="shared" si="1"/>
        <v>37500</v>
      </c>
      <c r="I27" s="186" t="s">
        <v>66</v>
      </c>
      <c r="J27" s="186" t="s">
        <v>60</v>
      </c>
      <c r="K27" s="186" t="s">
        <v>26</v>
      </c>
      <c r="L27" s="238">
        <v>297</v>
      </c>
      <c r="M27" s="187" t="s">
        <v>156</v>
      </c>
      <c r="N27" s="186" t="s">
        <v>76</v>
      </c>
      <c r="O27" s="178" t="s">
        <v>55</v>
      </c>
      <c r="P27" s="180">
        <v>45790.451435185183</v>
      </c>
      <c r="Q27" s="188">
        <f t="shared" ca="1" si="2"/>
        <v>334.54856481481693</v>
      </c>
    </row>
    <row r="28" spans="1:17" hidden="1">
      <c r="A28" s="230">
        <f t="shared" si="0"/>
        <v>26</v>
      </c>
      <c r="B28" s="219">
        <v>45694</v>
      </c>
      <c r="C28" s="190" t="s">
        <v>157</v>
      </c>
      <c r="D28" s="190" t="s">
        <v>158</v>
      </c>
      <c r="E28" s="230">
        <v>300</v>
      </c>
      <c r="F28" s="230">
        <v>1400</v>
      </c>
      <c r="G28" s="230">
        <v>90</v>
      </c>
      <c r="H28" s="190">
        <f t="shared" si="1"/>
        <v>27000</v>
      </c>
      <c r="I28" s="190" t="s">
        <v>66</v>
      </c>
      <c r="J28" s="190" t="s">
        <v>87</v>
      </c>
      <c r="K28" s="190" t="s">
        <v>15</v>
      </c>
      <c r="L28" s="239">
        <v>334</v>
      </c>
      <c r="M28" s="191" t="s">
        <v>88</v>
      </c>
      <c r="N28" s="190" t="s">
        <v>76</v>
      </c>
      <c r="O28" s="178" t="s">
        <v>55</v>
      </c>
      <c r="P28" s="180" t="s">
        <v>90</v>
      </c>
      <c r="Q28" s="188">
        <f t="shared" ca="1" si="2"/>
        <v>382</v>
      </c>
    </row>
    <row r="29" spans="1:17" hidden="1">
      <c r="A29" s="229">
        <f t="shared" si="0"/>
        <v>27</v>
      </c>
      <c r="B29" s="220">
        <v>45695</v>
      </c>
      <c r="C29" s="186" t="s">
        <v>159</v>
      </c>
      <c r="D29" s="186" t="s">
        <v>160</v>
      </c>
      <c r="E29" s="229">
        <v>500</v>
      </c>
      <c r="F29" s="229">
        <v>1150</v>
      </c>
      <c r="G29" s="229">
        <v>70</v>
      </c>
      <c r="H29" s="186">
        <f t="shared" si="1"/>
        <v>35000</v>
      </c>
      <c r="I29" s="186" t="s">
        <v>66</v>
      </c>
      <c r="J29" s="186" t="s">
        <v>87</v>
      </c>
      <c r="K29" s="186" t="s">
        <v>24</v>
      </c>
      <c r="L29" s="238">
        <v>495</v>
      </c>
      <c r="M29" s="187" t="s">
        <v>161</v>
      </c>
      <c r="N29" s="186" t="s">
        <v>89</v>
      </c>
      <c r="O29" s="178" t="s">
        <v>55</v>
      </c>
      <c r="P29" s="180">
        <v>45772.548090277778</v>
      </c>
      <c r="Q29" s="188">
        <f t="shared" ca="1" si="2"/>
        <v>352.4519097222219</v>
      </c>
    </row>
    <row r="30" spans="1:17" hidden="1">
      <c r="A30" s="229">
        <f t="shared" si="0"/>
        <v>28</v>
      </c>
      <c r="B30" s="220">
        <v>45698</v>
      </c>
      <c r="C30" s="186" t="s">
        <v>162</v>
      </c>
      <c r="D30" s="186" t="s">
        <v>163</v>
      </c>
      <c r="E30" s="229">
        <v>300</v>
      </c>
      <c r="F30" s="229">
        <v>1450</v>
      </c>
      <c r="G30" s="229">
        <v>115</v>
      </c>
      <c r="H30" s="186">
        <f t="shared" si="1"/>
        <v>34500</v>
      </c>
      <c r="I30" s="186" t="s">
        <v>66</v>
      </c>
      <c r="J30" s="186" t="s">
        <v>60</v>
      </c>
      <c r="K30" s="186" t="s">
        <v>15</v>
      </c>
      <c r="L30" s="238">
        <v>333</v>
      </c>
      <c r="M30" s="187" t="s">
        <v>164</v>
      </c>
      <c r="N30" s="186" t="s">
        <v>165</v>
      </c>
      <c r="O30" s="178" t="s">
        <v>55</v>
      </c>
      <c r="P30" s="180">
        <v>45780.529791666668</v>
      </c>
      <c r="Q30" s="188">
        <f t="shared" ca="1" si="2"/>
        <v>344.47020833333227</v>
      </c>
    </row>
    <row r="31" spans="1:17" hidden="1">
      <c r="A31" s="229">
        <f t="shared" si="0"/>
        <v>29</v>
      </c>
      <c r="B31" s="220">
        <v>45698</v>
      </c>
      <c r="C31" s="186" t="s">
        <v>166</v>
      </c>
      <c r="D31" s="186" t="s">
        <v>167</v>
      </c>
      <c r="E31" s="229">
        <v>300</v>
      </c>
      <c r="F31" s="229">
        <v>1950</v>
      </c>
      <c r="G31" s="229">
        <v>210</v>
      </c>
      <c r="H31" s="186">
        <f t="shared" si="1"/>
        <v>63000</v>
      </c>
      <c r="I31" s="186" t="s">
        <v>66</v>
      </c>
      <c r="J31" s="186" t="s">
        <v>60</v>
      </c>
      <c r="K31" s="186" t="s">
        <v>26</v>
      </c>
      <c r="L31" s="238">
        <v>298</v>
      </c>
      <c r="M31" s="187" t="s">
        <v>788</v>
      </c>
      <c r="N31" s="186" t="s">
        <v>165</v>
      </c>
      <c r="O31" s="178" t="s">
        <v>55</v>
      </c>
      <c r="P31" s="180">
        <v>45807.578321759262</v>
      </c>
      <c r="Q31" s="188">
        <f t="shared" ca="1" si="2"/>
        <v>317.4216782407384</v>
      </c>
    </row>
    <row r="32" spans="1:17" hidden="1">
      <c r="A32" s="258">
        <f t="shared" si="0"/>
        <v>30</v>
      </c>
      <c r="B32" s="256">
        <v>45698</v>
      </c>
      <c r="C32" s="257" t="s">
        <v>169</v>
      </c>
      <c r="D32" s="257" t="s">
        <v>170</v>
      </c>
      <c r="E32" s="258">
        <v>300</v>
      </c>
      <c r="F32" s="258">
        <v>2190</v>
      </c>
      <c r="G32" s="258"/>
      <c r="H32" s="257">
        <v>0</v>
      </c>
      <c r="I32" s="257" t="s">
        <v>66</v>
      </c>
      <c r="J32" s="257" t="s">
        <v>60</v>
      </c>
      <c r="K32" s="257" t="s">
        <v>4</v>
      </c>
      <c r="L32" s="259" t="s">
        <v>133</v>
      </c>
      <c r="M32" s="260" t="s">
        <v>171</v>
      </c>
      <c r="N32" s="257" t="s">
        <v>165</v>
      </c>
      <c r="O32" s="178" t="s">
        <v>370</v>
      </c>
      <c r="P32" s="180">
        <v>45723</v>
      </c>
      <c r="Q32" s="188">
        <f t="shared" ca="1" si="2"/>
        <v>402</v>
      </c>
    </row>
    <row r="33" spans="1:17" hidden="1">
      <c r="A33" s="229">
        <f t="shared" si="0"/>
        <v>31</v>
      </c>
      <c r="B33" s="220">
        <v>45698</v>
      </c>
      <c r="C33" s="186" t="s">
        <v>173</v>
      </c>
      <c r="D33" s="186" t="s">
        <v>174</v>
      </c>
      <c r="E33" s="229">
        <v>300</v>
      </c>
      <c r="F33" s="229">
        <v>1780</v>
      </c>
      <c r="G33" s="229">
        <v>90</v>
      </c>
      <c r="H33" s="186">
        <f t="shared" si="1"/>
        <v>27000</v>
      </c>
      <c r="I33" s="186" t="s">
        <v>66</v>
      </c>
      <c r="J33" s="186" t="s">
        <v>60</v>
      </c>
      <c r="K33" s="186" t="s">
        <v>4</v>
      </c>
      <c r="L33" s="238">
        <v>305</v>
      </c>
      <c r="M33" s="187" t="s">
        <v>175</v>
      </c>
      <c r="N33" s="186" t="s">
        <v>165</v>
      </c>
      <c r="O33" s="178" t="s">
        <v>55</v>
      </c>
      <c r="P33" s="180">
        <v>45784.710706018515</v>
      </c>
      <c r="Q33" s="188">
        <f t="shared" ca="1" si="2"/>
        <v>340.28929398148466</v>
      </c>
    </row>
    <row r="34" spans="1:17" s="245" customFormat="1" hidden="1">
      <c r="A34" s="247">
        <f t="shared" si="0"/>
        <v>32</v>
      </c>
      <c r="B34" s="244">
        <v>45698</v>
      </c>
      <c r="C34" s="246" t="s">
        <v>176</v>
      </c>
      <c r="D34" s="246" t="s">
        <v>177</v>
      </c>
      <c r="E34" s="247">
        <v>300</v>
      </c>
      <c r="F34" s="247">
        <v>1950</v>
      </c>
      <c r="G34" s="247">
        <v>115</v>
      </c>
      <c r="H34" s="246">
        <f t="shared" si="1"/>
        <v>34500</v>
      </c>
      <c r="I34" s="246" t="s">
        <v>66</v>
      </c>
      <c r="J34" s="246" t="s">
        <v>60</v>
      </c>
      <c r="K34" s="246" t="s">
        <v>4</v>
      </c>
      <c r="L34" s="248" t="s">
        <v>133</v>
      </c>
      <c r="M34" s="249" t="s">
        <v>178</v>
      </c>
      <c r="N34" s="246" t="s">
        <v>165</v>
      </c>
      <c r="O34" s="246" t="s">
        <v>55</v>
      </c>
      <c r="P34" s="328">
        <v>45972</v>
      </c>
      <c r="Q34" s="327">
        <f t="shared" ca="1" si="2"/>
        <v>153</v>
      </c>
    </row>
    <row r="35" spans="1:17" hidden="1">
      <c r="A35" s="230">
        <f t="shared" si="0"/>
        <v>33</v>
      </c>
      <c r="B35" s="220">
        <v>45698</v>
      </c>
      <c r="C35" s="190" t="s">
        <v>179</v>
      </c>
      <c r="D35" s="190" t="s">
        <v>180</v>
      </c>
      <c r="E35" s="230">
        <v>300</v>
      </c>
      <c r="F35" s="230">
        <v>1470</v>
      </c>
      <c r="G35" s="230">
        <v>145</v>
      </c>
      <c r="H35" s="190">
        <f t="shared" si="1"/>
        <v>43500</v>
      </c>
      <c r="I35" s="190" t="s">
        <v>66</v>
      </c>
      <c r="J35" s="190" t="s">
        <v>60</v>
      </c>
      <c r="K35" s="190" t="s">
        <v>15</v>
      </c>
      <c r="L35" s="239">
        <v>346</v>
      </c>
      <c r="M35" s="191" t="s">
        <v>181</v>
      </c>
      <c r="N35" s="190" t="s">
        <v>165</v>
      </c>
      <c r="O35" s="178" t="s">
        <v>55</v>
      </c>
      <c r="P35" s="180" t="s">
        <v>182</v>
      </c>
      <c r="Q35" s="188">
        <f t="shared" ca="1" si="2"/>
        <v>358.22222222221899</v>
      </c>
    </row>
    <row r="36" spans="1:17" hidden="1">
      <c r="A36" s="229">
        <f t="shared" si="0"/>
        <v>34</v>
      </c>
      <c r="B36" s="220">
        <v>45698</v>
      </c>
      <c r="C36" s="186" t="s">
        <v>183</v>
      </c>
      <c r="D36" s="186" t="s">
        <v>184</v>
      </c>
      <c r="E36" s="229">
        <v>500</v>
      </c>
      <c r="F36" s="229">
        <v>480</v>
      </c>
      <c r="G36" s="229">
        <v>26</v>
      </c>
      <c r="H36" s="186">
        <f t="shared" si="1"/>
        <v>13000</v>
      </c>
      <c r="I36" s="186" t="s">
        <v>66</v>
      </c>
      <c r="J36" s="186" t="s">
        <v>60</v>
      </c>
      <c r="K36" s="186" t="s">
        <v>22</v>
      </c>
      <c r="L36" s="238">
        <v>512</v>
      </c>
      <c r="M36" s="187" t="s">
        <v>185</v>
      </c>
      <c r="N36" s="186" t="s">
        <v>186</v>
      </c>
      <c r="O36" s="178" t="s">
        <v>55</v>
      </c>
      <c r="P36" s="180">
        <v>45780.515717592592</v>
      </c>
      <c r="Q36" s="188">
        <f t="shared" ca="1" si="2"/>
        <v>344.48428240740759</v>
      </c>
    </row>
    <row r="37" spans="1:17" hidden="1">
      <c r="A37" s="229">
        <f t="shared" si="0"/>
        <v>35</v>
      </c>
      <c r="B37" s="220">
        <v>45698</v>
      </c>
      <c r="C37" s="186" t="s">
        <v>187</v>
      </c>
      <c r="D37" s="186" t="s">
        <v>188</v>
      </c>
      <c r="E37" s="229">
        <v>500</v>
      </c>
      <c r="F37" s="229">
        <v>970</v>
      </c>
      <c r="G37" s="229">
        <v>37</v>
      </c>
      <c r="H37" s="186">
        <f t="shared" si="1"/>
        <v>18500</v>
      </c>
      <c r="I37" s="186" t="s">
        <v>66</v>
      </c>
      <c r="J37" s="186" t="s">
        <v>60</v>
      </c>
      <c r="K37" s="186" t="s">
        <v>22</v>
      </c>
      <c r="L37" s="238">
        <v>500</v>
      </c>
      <c r="M37" s="187" t="s">
        <v>789</v>
      </c>
      <c r="N37" s="186" t="s">
        <v>186</v>
      </c>
      <c r="O37" s="178" t="s">
        <v>55</v>
      </c>
      <c r="P37" s="180">
        <v>45812.551747685182</v>
      </c>
      <c r="Q37" s="188">
        <f t="shared" ca="1" si="2"/>
        <v>312.44825231481809</v>
      </c>
    </row>
    <row r="38" spans="1:17" hidden="1">
      <c r="A38" s="229">
        <f t="shared" si="0"/>
        <v>36</v>
      </c>
      <c r="B38" s="220" t="s">
        <v>190</v>
      </c>
      <c r="C38" s="186" t="s">
        <v>191</v>
      </c>
      <c r="D38" s="277" t="s">
        <v>790</v>
      </c>
      <c r="E38" s="229">
        <v>300</v>
      </c>
      <c r="F38" s="229">
        <v>1950</v>
      </c>
      <c r="G38" s="229">
        <v>97</v>
      </c>
      <c r="H38" s="186">
        <f t="shared" si="1"/>
        <v>29100</v>
      </c>
      <c r="I38" s="186" t="s">
        <v>74</v>
      </c>
      <c r="J38" s="186" t="s">
        <v>60</v>
      </c>
      <c r="K38" s="186" t="s">
        <v>22</v>
      </c>
      <c r="L38" s="238">
        <v>301</v>
      </c>
      <c r="M38" s="187" t="s">
        <v>193</v>
      </c>
      <c r="N38" s="186" t="s">
        <v>165</v>
      </c>
      <c r="O38" s="178" t="s">
        <v>55</v>
      </c>
      <c r="P38" s="180">
        <v>45789.548657407409</v>
      </c>
      <c r="Q38" s="188">
        <f t="shared" ca="1" si="2"/>
        <v>335.45134259259066</v>
      </c>
    </row>
    <row r="39" spans="1:17" hidden="1">
      <c r="A39" s="230">
        <f t="shared" si="0"/>
        <v>37</v>
      </c>
      <c r="B39" s="219">
        <v>45699</v>
      </c>
      <c r="C39" s="190" t="s">
        <v>194</v>
      </c>
      <c r="D39" s="190" t="s">
        <v>195</v>
      </c>
      <c r="E39" s="230">
        <v>500</v>
      </c>
      <c r="F39" s="230">
        <v>750</v>
      </c>
      <c r="G39" s="230">
        <v>48</v>
      </c>
      <c r="H39" s="190">
        <f t="shared" si="1"/>
        <v>24000</v>
      </c>
      <c r="I39" s="190" t="s">
        <v>66</v>
      </c>
      <c r="J39" s="190" t="s">
        <v>60</v>
      </c>
      <c r="K39" s="190" t="s">
        <v>15</v>
      </c>
      <c r="L39" s="239">
        <v>528</v>
      </c>
      <c r="M39" s="191" t="s">
        <v>196</v>
      </c>
      <c r="N39" s="190" t="s">
        <v>165</v>
      </c>
      <c r="O39" s="178" t="s">
        <v>55</v>
      </c>
      <c r="P39" s="180">
        <v>45749</v>
      </c>
      <c r="Q39" s="188">
        <f t="shared" ca="1" si="2"/>
        <v>376</v>
      </c>
    </row>
    <row r="40" spans="1:17" hidden="1">
      <c r="A40" s="230">
        <f t="shared" si="0"/>
        <v>38</v>
      </c>
      <c r="B40" s="219" t="s">
        <v>197</v>
      </c>
      <c r="C40" s="190" t="s">
        <v>198</v>
      </c>
      <c r="D40" s="190" t="s">
        <v>199</v>
      </c>
      <c r="E40" s="230">
        <v>500</v>
      </c>
      <c r="F40" s="230">
        <v>780</v>
      </c>
      <c r="G40" s="230">
        <v>50</v>
      </c>
      <c r="H40" s="190">
        <f t="shared" si="1"/>
        <v>25000</v>
      </c>
      <c r="I40" s="190" t="s">
        <v>66</v>
      </c>
      <c r="J40" s="190" t="s">
        <v>60</v>
      </c>
      <c r="K40" s="190" t="s">
        <v>15</v>
      </c>
      <c r="L40" s="239">
        <v>526</v>
      </c>
      <c r="M40" s="191" t="s">
        <v>148</v>
      </c>
      <c r="N40" s="190" t="s">
        <v>200</v>
      </c>
      <c r="O40" s="178" t="s">
        <v>55</v>
      </c>
      <c r="P40" s="180">
        <v>45758</v>
      </c>
      <c r="Q40" s="188">
        <f t="shared" ca="1" si="2"/>
        <v>367</v>
      </c>
    </row>
    <row r="41" spans="1:17" hidden="1">
      <c r="A41" s="230">
        <f t="shared" si="0"/>
        <v>39</v>
      </c>
      <c r="B41" s="219" t="s">
        <v>197</v>
      </c>
      <c r="C41" s="190" t="s">
        <v>201</v>
      </c>
      <c r="D41" s="190" t="s">
        <v>202</v>
      </c>
      <c r="E41" s="230">
        <v>500</v>
      </c>
      <c r="F41" s="230">
        <v>1550</v>
      </c>
      <c r="G41" s="230">
        <v>70</v>
      </c>
      <c r="H41" s="190">
        <f t="shared" si="1"/>
        <v>35000</v>
      </c>
      <c r="I41" s="190" t="s">
        <v>66</v>
      </c>
      <c r="J41" s="190" t="s">
        <v>60</v>
      </c>
      <c r="K41" s="190" t="s">
        <v>15</v>
      </c>
      <c r="L41" s="239">
        <v>537</v>
      </c>
      <c r="M41" s="191" t="s">
        <v>55</v>
      </c>
      <c r="N41" s="190" t="s">
        <v>200</v>
      </c>
      <c r="O41" s="178" t="s">
        <v>55</v>
      </c>
      <c r="P41" s="180">
        <v>45758</v>
      </c>
      <c r="Q41" s="188">
        <f t="shared" ca="1" si="2"/>
        <v>367</v>
      </c>
    </row>
    <row r="42" spans="1:17" hidden="1">
      <c r="A42" s="229">
        <f t="shared" si="0"/>
        <v>40</v>
      </c>
      <c r="B42" s="220" t="s">
        <v>203</v>
      </c>
      <c r="C42" s="186" t="s">
        <v>204</v>
      </c>
      <c r="D42" s="186" t="s">
        <v>205</v>
      </c>
      <c r="E42" s="229">
        <v>500</v>
      </c>
      <c r="F42" s="229">
        <v>580</v>
      </c>
      <c r="G42" s="229">
        <v>65</v>
      </c>
      <c r="H42" s="186">
        <f t="shared" si="1"/>
        <v>32500</v>
      </c>
      <c r="I42" s="186" t="s">
        <v>66</v>
      </c>
      <c r="J42" s="186" t="s">
        <v>60</v>
      </c>
      <c r="K42" s="186" t="s">
        <v>12</v>
      </c>
      <c r="L42" s="238">
        <v>492</v>
      </c>
      <c r="M42" s="187" t="s">
        <v>791</v>
      </c>
      <c r="N42" s="186" t="s">
        <v>54</v>
      </c>
      <c r="O42" s="178" t="s">
        <v>55</v>
      </c>
      <c r="P42" s="180">
        <v>45801.623518518521</v>
      </c>
      <c r="Q42" s="188">
        <f t="shared" ca="1" si="2"/>
        <v>323.37648148147855</v>
      </c>
    </row>
    <row r="43" spans="1:17" hidden="1">
      <c r="A43" s="222">
        <f t="shared" si="0"/>
        <v>41</v>
      </c>
      <c r="B43" s="223" t="s">
        <v>203</v>
      </c>
      <c r="C43" s="182" t="s">
        <v>208</v>
      </c>
      <c r="D43" s="182" t="s">
        <v>209</v>
      </c>
      <c r="E43" s="222">
        <v>300</v>
      </c>
      <c r="F43" s="222">
        <v>650</v>
      </c>
      <c r="G43" s="222" t="s">
        <v>133</v>
      </c>
      <c r="H43" s="182">
        <v>0</v>
      </c>
      <c r="I43" s="182" t="s">
        <v>66</v>
      </c>
      <c r="J43" s="182" t="s">
        <v>60</v>
      </c>
      <c r="K43" s="182" t="s">
        <v>133</v>
      </c>
      <c r="L43" s="237" t="s">
        <v>133</v>
      </c>
      <c r="M43" s="183" t="s">
        <v>210</v>
      </c>
      <c r="N43" s="182" t="s">
        <v>211</v>
      </c>
      <c r="O43" s="178" t="s">
        <v>370</v>
      </c>
      <c r="P43" s="193" t="s">
        <v>213</v>
      </c>
      <c r="Q43" s="188" t="e">
        <f t="shared" ca="1" si="2"/>
        <v>#VALUE!</v>
      </c>
    </row>
    <row r="44" spans="1:17" hidden="1">
      <c r="A44" s="222">
        <f t="shared" si="0"/>
        <v>42</v>
      </c>
      <c r="B44" s="223" t="s">
        <v>203</v>
      </c>
      <c r="C44" s="182" t="s">
        <v>214</v>
      </c>
      <c r="D44" s="182" t="s">
        <v>215</v>
      </c>
      <c r="E44" s="222">
        <v>300</v>
      </c>
      <c r="F44" s="222">
        <v>1200</v>
      </c>
      <c r="G44" s="222" t="s">
        <v>133</v>
      </c>
      <c r="H44" s="182">
        <v>0</v>
      </c>
      <c r="I44" s="182" t="s">
        <v>66</v>
      </c>
      <c r="J44" s="182" t="s">
        <v>60</v>
      </c>
      <c r="K44" s="182" t="s">
        <v>133</v>
      </c>
      <c r="L44" s="237" t="s">
        <v>133</v>
      </c>
      <c r="M44" s="183" t="s">
        <v>216</v>
      </c>
      <c r="N44" s="182" t="s">
        <v>211</v>
      </c>
      <c r="O44" s="178" t="s">
        <v>370</v>
      </c>
      <c r="P44" s="193" t="s">
        <v>213</v>
      </c>
      <c r="Q44" s="188" t="e">
        <f t="shared" ca="1" si="2"/>
        <v>#VALUE!</v>
      </c>
    </row>
    <row r="45" spans="1:17" s="196" customFormat="1" ht="30" hidden="1">
      <c r="A45" s="230">
        <f t="shared" si="0"/>
        <v>43</v>
      </c>
      <c r="B45" s="219" t="s">
        <v>217</v>
      </c>
      <c r="C45" s="189" t="s">
        <v>218</v>
      </c>
      <c r="D45" s="189" t="s">
        <v>219</v>
      </c>
      <c r="E45" s="230">
        <v>500</v>
      </c>
      <c r="F45" s="230">
        <v>1820</v>
      </c>
      <c r="G45" s="230">
        <v>118</v>
      </c>
      <c r="H45" s="189">
        <f t="shared" si="1"/>
        <v>59000</v>
      </c>
      <c r="I45" s="189" t="s">
        <v>66</v>
      </c>
      <c r="J45" s="189" t="s">
        <v>60</v>
      </c>
      <c r="K45" s="189" t="s">
        <v>4</v>
      </c>
      <c r="L45" s="239" t="s">
        <v>220</v>
      </c>
      <c r="M45" s="194" t="s">
        <v>55</v>
      </c>
      <c r="N45" s="189" t="s">
        <v>54</v>
      </c>
      <c r="O45" s="195" t="s">
        <v>55</v>
      </c>
      <c r="P45" s="180">
        <v>45758</v>
      </c>
      <c r="Q45" s="188">
        <f t="shared" ca="1" si="2"/>
        <v>367</v>
      </c>
    </row>
    <row r="46" spans="1:17" hidden="1">
      <c r="A46" s="230">
        <f t="shared" si="0"/>
        <v>44</v>
      </c>
      <c r="B46" s="219" t="s">
        <v>217</v>
      </c>
      <c r="C46" s="190" t="s">
        <v>221</v>
      </c>
      <c r="D46" s="190" t="s">
        <v>792</v>
      </c>
      <c r="E46" s="230">
        <v>300</v>
      </c>
      <c r="F46" s="230" t="s">
        <v>223</v>
      </c>
      <c r="G46" s="230">
        <v>465</v>
      </c>
      <c r="H46" s="190">
        <f t="shared" si="1"/>
        <v>139500</v>
      </c>
      <c r="I46" s="190" t="s">
        <v>66</v>
      </c>
      <c r="J46" s="190" t="s">
        <v>60</v>
      </c>
      <c r="K46" s="190" t="s">
        <v>16</v>
      </c>
      <c r="L46" s="239">
        <v>296</v>
      </c>
      <c r="M46" s="191" t="s">
        <v>224</v>
      </c>
      <c r="N46" s="190" t="s">
        <v>211</v>
      </c>
      <c r="O46" s="178" t="s">
        <v>55</v>
      </c>
      <c r="P46" s="180">
        <v>45756</v>
      </c>
      <c r="Q46" s="188">
        <f t="shared" ca="1" si="2"/>
        <v>369</v>
      </c>
    </row>
    <row r="47" spans="1:17" hidden="1">
      <c r="A47" s="230">
        <f t="shared" si="0"/>
        <v>45</v>
      </c>
      <c r="B47" s="219" t="s">
        <v>217</v>
      </c>
      <c r="C47" s="190" t="s">
        <v>225</v>
      </c>
      <c r="D47" s="190" t="s">
        <v>226</v>
      </c>
      <c r="E47" s="230">
        <v>3000</v>
      </c>
      <c r="F47" s="230">
        <v>168</v>
      </c>
      <c r="G47" s="230">
        <v>28.25</v>
      </c>
      <c r="H47" s="190">
        <f t="shared" si="1"/>
        <v>84750</v>
      </c>
      <c r="I47" s="190" t="s">
        <v>227</v>
      </c>
      <c r="J47" s="190" t="s">
        <v>228</v>
      </c>
      <c r="K47" s="190" t="s">
        <v>16</v>
      </c>
      <c r="L47" s="239">
        <v>2909</v>
      </c>
      <c r="M47" s="191" t="s">
        <v>55</v>
      </c>
      <c r="N47" s="190" t="s">
        <v>211</v>
      </c>
      <c r="O47" s="178" t="s">
        <v>55</v>
      </c>
      <c r="P47" s="180">
        <v>45753</v>
      </c>
      <c r="Q47" s="188">
        <f t="shared" ca="1" si="2"/>
        <v>372</v>
      </c>
    </row>
    <row r="48" spans="1:17" hidden="1">
      <c r="A48" s="230">
        <f t="shared" si="0"/>
        <v>46</v>
      </c>
      <c r="B48" s="219" t="s">
        <v>217</v>
      </c>
      <c r="C48" s="190" t="s">
        <v>229</v>
      </c>
      <c r="D48" s="190" t="s">
        <v>793</v>
      </c>
      <c r="E48" s="230">
        <v>3000</v>
      </c>
      <c r="F48" s="230" t="s">
        <v>231</v>
      </c>
      <c r="G48" s="230">
        <v>18.75</v>
      </c>
      <c r="H48" s="190">
        <f t="shared" si="1"/>
        <v>56250</v>
      </c>
      <c r="I48" s="190" t="s">
        <v>227</v>
      </c>
      <c r="J48" s="190" t="s">
        <v>228</v>
      </c>
      <c r="K48" s="190" t="s">
        <v>16</v>
      </c>
      <c r="L48" s="239">
        <v>2901</v>
      </c>
      <c r="M48" s="191" t="s">
        <v>55</v>
      </c>
      <c r="N48" s="190" t="s">
        <v>211</v>
      </c>
      <c r="O48" s="178" t="s">
        <v>55</v>
      </c>
      <c r="P48" s="180">
        <v>45753</v>
      </c>
      <c r="Q48" s="188">
        <f t="shared" ca="1" si="2"/>
        <v>372</v>
      </c>
    </row>
    <row r="49" spans="1:17" hidden="1">
      <c r="A49" s="230">
        <f t="shared" si="0"/>
        <v>47</v>
      </c>
      <c r="B49" s="219" t="s">
        <v>217</v>
      </c>
      <c r="C49" s="190" t="s">
        <v>232</v>
      </c>
      <c r="D49" s="190" t="s">
        <v>233</v>
      </c>
      <c r="E49" s="230">
        <v>300</v>
      </c>
      <c r="F49" s="230">
        <v>2700</v>
      </c>
      <c r="G49" s="230">
        <v>483</v>
      </c>
      <c r="H49" s="190">
        <f t="shared" si="1"/>
        <v>144900</v>
      </c>
      <c r="I49" s="190" t="s">
        <v>152</v>
      </c>
      <c r="J49" s="190" t="s">
        <v>60</v>
      </c>
      <c r="K49" s="190" t="s">
        <v>16</v>
      </c>
      <c r="L49" s="239">
        <v>288</v>
      </c>
      <c r="M49" s="191" t="s">
        <v>224</v>
      </c>
      <c r="N49" s="190" t="s">
        <v>211</v>
      </c>
      <c r="O49" s="178" t="s">
        <v>55</v>
      </c>
      <c r="P49" s="180">
        <v>45756</v>
      </c>
      <c r="Q49" s="188">
        <f t="shared" ca="1" si="2"/>
        <v>369</v>
      </c>
    </row>
    <row r="50" spans="1:17" hidden="1">
      <c r="A50" s="247">
        <f t="shared" si="0"/>
        <v>48</v>
      </c>
      <c r="B50" s="244" t="s">
        <v>234</v>
      </c>
      <c r="C50" s="246" t="s">
        <v>235</v>
      </c>
      <c r="D50" s="246" t="s">
        <v>236</v>
      </c>
      <c r="E50" s="247">
        <v>3000</v>
      </c>
      <c r="F50" s="247">
        <v>532</v>
      </c>
      <c r="G50" s="247">
        <v>40</v>
      </c>
      <c r="H50" s="246">
        <f t="shared" si="1"/>
        <v>120000</v>
      </c>
      <c r="I50" s="246" t="s">
        <v>237</v>
      </c>
      <c r="J50" s="246" t="s">
        <v>238</v>
      </c>
      <c r="K50" s="246" t="s">
        <v>8</v>
      </c>
      <c r="L50" s="248">
        <v>3091</v>
      </c>
      <c r="M50" s="249"/>
      <c r="N50" s="246" t="s">
        <v>211</v>
      </c>
      <c r="O50" s="178" t="s">
        <v>55</v>
      </c>
      <c r="P50" s="180">
        <v>45826</v>
      </c>
      <c r="Q50" s="188">
        <f t="shared" ca="1" si="2"/>
        <v>299</v>
      </c>
    </row>
    <row r="51" spans="1:17" hidden="1">
      <c r="A51" s="229">
        <f t="shared" si="0"/>
        <v>49</v>
      </c>
      <c r="B51" s="220" t="s">
        <v>234</v>
      </c>
      <c r="C51" s="186" t="s">
        <v>239</v>
      </c>
      <c r="D51" s="186" t="s">
        <v>240</v>
      </c>
      <c r="E51" s="229">
        <v>2000</v>
      </c>
      <c r="F51" s="229" t="s">
        <v>241</v>
      </c>
      <c r="G51" s="265">
        <v>8.25</v>
      </c>
      <c r="H51" s="186">
        <f t="shared" si="1"/>
        <v>16500</v>
      </c>
      <c r="I51" s="186" t="s">
        <v>242</v>
      </c>
      <c r="J51" s="186" t="s">
        <v>238</v>
      </c>
      <c r="K51" s="186" t="s">
        <v>14</v>
      </c>
      <c r="L51" s="238">
        <v>2025</v>
      </c>
      <c r="M51" s="187"/>
      <c r="N51" s="186" t="s">
        <v>211</v>
      </c>
      <c r="O51" s="178" t="s">
        <v>55</v>
      </c>
      <c r="P51" s="180">
        <v>45770.488020833334</v>
      </c>
      <c r="Q51" s="188">
        <f t="shared" ca="1" si="2"/>
        <v>354.5119791666657</v>
      </c>
    </row>
    <row r="52" spans="1:17" hidden="1">
      <c r="A52" s="230">
        <f t="shared" si="0"/>
        <v>50</v>
      </c>
      <c r="B52" s="219" t="s">
        <v>234</v>
      </c>
      <c r="C52" s="190" t="s">
        <v>243</v>
      </c>
      <c r="D52" s="190" t="s">
        <v>244</v>
      </c>
      <c r="E52" s="230">
        <v>2000</v>
      </c>
      <c r="F52" s="230">
        <v>69</v>
      </c>
      <c r="G52" s="265">
        <v>8.25</v>
      </c>
      <c r="H52" s="190">
        <f t="shared" si="1"/>
        <v>16500</v>
      </c>
      <c r="I52" s="190" t="s">
        <v>242</v>
      </c>
      <c r="J52" s="190" t="s">
        <v>238</v>
      </c>
      <c r="K52" s="190" t="s">
        <v>14</v>
      </c>
      <c r="L52" s="239">
        <v>2000</v>
      </c>
      <c r="M52" s="191"/>
      <c r="N52" s="190" t="s">
        <v>211</v>
      </c>
      <c r="O52" s="178" t="s">
        <v>55</v>
      </c>
      <c r="P52" s="180" t="s">
        <v>245</v>
      </c>
      <c r="Q52" s="188">
        <f t="shared" ca="1" si="2"/>
        <v>362.34652777777956</v>
      </c>
    </row>
    <row r="53" spans="1:17" hidden="1">
      <c r="A53" s="229">
        <f t="shared" si="0"/>
        <v>51</v>
      </c>
      <c r="B53" s="220" t="s">
        <v>234</v>
      </c>
      <c r="C53" s="186" t="s">
        <v>246</v>
      </c>
      <c r="D53" s="186" t="s">
        <v>247</v>
      </c>
      <c r="E53" s="229">
        <v>1000</v>
      </c>
      <c r="F53" s="229">
        <v>470</v>
      </c>
      <c r="G53" s="229">
        <v>54</v>
      </c>
      <c r="H53" s="186">
        <f t="shared" si="1"/>
        <v>54000</v>
      </c>
      <c r="I53" s="186" t="s">
        <v>242</v>
      </c>
      <c r="J53" s="186" t="s">
        <v>238</v>
      </c>
      <c r="K53" s="186" t="s">
        <v>14</v>
      </c>
      <c r="L53" s="238">
        <v>996</v>
      </c>
      <c r="M53" s="187" t="s">
        <v>53</v>
      </c>
      <c r="N53" s="186" t="s">
        <v>211</v>
      </c>
      <c r="O53" s="178" t="s">
        <v>55</v>
      </c>
      <c r="P53" s="180">
        <v>45770.493946759256</v>
      </c>
      <c r="Q53" s="188">
        <f t="shared" ca="1" si="2"/>
        <v>354.50605324074422</v>
      </c>
    </row>
    <row r="54" spans="1:17" hidden="1">
      <c r="A54" s="229">
        <f t="shared" si="0"/>
        <v>52</v>
      </c>
      <c r="B54" s="220" t="s">
        <v>234</v>
      </c>
      <c r="C54" s="186" t="s">
        <v>248</v>
      </c>
      <c r="D54" s="186" t="s">
        <v>249</v>
      </c>
      <c r="E54" s="229">
        <v>1000</v>
      </c>
      <c r="F54" s="229">
        <v>390</v>
      </c>
      <c r="G54" s="229">
        <v>42</v>
      </c>
      <c r="H54" s="186">
        <f t="shared" si="1"/>
        <v>42000</v>
      </c>
      <c r="I54" s="186" t="s">
        <v>242</v>
      </c>
      <c r="J54" s="186" t="s">
        <v>238</v>
      </c>
      <c r="K54" s="186" t="s">
        <v>14</v>
      </c>
      <c r="L54" s="238">
        <v>1002</v>
      </c>
      <c r="M54" s="187" t="s">
        <v>53</v>
      </c>
      <c r="N54" s="186" t="s">
        <v>211</v>
      </c>
      <c r="O54" s="178" t="s">
        <v>55</v>
      </c>
      <c r="P54" s="180">
        <v>45770.491828703707</v>
      </c>
      <c r="Q54" s="188">
        <f t="shared" ca="1" si="2"/>
        <v>354.50817129629286</v>
      </c>
    </row>
    <row r="55" spans="1:17" hidden="1">
      <c r="A55" s="230">
        <f t="shared" si="0"/>
        <v>53</v>
      </c>
      <c r="B55" s="219" t="s">
        <v>234</v>
      </c>
      <c r="C55" s="190" t="s">
        <v>250</v>
      </c>
      <c r="D55" s="190" t="s">
        <v>251</v>
      </c>
      <c r="E55" s="230">
        <v>500</v>
      </c>
      <c r="F55" s="230">
        <v>1350</v>
      </c>
      <c r="G55" s="230">
        <v>105</v>
      </c>
      <c r="H55" s="190">
        <f t="shared" si="1"/>
        <v>52500</v>
      </c>
      <c r="I55" s="190" t="s">
        <v>74</v>
      </c>
      <c r="J55" s="190" t="s">
        <v>60</v>
      </c>
      <c r="K55" s="190" t="s">
        <v>4</v>
      </c>
      <c r="L55" s="239">
        <v>505</v>
      </c>
      <c r="M55" s="191" t="s">
        <v>252</v>
      </c>
      <c r="N55" s="190" t="s">
        <v>89</v>
      </c>
      <c r="O55" s="178" t="s">
        <v>55</v>
      </c>
      <c r="P55" s="180" t="s">
        <v>253</v>
      </c>
      <c r="Q55" s="188">
        <f t="shared" ca="1" si="2"/>
        <v>387</v>
      </c>
    </row>
    <row r="56" spans="1:17" hidden="1">
      <c r="A56" s="229">
        <f t="shared" si="0"/>
        <v>54</v>
      </c>
      <c r="B56" s="220" t="s">
        <v>234</v>
      </c>
      <c r="C56" s="186" t="s">
        <v>254</v>
      </c>
      <c r="D56" s="186" t="s">
        <v>255</v>
      </c>
      <c r="E56" s="229">
        <v>250</v>
      </c>
      <c r="F56" s="229">
        <v>3400</v>
      </c>
      <c r="G56" s="229">
        <v>295</v>
      </c>
      <c r="H56" s="186">
        <f t="shared" si="1"/>
        <v>73750</v>
      </c>
      <c r="I56" s="186" t="s">
        <v>125</v>
      </c>
      <c r="J56" s="186" t="s">
        <v>60</v>
      </c>
      <c r="K56" s="186" t="s">
        <v>20</v>
      </c>
      <c r="L56" s="238">
        <v>298</v>
      </c>
      <c r="M56" s="187" t="s">
        <v>794</v>
      </c>
      <c r="N56" s="186" t="s">
        <v>200</v>
      </c>
      <c r="O56" s="178" t="s">
        <v>55</v>
      </c>
      <c r="P56" s="180">
        <v>45801.626458333332</v>
      </c>
      <c r="Q56" s="188">
        <f t="shared" ca="1" si="2"/>
        <v>323.37354166666773</v>
      </c>
    </row>
    <row r="57" spans="1:17" hidden="1">
      <c r="A57" s="230">
        <f t="shared" si="0"/>
        <v>55</v>
      </c>
      <c r="B57" s="219" t="s">
        <v>234</v>
      </c>
      <c r="C57" s="190" t="s">
        <v>258</v>
      </c>
      <c r="D57" s="190" t="s">
        <v>259</v>
      </c>
      <c r="E57" s="230">
        <v>500</v>
      </c>
      <c r="F57" s="230">
        <v>1450</v>
      </c>
      <c r="G57" s="230">
        <v>112</v>
      </c>
      <c r="H57" s="190">
        <f t="shared" si="1"/>
        <v>56000</v>
      </c>
      <c r="I57" s="190" t="s">
        <v>74</v>
      </c>
      <c r="J57" s="190" t="s">
        <v>60</v>
      </c>
      <c r="K57" s="190" t="s">
        <v>4</v>
      </c>
      <c r="L57" s="239">
        <v>518</v>
      </c>
      <c r="M57" s="191" t="s">
        <v>260</v>
      </c>
      <c r="N57" s="190" t="s">
        <v>89</v>
      </c>
      <c r="O57" s="178" t="s">
        <v>55</v>
      </c>
      <c r="P57" s="180" t="s">
        <v>261</v>
      </c>
      <c r="Q57" s="188">
        <f t="shared" ca="1" si="2"/>
        <v>381</v>
      </c>
    </row>
    <row r="58" spans="1:17" hidden="1">
      <c r="A58" s="229">
        <f t="shared" si="0"/>
        <v>56</v>
      </c>
      <c r="B58" s="220" t="s">
        <v>234</v>
      </c>
      <c r="C58" s="186" t="s">
        <v>262</v>
      </c>
      <c r="D58" s="245" t="s">
        <v>795</v>
      </c>
      <c r="E58" s="229">
        <v>2000</v>
      </c>
      <c r="F58" s="229">
        <v>135</v>
      </c>
      <c r="G58" s="229">
        <v>13</v>
      </c>
      <c r="H58" s="186">
        <f t="shared" si="1"/>
        <v>26000</v>
      </c>
      <c r="I58" s="186" t="s">
        <v>264</v>
      </c>
      <c r="J58" s="186" t="s">
        <v>265</v>
      </c>
      <c r="K58" s="186" t="s">
        <v>23</v>
      </c>
      <c r="L58" s="238">
        <v>2066</v>
      </c>
      <c r="M58" s="187" t="s">
        <v>796</v>
      </c>
      <c r="N58" s="186" t="s">
        <v>211</v>
      </c>
      <c r="O58" s="178" t="s">
        <v>55</v>
      </c>
      <c r="P58" s="180">
        <v>45792.570752314816</v>
      </c>
      <c r="Q58" s="188">
        <f t="shared" ca="1" si="2"/>
        <v>332.42924768518424</v>
      </c>
    </row>
    <row r="59" spans="1:17" hidden="1">
      <c r="A59" s="229">
        <f t="shared" si="0"/>
        <v>57</v>
      </c>
      <c r="B59" s="220" t="s">
        <v>234</v>
      </c>
      <c r="C59" s="186" t="s">
        <v>267</v>
      </c>
      <c r="D59" s="186" t="s">
        <v>268</v>
      </c>
      <c r="E59" s="229">
        <v>2000</v>
      </c>
      <c r="F59" s="229">
        <v>140</v>
      </c>
      <c r="G59" s="265">
        <v>13</v>
      </c>
      <c r="H59" s="186">
        <f t="shared" si="1"/>
        <v>26000</v>
      </c>
      <c r="I59" s="186" t="s">
        <v>269</v>
      </c>
      <c r="J59" s="186" t="s">
        <v>265</v>
      </c>
      <c r="K59" s="186" t="s">
        <v>27</v>
      </c>
      <c r="L59" s="238">
        <v>1960</v>
      </c>
      <c r="M59" s="187" t="s">
        <v>797</v>
      </c>
      <c r="N59" s="186" t="s">
        <v>211</v>
      </c>
      <c r="O59" s="178" t="s">
        <v>55</v>
      </c>
      <c r="P59" s="180">
        <v>45812.519571759258</v>
      </c>
      <c r="Q59" s="188">
        <f t="shared" ca="1" si="2"/>
        <v>312.48042824074219</v>
      </c>
    </row>
    <row r="60" spans="1:17" hidden="1">
      <c r="A60" s="229">
        <f t="shared" si="0"/>
        <v>58</v>
      </c>
      <c r="B60" s="220" t="s">
        <v>272</v>
      </c>
      <c r="C60" s="186" t="s">
        <v>273</v>
      </c>
      <c r="D60" s="186" t="s">
        <v>274</v>
      </c>
      <c r="E60" s="229">
        <v>1000</v>
      </c>
      <c r="F60" s="229">
        <v>359</v>
      </c>
      <c r="G60" s="229">
        <v>42</v>
      </c>
      <c r="H60" s="186">
        <f t="shared" si="1"/>
        <v>42000</v>
      </c>
      <c r="I60" s="186" t="s">
        <v>242</v>
      </c>
      <c r="J60" s="186" t="s">
        <v>238</v>
      </c>
      <c r="K60" s="186" t="s">
        <v>14</v>
      </c>
      <c r="L60" s="238">
        <v>1032</v>
      </c>
      <c r="M60" s="187" t="s">
        <v>53</v>
      </c>
      <c r="N60" s="186" t="s">
        <v>165</v>
      </c>
      <c r="O60" s="178" t="s">
        <v>55</v>
      </c>
      <c r="P60" s="180">
        <v>45770.490995370368</v>
      </c>
      <c r="Q60" s="188">
        <f t="shared" ca="1" si="2"/>
        <v>354.50900462963182</v>
      </c>
    </row>
    <row r="61" spans="1:17" hidden="1">
      <c r="A61" s="230">
        <f t="shared" si="0"/>
        <v>59</v>
      </c>
      <c r="B61" s="219" t="s">
        <v>272</v>
      </c>
      <c r="C61" s="190" t="s">
        <v>275</v>
      </c>
      <c r="D61" s="190" t="s">
        <v>276</v>
      </c>
      <c r="E61" s="230">
        <v>2000</v>
      </c>
      <c r="F61" s="230" t="s">
        <v>277</v>
      </c>
      <c r="G61" s="266">
        <v>8.25</v>
      </c>
      <c r="H61" s="190">
        <f t="shared" si="1"/>
        <v>16500</v>
      </c>
      <c r="I61" s="190" t="s">
        <v>242</v>
      </c>
      <c r="J61" s="190" t="s">
        <v>238</v>
      </c>
      <c r="K61" s="190" t="s">
        <v>14</v>
      </c>
      <c r="L61" s="239">
        <v>2033</v>
      </c>
      <c r="M61" s="191"/>
      <c r="N61" s="190" t="s">
        <v>165</v>
      </c>
      <c r="O61" s="178" t="s">
        <v>55</v>
      </c>
      <c r="P61" s="180" t="s">
        <v>278</v>
      </c>
      <c r="Q61" s="188">
        <f t="shared" ca="1" si="2"/>
        <v>362.34583333333285</v>
      </c>
    </row>
    <row r="62" spans="1:17" hidden="1">
      <c r="A62" s="247">
        <f t="shared" si="0"/>
        <v>60</v>
      </c>
      <c r="B62" s="244" t="s">
        <v>272</v>
      </c>
      <c r="C62" s="246" t="s">
        <v>279</v>
      </c>
      <c r="D62" s="246" t="s">
        <v>280</v>
      </c>
      <c r="E62" s="247">
        <v>500</v>
      </c>
      <c r="F62" s="247">
        <v>1170</v>
      </c>
      <c r="G62" s="247">
        <v>85</v>
      </c>
      <c r="H62" s="246">
        <f t="shared" si="1"/>
        <v>42500</v>
      </c>
      <c r="I62" s="246" t="s">
        <v>59</v>
      </c>
      <c r="J62" s="246" t="s">
        <v>60</v>
      </c>
      <c r="K62" s="246" t="s">
        <v>4</v>
      </c>
      <c r="L62" s="248">
        <v>517</v>
      </c>
      <c r="M62" s="249" t="s">
        <v>181</v>
      </c>
      <c r="N62" s="246" t="s">
        <v>211</v>
      </c>
      <c r="O62" s="178" t="s">
        <v>55</v>
      </c>
      <c r="P62" s="180">
        <v>45824</v>
      </c>
      <c r="Q62" s="188">
        <f t="shared" ca="1" si="2"/>
        <v>301</v>
      </c>
    </row>
    <row r="63" spans="1:17" hidden="1">
      <c r="A63" s="229">
        <f t="shared" si="0"/>
        <v>61</v>
      </c>
      <c r="B63" s="220" t="s">
        <v>272</v>
      </c>
      <c r="C63" s="186" t="s">
        <v>281</v>
      </c>
      <c r="D63" s="186" t="s">
        <v>282</v>
      </c>
      <c r="E63" s="229">
        <v>100</v>
      </c>
      <c r="F63" s="229">
        <v>6300</v>
      </c>
      <c r="G63" s="229">
        <v>960</v>
      </c>
      <c r="H63" s="186">
        <f t="shared" si="1"/>
        <v>96000</v>
      </c>
      <c r="I63" s="186" t="s">
        <v>152</v>
      </c>
      <c r="J63" s="186" t="s">
        <v>60</v>
      </c>
      <c r="K63" s="186" t="s">
        <v>16</v>
      </c>
      <c r="L63" s="238">
        <v>95</v>
      </c>
      <c r="M63" s="187" t="s">
        <v>283</v>
      </c>
      <c r="N63" s="186" t="s">
        <v>211</v>
      </c>
      <c r="O63" s="178" t="s">
        <v>55</v>
      </c>
      <c r="P63" s="180">
        <v>45789.550925925927</v>
      </c>
      <c r="Q63" s="188">
        <f t="shared" ca="1" si="2"/>
        <v>335.449074074073</v>
      </c>
    </row>
    <row r="64" spans="1:17" hidden="1">
      <c r="A64" s="230">
        <f t="shared" si="0"/>
        <v>62</v>
      </c>
      <c r="B64" s="219" t="s">
        <v>272</v>
      </c>
      <c r="C64" s="190" t="s">
        <v>284</v>
      </c>
      <c r="D64" s="190" t="s">
        <v>285</v>
      </c>
      <c r="E64" s="230">
        <v>300</v>
      </c>
      <c r="F64" s="230">
        <v>1240</v>
      </c>
      <c r="G64" s="230">
        <v>55</v>
      </c>
      <c r="H64" s="190">
        <f t="shared" si="1"/>
        <v>16500</v>
      </c>
      <c r="I64" s="190" t="s">
        <v>286</v>
      </c>
      <c r="J64" s="190" t="s">
        <v>60</v>
      </c>
      <c r="K64" s="190" t="s">
        <v>4</v>
      </c>
      <c r="L64" s="239">
        <v>313</v>
      </c>
      <c r="M64" s="191" t="s">
        <v>67</v>
      </c>
      <c r="N64" s="190" t="s">
        <v>54</v>
      </c>
      <c r="O64" s="178" t="s">
        <v>55</v>
      </c>
      <c r="P64" s="180" t="s">
        <v>68</v>
      </c>
      <c r="Q64" s="188">
        <f t="shared" ca="1" si="2"/>
        <v>392</v>
      </c>
    </row>
    <row r="65" spans="1:18" hidden="1">
      <c r="A65" s="230">
        <f t="shared" si="0"/>
        <v>63</v>
      </c>
      <c r="B65" s="219" t="s">
        <v>272</v>
      </c>
      <c r="C65" s="190" t="s">
        <v>287</v>
      </c>
      <c r="D65" s="190" t="s">
        <v>288</v>
      </c>
      <c r="E65" s="230">
        <v>300</v>
      </c>
      <c r="F65" s="230">
        <v>1800</v>
      </c>
      <c r="G65" s="230">
        <v>65</v>
      </c>
      <c r="H65" s="190">
        <f t="shared" si="1"/>
        <v>19500</v>
      </c>
      <c r="I65" s="190" t="s">
        <v>286</v>
      </c>
      <c r="J65" s="190" t="s">
        <v>60</v>
      </c>
      <c r="K65" s="190" t="s">
        <v>4</v>
      </c>
      <c r="L65" s="239">
        <v>310</v>
      </c>
      <c r="M65" s="191" t="s">
        <v>289</v>
      </c>
      <c r="N65" s="190" t="s">
        <v>54</v>
      </c>
      <c r="O65" s="178" t="s">
        <v>55</v>
      </c>
      <c r="P65" s="180" t="s">
        <v>290</v>
      </c>
      <c r="Q65" s="188">
        <f t="shared" ca="1" si="2"/>
        <v>396</v>
      </c>
    </row>
    <row r="66" spans="1:18" hidden="1">
      <c r="A66" s="229">
        <f t="shared" si="0"/>
        <v>64</v>
      </c>
      <c r="B66" s="220" t="s">
        <v>291</v>
      </c>
      <c r="C66" s="186" t="s">
        <v>292</v>
      </c>
      <c r="D66" s="186" t="s">
        <v>293</v>
      </c>
      <c r="E66" s="229">
        <v>800</v>
      </c>
      <c r="F66" s="229">
        <v>960</v>
      </c>
      <c r="G66" s="229">
        <v>105</v>
      </c>
      <c r="H66" s="186">
        <f t="shared" si="1"/>
        <v>84000</v>
      </c>
      <c r="I66" s="186" t="s">
        <v>294</v>
      </c>
      <c r="J66" s="186" t="s">
        <v>60</v>
      </c>
      <c r="K66" s="186" t="s">
        <v>7</v>
      </c>
      <c r="L66" s="238">
        <v>814</v>
      </c>
      <c r="M66" s="187" t="s">
        <v>295</v>
      </c>
      <c r="N66" s="186" t="s">
        <v>211</v>
      </c>
      <c r="O66" s="178" t="s">
        <v>55</v>
      </c>
      <c r="P66" s="180">
        <v>45780.527673611112</v>
      </c>
      <c r="Q66" s="188">
        <f t="shared" ca="1" si="2"/>
        <v>344.47232638888818</v>
      </c>
    </row>
    <row r="67" spans="1:18" hidden="1">
      <c r="A67" s="229">
        <f t="shared" ref="A67:A130" si="3">IF(B67="","",ROW()-2)</f>
        <v>65</v>
      </c>
      <c r="B67" s="220" t="s">
        <v>291</v>
      </c>
      <c r="C67" s="186" t="s">
        <v>296</v>
      </c>
      <c r="D67" s="186" t="s">
        <v>297</v>
      </c>
      <c r="E67" s="229">
        <v>600</v>
      </c>
      <c r="F67" s="229">
        <v>1725</v>
      </c>
      <c r="G67" s="229">
        <v>199.5</v>
      </c>
      <c r="H67" s="186">
        <f t="shared" ref="H67:H130" si="4">IF(G67="","",E67*G67)</f>
        <v>119700</v>
      </c>
      <c r="I67" s="186" t="s">
        <v>294</v>
      </c>
      <c r="J67" s="186" t="s">
        <v>60</v>
      </c>
      <c r="K67" s="186" t="s">
        <v>7</v>
      </c>
      <c r="L67" s="238">
        <v>600</v>
      </c>
      <c r="M67" s="187" t="s">
        <v>295</v>
      </c>
      <c r="N67" s="186" t="s">
        <v>211</v>
      </c>
      <c r="O67" s="178" t="s">
        <v>55</v>
      </c>
      <c r="P67" s="180">
        <v>45780.527708333335</v>
      </c>
      <c r="Q67" s="188">
        <f t="shared" ca="1" si="2"/>
        <v>344.47229166666511</v>
      </c>
    </row>
    <row r="68" spans="1:18" hidden="1">
      <c r="A68" s="230">
        <f t="shared" si="3"/>
        <v>66</v>
      </c>
      <c r="B68" s="219" t="s">
        <v>291</v>
      </c>
      <c r="C68" s="190" t="s">
        <v>298</v>
      </c>
      <c r="D68" s="190" t="s">
        <v>299</v>
      </c>
      <c r="E68" s="230">
        <v>500</v>
      </c>
      <c r="F68" s="230">
        <v>574</v>
      </c>
      <c r="G68" s="230">
        <v>33</v>
      </c>
      <c r="H68" s="190">
        <f t="shared" si="4"/>
        <v>16500</v>
      </c>
      <c r="I68" s="190" t="s">
        <v>300</v>
      </c>
      <c r="J68" s="190" t="s">
        <v>60</v>
      </c>
      <c r="K68" s="190" t="s">
        <v>7</v>
      </c>
      <c r="L68" s="239">
        <v>490</v>
      </c>
      <c r="M68" s="191" t="s">
        <v>55</v>
      </c>
      <c r="N68" s="190" t="s">
        <v>211</v>
      </c>
      <c r="O68" s="178" t="s">
        <v>55</v>
      </c>
      <c r="P68" s="180" t="s">
        <v>301</v>
      </c>
      <c r="Q68" s="188">
        <f t="shared" ref="Q68:Q131" ca="1" si="5">TODAY()-P68</f>
        <v>364.30000000000291</v>
      </c>
    </row>
    <row r="69" spans="1:18" hidden="1">
      <c r="A69" s="229">
        <f t="shared" si="3"/>
        <v>67</v>
      </c>
      <c r="B69" s="220" t="s">
        <v>291</v>
      </c>
      <c r="C69" s="186" t="s">
        <v>302</v>
      </c>
      <c r="D69" s="186" t="s">
        <v>303</v>
      </c>
      <c r="E69" s="229">
        <v>500</v>
      </c>
      <c r="F69" s="229">
        <v>990</v>
      </c>
      <c r="G69" s="229">
        <v>40</v>
      </c>
      <c r="H69" s="186">
        <f t="shared" si="4"/>
        <v>20000</v>
      </c>
      <c r="I69" s="186" t="s">
        <v>300</v>
      </c>
      <c r="J69" s="186" t="s">
        <v>60</v>
      </c>
      <c r="K69" s="186" t="s">
        <v>7</v>
      </c>
      <c r="L69" s="238">
        <v>486</v>
      </c>
      <c r="M69" s="187" t="s">
        <v>304</v>
      </c>
      <c r="N69" s="186" t="s">
        <v>211</v>
      </c>
      <c r="O69" s="178" t="s">
        <v>55</v>
      </c>
      <c r="P69" s="180">
        <v>45771.536307870374</v>
      </c>
      <c r="Q69" s="188">
        <f t="shared" ca="1" si="5"/>
        <v>353.463692129626</v>
      </c>
    </row>
    <row r="70" spans="1:18" hidden="1">
      <c r="A70" s="229">
        <f t="shared" si="3"/>
        <v>68</v>
      </c>
      <c r="B70" s="220" t="s">
        <v>291</v>
      </c>
      <c r="C70" s="186" t="s">
        <v>305</v>
      </c>
      <c r="D70" s="186" t="s">
        <v>306</v>
      </c>
      <c r="E70" s="229">
        <v>5000</v>
      </c>
      <c r="F70" s="229" t="s">
        <v>231</v>
      </c>
      <c r="G70" s="265">
        <v>6.1</v>
      </c>
      <c r="H70" s="186">
        <f t="shared" si="4"/>
        <v>30500</v>
      </c>
      <c r="I70" s="186" t="s">
        <v>307</v>
      </c>
      <c r="J70" s="186" t="s">
        <v>308</v>
      </c>
      <c r="K70" s="186" t="s">
        <v>7</v>
      </c>
      <c r="L70" s="238">
        <v>4888</v>
      </c>
      <c r="M70" s="187" t="s">
        <v>164</v>
      </c>
      <c r="N70" s="186" t="s">
        <v>89</v>
      </c>
      <c r="O70" s="178" t="s">
        <v>55</v>
      </c>
      <c r="P70" s="180">
        <v>45780.517291666663</v>
      </c>
      <c r="Q70" s="188">
        <f t="shared" ca="1" si="5"/>
        <v>344.48270833333663</v>
      </c>
    </row>
    <row r="71" spans="1:18" hidden="1">
      <c r="A71" s="229">
        <f t="shared" si="3"/>
        <v>69</v>
      </c>
      <c r="B71" s="220" t="s">
        <v>56</v>
      </c>
      <c r="C71" s="186" t="s">
        <v>309</v>
      </c>
      <c r="D71" s="186" t="s">
        <v>798</v>
      </c>
      <c r="E71" s="229">
        <v>5000</v>
      </c>
      <c r="F71" s="229">
        <v>105</v>
      </c>
      <c r="G71" s="265">
        <v>10.5</v>
      </c>
      <c r="H71" s="186">
        <f t="shared" si="4"/>
        <v>52500</v>
      </c>
      <c r="I71" s="186" t="s">
        <v>237</v>
      </c>
      <c r="J71" s="186" t="s">
        <v>265</v>
      </c>
      <c r="K71" s="186" t="s">
        <v>24</v>
      </c>
      <c r="L71" s="238">
        <v>4816</v>
      </c>
      <c r="M71" s="187" t="s">
        <v>799</v>
      </c>
      <c r="N71" s="186" t="s">
        <v>211</v>
      </c>
      <c r="O71" s="178" t="s">
        <v>55</v>
      </c>
      <c r="P71" s="180">
        <v>45819.69425925926</v>
      </c>
      <c r="Q71" s="188">
        <f t="shared" ca="1" si="5"/>
        <v>305.30574074073957</v>
      </c>
    </row>
    <row r="72" spans="1:18" hidden="1">
      <c r="A72" s="229">
        <f t="shared" si="3"/>
        <v>70</v>
      </c>
      <c r="B72" s="220" t="s">
        <v>56</v>
      </c>
      <c r="C72" s="186" t="s">
        <v>313</v>
      </c>
      <c r="D72" s="186" t="s">
        <v>800</v>
      </c>
      <c r="E72" s="229">
        <v>3000</v>
      </c>
      <c r="F72" s="229">
        <v>190</v>
      </c>
      <c r="G72" s="229">
        <v>29</v>
      </c>
      <c r="H72" s="186">
        <f t="shared" si="4"/>
        <v>87000</v>
      </c>
      <c r="I72" s="186" t="s">
        <v>237</v>
      </c>
      <c r="J72" s="186" t="s">
        <v>265</v>
      </c>
      <c r="K72" s="186" t="s">
        <v>24</v>
      </c>
      <c r="L72" s="238">
        <v>2950</v>
      </c>
      <c r="M72" s="187" t="s">
        <v>799</v>
      </c>
      <c r="N72" s="186" t="s">
        <v>165</v>
      </c>
      <c r="O72" s="178" t="s">
        <v>55</v>
      </c>
      <c r="P72" s="180">
        <v>45819.694965277777</v>
      </c>
      <c r="Q72" s="188">
        <f t="shared" ca="1" si="5"/>
        <v>305.30503472222335</v>
      </c>
    </row>
    <row r="73" spans="1:18" hidden="1">
      <c r="A73" s="229">
        <f t="shared" si="3"/>
        <v>71</v>
      </c>
      <c r="B73" s="220" t="s">
        <v>56</v>
      </c>
      <c r="C73" s="186" t="s">
        <v>316</v>
      </c>
      <c r="D73" s="186" t="s">
        <v>801</v>
      </c>
      <c r="E73" s="229">
        <v>5000</v>
      </c>
      <c r="F73" s="229">
        <v>119</v>
      </c>
      <c r="G73" s="229">
        <v>12</v>
      </c>
      <c r="H73" s="186">
        <f t="shared" si="4"/>
        <v>60000</v>
      </c>
      <c r="I73" s="186" t="s">
        <v>237</v>
      </c>
      <c r="J73" s="186" t="s">
        <v>265</v>
      </c>
      <c r="K73" s="186" t="s">
        <v>24</v>
      </c>
      <c r="L73" s="238">
        <v>4900</v>
      </c>
      <c r="M73" s="187" t="s">
        <v>161</v>
      </c>
      <c r="N73" s="186" t="s">
        <v>211</v>
      </c>
      <c r="O73" s="178" t="s">
        <v>55</v>
      </c>
      <c r="P73" s="180">
        <v>45772.54965277778</v>
      </c>
      <c r="Q73" s="188">
        <f t="shared" ca="1" si="5"/>
        <v>352.45034722222044</v>
      </c>
    </row>
    <row r="74" spans="1:18" hidden="1">
      <c r="A74" s="222">
        <f t="shared" si="3"/>
        <v>72</v>
      </c>
      <c r="B74" s="223" t="s">
        <v>56</v>
      </c>
      <c r="C74" s="182" t="s">
        <v>318</v>
      </c>
      <c r="D74" s="182" t="s">
        <v>319</v>
      </c>
      <c r="E74" s="222">
        <v>5000</v>
      </c>
      <c r="F74" s="222">
        <v>110</v>
      </c>
      <c r="G74" s="222"/>
      <c r="H74" s="182">
        <v>0</v>
      </c>
      <c r="I74" s="182" t="s">
        <v>237</v>
      </c>
      <c r="J74" s="182" t="s">
        <v>265</v>
      </c>
      <c r="K74" s="182" t="s">
        <v>24</v>
      </c>
      <c r="L74" s="237" t="s">
        <v>133</v>
      </c>
      <c r="M74" s="183" t="s">
        <v>216</v>
      </c>
      <c r="N74" s="182" t="s">
        <v>211</v>
      </c>
      <c r="O74" s="178" t="s">
        <v>370</v>
      </c>
      <c r="P74" s="180"/>
      <c r="Q74" s="188">
        <f t="shared" ca="1" si="5"/>
        <v>46125</v>
      </c>
    </row>
    <row r="75" spans="1:18" hidden="1">
      <c r="A75" s="229">
        <f t="shared" si="3"/>
        <v>73</v>
      </c>
      <c r="B75" s="220" t="s">
        <v>56</v>
      </c>
      <c r="C75" s="186" t="s">
        <v>320</v>
      </c>
      <c r="D75" s="186" t="s">
        <v>321</v>
      </c>
      <c r="E75" s="229">
        <v>5000</v>
      </c>
      <c r="F75" s="229">
        <v>124</v>
      </c>
      <c r="G75" s="229">
        <v>12</v>
      </c>
      <c r="H75" s="186">
        <f t="shared" si="4"/>
        <v>60000</v>
      </c>
      <c r="I75" s="186" t="s">
        <v>237</v>
      </c>
      <c r="J75" s="186" t="s">
        <v>265</v>
      </c>
      <c r="K75" s="186" t="s">
        <v>24</v>
      </c>
      <c r="L75" s="238">
        <v>4900</v>
      </c>
      <c r="M75" s="187" t="s">
        <v>322</v>
      </c>
      <c r="N75" s="186" t="s">
        <v>211</v>
      </c>
      <c r="O75" s="178" t="s">
        <v>55</v>
      </c>
      <c r="P75" s="180">
        <v>45789.55196759259</v>
      </c>
      <c r="Q75" s="188">
        <f t="shared" ca="1" si="5"/>
        <v>335.44803240741021</v>
      </c>
    </row>
    <row r="76" spans="1:18" hidden="1">
      <c r="A76" s="222">
        <f t="shared" si="3"/>
        <v>74</v>
      </c>
      <c r="B76" s="223" t="s">
        <v>56</v>
      </c>
      <c r="C76" s="182" t="s">
        <v>323</v>
      </c>
      <c r="D76" s="182" t="s">
        <v>324</v>
      </c>
      <c r="E76" s="222">
        <v>3000</v>
      </c>
      <c r="F76" s="222">
        <v>135</v>
      </c>
      <c r="G76" s="222"/>
      <c r="H76" s="182">
        <v>0</v>
      </c>
      <c r="I76" s="182" t="s">
        <v>237</v>
      </c>
      <c r="J76" s="182" t="s">
        <v>265</v>
      </c>
      <c r="K76" s="182" t="s">
        <v>24</v>
      </c>
      <c r="L76" s="237" t="s">
        <v>133</v>
      </c>
      <c r="M76" s="183" t="s">
        <v>216</v>
      </c>
      <c r="N76" s="182" t="s">
        <v>165</v>
      </c>
      <c r="O76" s="178" t="s">
        <v>370</v>
      </c>
      <c r="P76" s="180"/>
      <c r="Q76" s="188">
        <f t="shared" ca="1" si="5"/>
        <v>46125</v>
      </c>
    </row>
    <row r="77" spans="1:18" hidden="1">
      <c r="A77" s="229">
        <f t="shared" si="3"/>
        <v>75</v>
      </c>
      <c r="B77" s="220" t="s">
        <v>56</v>
      </c>
      <c r="C77" s="186" t="s">
        <v>325</v>
      </c>
      <c r="D77" s="186" t="s">
        <v>326</v>
      </c>
      <c r="E77" s="229">
        <v>900</v>
      </c>
      <c r="F77" s="229">
        <v>2950</v>
      </c>
      <c r="G77" s="229">
        <v>143</v>
      </c>
      <c r="H77" s="186">
        <f t="shared" si="4"/>
        <v>128700</v>
      </c>
      <c r="I77" s="186" t="s">
        <v>294</v>
      </c>
      <c r="J77" s="186" t="s">
        <v>60</v>
      </c>
      <c r="K77" s="186" t="s">
        <v>22</v>
      </c>
      <c r="L77" s="238">
        <v>803</v>
      </c>
      <c r="M77" s="187" t="s">
        <v>802</v>
      </c>
      <c r="N77" s="186" t="s">
        <v>89</v>
      </c>
      <c r="O77" s="178" t="s">
        <v>55</v>
      </c>
      <c r="P77" s="180"/>
      <c r="Q77" s="188">
        <f t="shared" ca="1" si="5"/>
        <v>46125</v>
      </c>
    </row>
    <row r="78" spans="1:18" hidden="1">
      <c r="A78" s="229">
        <f t="shared" si="3"/>
        <v>76</v>
      </c>
      <c r="B78" s="220" t="s">
        <v>56</v>
      </c>
      <c r="C78" s="186" t="s">
        <v>329</v>
      </c>
      <c r="D78" s="186" t="s">
        <v>326</v>
      </c>
      <c r="E78" s="229">
        <v>900</v>
      </c>
      <c r="F78" s="229">
        <v>3500</v>
      </c>
      <c r="G78" s="229">
        <v>143</v>
      </c>
      <c r="H78" s="186">
        <f t="shared" si="4"/>
        <v>128700</v>
      </c>
      <c r="I78" s="186" t="s">
        <v>294</v>
      </c>
      <c r="J78" s="186" t="s">
        <v>60</v>
      </c>
      <c r="K78" s="186" t="s">
        <v>22</v>
      </c>
      <c r="L78" s="238">
        <v>718</v>
      </c>
      <c r="M78" s="187" t="s">
        <v>802</v>
      </c>
      <c r="N78" s="186" t="s">
        <v>89</v>
      </c>
      <c r="O78" s="178" t="s">
        <v>55</v>
      </c>
      <c r="P78" s="180"/>
      <c r="Q78" s="188">
        <f t="shared" ca="1" si="5"/>
        <v>46125</v>
      </c>
    </row>
    <row r="79" spans="1:18" hidden="1">
      <c r="A79" s="229">
        <f t="shared" si="3"/>
        <v>77</v>
      </c>
      <c r="B79" s="220" t="s">
        <v>330</v>
      </c>
      <c r="C79" s="186" t="s">
        <v>331</v>
      </c>
      <c r="D79" s="186" t="s">
        <v>332</v>
      </c>
      <c r="E79" s="229">
        <v>5000</v>
      </c>
      <c r="F79" s="229">
        <v>99</v>
      </c>
      <c r="G79" s="265">
        <v>11.5</v>
      </c>
      <c r="H79" s="186">
        <f t="shared" si="4"/>
        <v>57500</v>
      </c>
      <c r="I79" s="186" t="s">
        <v>51</v>
      </c>
      <c r="J79" s="186" t="s">
        <v>265</v>
      </c>
      <c r="K79" s="186" t="s">
        <v>24</v>
      </c>
      <c r="L79" s="238">
        <v>4914</v>
      </c>
      <c r="M79" s="187" t="s">
        <v>283</v>
      </c>
      <c r="N79" s="186" t="s">
        <v>211</v>
      </c>
      <c r="O79" s="178" t="s">
        <v>55</v>
      </c>
      <c r="P79" s="180">
        <v>45789.552974537037</v>
      </c>
      <c r="Q79" s="188">
        <f t="shared" ca="1" si="5"/>
        <v>335.44702546296321</v>
      </c>
      <c r="R79" s="181" t="s">
        <v>333</v>
      </c>
    </row>
    <row r="80" spans="1:18" hidden="1">
      <c r="A80" s="229">
        <f t="shared" si="3"/>
        <v>78</v>
      </c>
      <c r="B80" s="220" t="s">
        <v>330</v>
      </c>
      <c r="C80" s="186" t="s">
        <v>334</v>
      </c>
      <c r="D80" s="186" t="s">
        <v>335</v>
      </c>
      <c r="E80" s="229">
        <v>2500</v>
      </c>
      <c r="F80" s="229">
        <v>320</v>
      </c>
      <c r="G80" s="229">
        <v>30</v>
      </c>
      <c r="H80" s="186">
        <f t="shared" si="4"/>
        <v>75000</v>
      </c>
      <c r="I80" s="186" t="s">
        <v>336</v>
      </c>
      <c r="J80" s="186" t="s">
        <v>337</v>
      </c>
      <c r="K80" s="186" t="s">
        <v>24</v>
      </c>
      <c r="L80" s="238">
        <v>2453</v>
      </c>
      <c r="M80" s="187" t="s">
        <v>161</v>
      </c>
      <c r="N80" s="186" t="s">
        <v>54</v>
      </c>
      <c r="O80" s="178" t="s">
        <v>55</v>
      </c>
      <c r="P80" s="180">
        <v>45772.55059027778</v>
      </c>
      <c r="Q80" s="188">
        <f t="shared" ca="1" si="5"/>
        <v>352.44940972221957</v>
      </c>
    </row>
    <row r="81" spans="1:17" hidden="1">
      <c r="A81" s="229">
        <f t="shared" si="3"/>
        <v>79</v>
      </c>
      <c r="B81" s="220" t="s">
        <v>330</v>
      </c>
      <c r="C81" s="186" t="s">
        <v>338</v>
      </c>
      <c r="D81" s="186" t="s">
        <v>339</v>
      </c>
      <c r="E81" s="229">
        <v>750</v>
      </c>
      <c r="F81" s="229">
        <v>558</v>
      </c>
      <c r="G81" s="229">
        <v>45</v>
      </c>
      <c r="H81" s="186">
        <f t="shared" si="4"/>
        <v>33750</v>
      </c>
      <c r="I81" s="186" t="s">
        <v>340</v>
      </c>
      <c r="J81" s="186" t="s">
        <v>113</v>
      </c>
      <c r="K81" s="186" t="s">
        <v>9</v>
      </c>
      <c r="L81" s="238">
        <v>754</v>
      </c>
      <c r="M81" s="187" t="s">
        <v>803</v>
      </c>
      <c r="N81" s="186" t="s">
        <v>342</v>
      </c>
      <c r="O81" s="178" t="s">
        <v>55</v>
      </c>
      <c r="P81" s="180">
        <v>45825.635277777779</v>
      </c>
      <c r="Q81" s="188">
        <f t="shared" ca="1" si="5"/>
        <v>299.36472222222073</v>
      </c>
    </row>
    <row r="82" spans="1:17" hidden="1">
      <c r="A82" s="229">
        <f t="shared" si="3"/>
        <v>80</v>
      </c>
      <c r="B82" s="220" t="s">
        <v>330</v>
      </c>
      <c r="C82" s="186" t="s">
        <v>343</v>
      </c>
      <c r="D82" s="186" t="s">
        <v>344</v>
      </c>
      <c r="E82" s="229">
        <v>250</v>
      </c>
      <c r="F82" s="229">
        <v>3500</v>
      </c>
      <c r="G82" s="229">
        <v>155</v>
      </c>
      <c r="H82" s="186">
        <f t="shared" si="4"/>
        <v>38750</v>
      </c>
      <c r="I82" s="186" t="s">
        <v>125</v>
      </c>
      <c r="J82" s="186" t="s">
        <v>113</v>
      </c>
      <c r="K82" s="186" t="s">
        <v>9</v>
      </c>
      <c r="L82" s="238">
        <v>308</v>
      </c>
      <c r="M82" s="187" t="s">
        <v>804</v>
      </c>
      <c r="N82" s="186" t="s">
        <v>342</v>
      </c>
      <c r="O82" s="178" t="s">
        <v>55</v>
      </c>
      <c r="P82" s="180">
        <v>45801.629699074074</v>
      </c>
      <c r="Q82" s="188">
        <f t="shared" ca="1" si="5"/>
        <v>323.37030092592613</v>
      </c>
    </row>
    <row r="83" spans="1:17" hidden="1">
      <c r="A83" s="230">
        <f t="shared" si="3"/>
        <v>81</v>
      </c>
      <c r="B83" s="219" t="s">
        <v>330</v>
      </c>
      <c r="C83" s="190" t="s">
        <v>345</v>
      </c>
      <c r="D83" s="190" t="s">
        <v>346</v>
      </c>
      <c r="E83" s="230">
        <v>150</v>
      </c>
      <c r="F83" s="230">
        <v>2100</v>
      </c>
      <c r="G83" s="230">
        <v>190</v>
      </c>
      <c r="H83" s="190">
        <f t="shared" si="4"/>
        <v>28500</v>
      </c>
      <c r="I83" s="190" t="s">
        <v>347</v>
      </c>
      <c r="J83" s="190" t="s">
        <v>113</v>
      </c>
      <c r="K83" s="190" t="s">
        <v>9</v>
      </c>
      <c r="L83" s="239">
        <v>198</v>
      </c>
      <c r="M83" s="191" t="s">
        <v>55</v>
      </c>
      <c r="N83" s="190" t="s">
        <v>200</v>
      </c>
      <c r="O83" s="178" t="s">
        <v>55</v>
      </c>
      <c r="P83" s="180">
        <v>45759</v>
      </c>
      <c r="Q83" s="188">
        <f t="shared" ca="1" si="5"/>
        <v>366</v>
      </c>
    </row>
    <row r="84" spans="1:17" hidden="1">
      <c r="A84" s="229">
        <f t="shared" si="3"/>
        <v>82</v>
      </c>
      <c r="B84" s="220" t="s">
        <v>330</v>
      </c>
      <c r="C84" s="186" t="s">
        <v>348</v>
      </c>
      <c r="D84" s="186" t="s">
        <v>349</v>
      </c>
      <c r="E84" s="229">
        <v>100</v>
      </c>
      <c r="F84" s="229">
        <v>6800</v>
      </c>
      <c r="G84" s="229">
        <v>700</v>
      </c>
      <c r="H84" s="186">
        <f t="shared" si="4"/>
        <v>70000</v>
      </c>
      <c r="I84" s="186" t="s">
        <v>125</v>
      </c>
      <c r="J84" s="186" t="s">
        <v>60</v>
      </c>
      <c r="K84" s="186" t="s">
        <v>9</v>
      </c>
      <c r="L84" s="238">
        <v>98</v>
      </c>
      <c r="M84" s="187" t="s">
        <v>164</v>
      </c>
      <c r="N84" s="186" t="s">
        <v>200</v>
      </c>
      <c r="O84" s="178" t="s">
        <v>55</v>
      </c>
      <c r="P84" s="180">
        <v>45780.518483796295</v>
      </c>
      <c r="Q84" s="188">
        <f t="shared" ca="1" si="5"/>
        <v>344.48151620370481</v>
      </c>
    </row>
    <row r="85" spans="1:17" hidden="1">
      <c r="A85" s="229">
        <f t="shared" si="3"/>
        <v>83</v>
      </c>
      <c r="B85" s="220" t="s">
        <v>330</v>
      </c>
      <c r="C85" s="186" t="s">
        <v>350</v>
      </c>
      <c r="D85" s="186" t="s">
        <v>351</v>
      </c>
      <c r="E85" s="229">
        <v>5000</v>
      </c>
      <c r="F85" s="229">
        <v>85</v>
      </c>
      <c r="G85" s="265">
        <v>10.25</v>
      </c>
      <c r="H85" s="186">
        <f t="shared" si="4"/>
        <v>51250</v>
      </c>
      <c r="I85" s="186" t="s">
        <v>51</v>
      </c>
      <c r="J85" s="186" t="s">
        <v>265</v>
      </c>
      <c r="K85" s="186" t="s">
        <v>24</v>
      </c>
      <c r="L85" s="238">
        <v>4900</v>
      </c>
      <c r="M85" s="187" t="s">
        <v>805</v>
      </c>
      <c r="N85" s="186" t="s">
        <v>211</v>
      </c>
      <c r="O85" s="178" t="s">
        <v>55</v>
      </c>
      <c r="P85" s="180">
        <v>45812.522291666668</v>
      </c>
      <c r="Q85" s="188">
        <f t="shared" ca="1" si="5"/>
        <v>312.47770833333198</v>
      </c>
    </row>
    <row r="86" spans="1:17" hidden="1">
      <c r="A86" s="229">
        <f t="shared" si="3"/>
        <v>84</v>
      </c>
      <c r="B86" s="220" t="s">
        <v>330</v>
      </c>
      <c r="C86" s="186" t="s">
        <v>353</v>
      </c>
      <c r="D86" s="186" t="s">
        <v>354</v>
      </c>
      <c r="E86" s="229">
        <v>5000</v>
      </c>
      <c r="F86" s="229">
        <v>80</v>
      </c>
      <c r="G86" s="265">
        <v>10</v>
      </c>
      <c r="H86" s="186">
        <f t="shared" si="4"/>
        <v>50000</v>
      </c>
      <c r="I86" s="186" t="s">
        <v>51</v>
      </c>
      <c r="J86" s="186" t="s">
        <v>265</v>
      </c>
      <c r="K86" s="186" t="s">
        <v>24</v>
      </c>
      <c r="L86" s="238">
        <v>4945</v>
      </c>
      <c r="M86" s="187"/>
      <c r="N86" s="186" t="s">
        <v>211</v>
      </c>
      <c r="O86" s="178" t="s">
        <v>55</v>
      </c>
      <c r="P86" s="180">
        <v>45783.596678240741</v>
      </c>
      <c r="Q86" s="188">
        <f t="shared" ca="1" si="5"/>
        <v>341.40332175925869</v>
      </c>
    </row>
    <row r="87" spans="1:17" hidden="1">
      <c r="A87" s="229">
        <f t="shared" si="3"/>
        <v>85</v>
      </c>
      <c r="B87" s="220" t="s">
        <v>149</v>
      </c>
      <c r="C87" s="186" t="s">
        <v>356</v>
      </c>
      <c r="D87" s="186" t="s">
        <v>357</v>
      </c>
      <c r="E87" s="229">
        <v>300</v>
      </c>
      <c r="F87" s="229">
        <v>3600</v>
      </c>
      <c r="G87" s="229">
        <v>160</v>
      </c>
      <c r="H87" s="186">
        <f t="shared" si="4"/>
        <v>48000</v>
      </c>
      <c r="I87" s="186" t="s">
        <v>358</v>
      </c>
      <c r="J87" s="186" t="s">
        <v>60</v>
      </c>
      <c r="K87" s="186" t="s">
        <v>2</v>
      </c>
      <c r="L87" s="238">
        <v>300</v>
      </c>
      <c r="M87" s="187" t="s">
        <v>359</v>
      </c>
      <c r="N87" s="186" t="s">
        <v>200</v>
      </c>
      <c r="O87" s="178" t="s">
        <v>55</v>
      </c>
      <c r="P87" s="180">
        <v>45769.762430555558</v>
      </c>
      <c r="Q87" s="188">
        <f t="shared" ca="1" si="5"/>
        <v>355.23756944444176</v>
      </c>
    </row>
    <row r="88" spans="1:17" hidden="1">
      <c r="A88" s="230">
        <f t="shared" si="3"/>
        <v>86</v>
      </c>
      <c r="B88" s="219" t="s">
        <v>149</v>
      </c>
      <c r="C88" s="190" t="s">
        <v>360</v>
      </c>
      <c r="D88" s="190" t="s">
        <v>361</v>
      </c>
      <c r="E88" s="230">
        <v>300</v>
      </c>
      <c r="F88" s="230">
        <v>1470</v>
      </c>
      <c r="G88" s="230">
        <v>152</v>
      </c>
      <c r="H88" s="190">
        <f t="shared" si="4"/>
        <v>45600</v>
      </c>
      <c r="I88" s="190" t="s">
        <v>125</v>
      </c>
      <c r="J88" s="190" t="s">
        <v>87</v>
      </c>
      <c r="K88" s="190" t="s">
        <v>2</v>
      </c>
      <c r="L88" s="239">
        <v>304</v>
      </c>
      <c r="M88" s="191" t="s">
        <v>362</v>
      </c>
      <c r="N88" s="190" t="s">
        <v>200</v>
      </c>
      <c r="O88" s="178" t="s">
        <v>55</v>
      </c>
      <c r="P88" s="180">
        <v>45757</v>
      </c>
      <c r="Q88" s="188">
        <f t="shared" ca="1" si="5"/>
        <v>368</v>
      </c>
    </row>
    <row r="89" spans="1:17" hidden="1">
      <c r="A89" s="229">
        <f t="shared" si="3"/>
        <v>87</v>
      </c>
      <c r="B89" s="220" t="s">
        <v>149</v>
      </c>
      <c r="C89" s="186" t="s">
        <v>363</v>
      </c>
      <c r="D89" s="186" t="s">
        <v>364</v>
      </c>
      <c r="E89" s="229">
        <v>250</v>
      </c>
      <c r="F89" s="289" t="s">
        <v>806</v>
      </c>
      <c r="G89" s="229">
        <v>85</v>
      </c>
      <c r="H89" s="186">
        <f t="shared" si="4"/>
        <v>21250</v>
      </c>
      <c r="I89" s="186" t="s">
        <v>365</v>
      </c>
      <c r="J89" s="186" t="s">
        <v>100</v>
      </c>
      <c r="K89" s="186" t="s">
        <v>2</v>
      </c>
      <c r="L89" s="238">
        <v>245</v>
      </c>
      <c r="M89" s="187" t="s">
        <v>366</v>
      </c>
      <c r="N89" s="186" t="s">
        <v>200</v>
      </c>
      <c r="O89" s="178" t="s">
        <v>55</v>
      </c>
      <c r="P89" s="180">
        <v>45770.631562499999</v>
      </c>
      <c r="Q89" s="188">
        <f t="shared" ca="1" si="5"/>
        <v>354.36843750000116</v>
      </c>
    </row>
    <row r="90" spans="1:17" hidden="1">
      <c r="A90" s="222">
        <f t="shared" si="3"/>
        <v>88</v>
      </c>
      <c r="B90" s="223" t="s">
        <v>149</v>
      </c>
      <c r="C90" s="182" t="s">
        <v>367</v>
      </c>
      <c r="D90" s="182" t="s">
        <v>368</v>
      </c>
      <c r="E90" s="222">
        <v>300</v>
      </c>
      <c r="F90" s="222">
        <v>900</v>
      </c>
      <c r="G90" s="222"/>
      <c r="H90" s="182">
        <v>0</v>
      </c>
      <c r="I90" s="182" t="s">
        <v>358</v>
      </c>
      <c r="J90" s="182" t="s">
        <v>133</v>
      </c>
      <c r="K90" s="182" t="s">
        <v>2</v>
      </c>
      <c r="L90" s="237" t="s">
        <v>133</v>
      </c>
      <c r="M90" s="183" t="s">
        <v>369</v>
      </c>
      <c r="N90" s="182" t="s">
        <v>133</v>
      </c>
      <c r="O90" s="178" t="s">
        <v>370</v>
      </c>
      <c r="P90" s="180"/>
      <c r="Q90" s="188">
        <f t="shared" ca="1" si="5"/>
        <v>46125</v>
      </c>
    </row>
    <row r="91" spans="1:17" hidden="1">
      <c r="A91" s="229">
        <f t="shared" si="3"/>
        <v>89</v>
      </c>
      <c r="B91" s="220" t="s">
        <v>149</v>
      </c>
      <c r="C91" s="186" t="s">
        <v>371</v>
      </c>
      <c r="D91" s="186" t="s">
        <v>372</v>
      </c>
      <c r="E91" s="229">
        <v>500</v>
      </c>
      <c r="F91" s="229">
        <v>1300</v>
      </c>
      <c r="G91" s="229">
        <v>90</v>
      </c>
      <c r="H91" s="186">
        <f t="shared" si="4"/>
        <v>45000</v>
      </c>
      <c r="I91" s="186" t="s">
        <v>66</v>
      </c>
      <c r="J91" s="186" t="s">
        <v>60</v>
      </c>
      <c r="K91" s="186" t="s">
        <v>19</v>
      </c>
      <c r="L91" s="238" t="s">
        <v>133</v>
      </c>
      <c r="M91" s="187" t="s">
        <v>373</v>
      </c>
      <c r="N91" s="186" t="s">
        <v>374</v>
      </c>
      <c r="O91" s="178" t="s">
        <v>55</v>
      </c>
      <c r="P91" s="180">
        <v>45771.537453703706</v>
      </c>
      <c r="Q91" s="188">
        <f t="shared" ca="1" si="5"/>
        <v>353.46254629629402</v>
      </c>
    </row>
    <row r="92" spans="1:17" hidden="1">
      <c r="A92" s="230">
        <f t="shared" si="3"/>
        <v>90</v>
      </c>
      <c r="B92" s="219" t="s">
        <v>149</v>
      </c>
      <c r="C92" s="190" t="s">
        <v>375</v>
      </c>
      <c r="D92" s="190" t="s">
        <v>376</v>
      </c>
      <c r="E92" s="230">
        <v>300</v>
      </c>
      <c r="F92" s="230">
        <v>1300</v>
      </c>
      <c r="G92" s="230">
        <v>90</v>
      </c>
      <c r="H92" s="190">
        <f t="shared" si="4"/>
        <v>27000</v>
      </c>
      <c r="I92" s="190" t="s">
        <v>66</v>
      </c>
      <c r="J92" s="190" t="s">
        <v>60</v>
      </c>
      <c r="K92" s="190" t="s">
        <v>19</v>
      </c>
      <c r="L92" s="239">
        <v>294</v>
      </c>
      <c r="M92" s="191" t="s">
        <v>55</v>
      </c>
      <c r="N92" s="190" t="s">
        <v>200</v>
      </c>
      <c r="O92" s="178" t="s">
        <v>55</v>
      </c>
      <c r="P92" s="180">
        <v>45758</v>
      </c>
      <c r="Q92" s="188">
        <f t="shared" ca="1" si="5"/>
        <v>367</v>
      </c>
    </row>
    <row r="93" spans="1:17" hidden="1">
      <c r="A93" s="230">
        <f t="shared" si="3"/>
        <v>91</v>
      </c>
      <c r="B93" s="219" t="s">
        <v>149</v>
      </c>
      <c r="C93" s="190" t="s">
        <v>377</v>
      </c>
      <c r="D93" s="190" t="s">
        <v>378</v>
      </c>
      <c r="E93" s="230">
        <v>300</v>
      </c>
      <c r="F93" s="230">
        <v>1100</v>
      </c>
      <c r="G93" s="230">
        <v>69</v>
      </c>
      <c r="H93" s="190">
        <f t="shared" si="4"/>
        <v>20700</v>
      </c>
      <c r="I93" s="190" t="s">
        <v>66</v>
      </c>
      <c r="J93" s="190" t="s">
        <v>60</v>
      </c>
      <c r="K93" s="190" t="s">
        <v>4</v>
      </c>
      <c r="L93" s="239">
        <v>303</v>
      </c>
      <c r="M93" s="191" t="s">
        <v>55</v>
      </c>
      <c r="N93" s="190" t="s">
        <v>76</v>
      </c>
      <c r="O93" s="178" t="s">
        <v>55</v>
      </c>
      <c r="P93" s="180" t="s">
        <v>379</v>
      </c>
      <c r="Q93" s="188">
        <f t="shared" ca="1" si="5"/>
        <v>362.29791666667006</v>
      </c>
    </row>
    <row r="94" spans="1:17" hidden="1">
      <c r="A94" s="229">
        <f t="shared" si="3"/>
        <v>92</v>
      </c>
      <c r="B94" s="220" t="s">
        <v>149</v>
      </c>
      <c r="C94" s="186" t="s">
        <v>380</v>
      </c>
      <c r="D94" s="186" t="s">
        <v>381</v>
      </c>
      <c r="E94" s="229">
        <v>300</v>
      </c>
      <c r="F94" s="229">
        <v>1250</v>
      </c>
      <c r="G94" s="229">
        <v>72</v>
      </c>
      <c r="H94" s="186">
        <f t="shared" si="4"/>
        <v>21600</v>
      </c>
      <c r="I94" s="186" t="s">
        <v>125</v>
      </c>
      <c r="J94" s="186" t="s">
        <v>113</v>
      </c>
      <c r="K94" s="186" t="s">
        <v>19</v>
      </c>
      <c r="L94" s="238">
        <v>299</v>
      </c>
      <c r="M94" s="187" t="s">
        <v>382</v>
      </c>
      <c r="N94" s="186" t="s">
        <v>342</v>
      </c>
      <c r="O94" s="178" t="s">
        <v>55</v>
      </c>
      <c r="P94" s="180">
        <v>45789.554178240738</v>
      </c>
      <c r="Q94" s="188">
        <f t="shared" ca="1" si="5"/>
        <v>335.44582175926189</v>
      </c>
    </row>
    <row r="95" spans="1:17" hidden="1">
      <c r="A95" s="229">
        <f t="shared" si="3"/>
        <v>93</v>
      </c>
      <c r="B95" s="220" t="s">
        <v>149</v>
      </c>
      <c r="C95" s="186" t="s">
        <v>383</v>
      </c>
      <c r="D95" s="186" t="s">
        <v>384</v>
      </c>
      <c r="E95" s="229">
        <v>2000</v>
      </c>
      <c r="F95" s="229">
        <v>89.62</v>
      </c>
      <c r="G95" s="265">
        <v>27.5</v>
      </c>
      <c r="H95" s="186">
        <f t="shared" si="4"/>
        <v>55000</v>
      </c>
      <c r="I95" s="186" t="s">
        <v>227</v>
      </c>
      <c r="J95" s="186" t="s">
        <v>385</v>
      </c>
      <c r="K95" s="186" t="s">
        <v>20</v>
      </c>
      <c r="L95" s="238">
        <v>2452</v>
      </c>
      <c r="M95" s="187" t="s">
        <v>807</v>
      </c>
      <c r="N95" s="186" t="s">
        <v>211</v>
      </c>
      <c r="O95" s="178" t="s">
        <v>55</v>
      </c>
      <c r="P95" s="180">
        <v>45813.447372685187</v>
      </c>
      <c r="Q95" s="188">
        <f t="shared" ca="1" si="5"/>
        <v>311.55262731481344</v>
      </c>
    </row>
    <row r="96" spans="1:17" hidden="1">
      <c r="A96" s="230">
        <f t="shared" si="3"/>
        <v>94</v>
      </c>
      <c r="B96" s="219" t="s">
        <v>149</v>
      </c>
      <c r="C96" s="190" t="s">
        <v>387</v>
      </c>
      <c r="D96" s="190" t="s">
        <v>388</v>
      </c>
      <c r="E96" s="230">
        <v>500</v>
      </c>
      <c r="F96" s="230">
        <v>1350</v>
      </c>
      <c r="G96" s="230">
        <v>100</v>
      </c>
      <c r="H96" s="190">
        <f t="shared" si="4"/>
        <v>50000</v>
      </c>
      <c r="I96" s="190" t="s">
        <v>59</v>
      </c>
      <c r="J96" s="190" t="s">
        <v>87</v>
      </c>
      <c r="K96" s="190" t="s">
        <v>21</v>
      </c>
      <c r="L96" s="239">
        <v>492</v>
      </c>
      <c r="M96" s="191" t="s">
        <v>373</v>
      </c>
      <c r="N96" s="190" t="s">
        <v>89</v>
      </c>
      <c r="O96" s="178" t="s">
        <v>55</v>
      </c>
      <c r="P96" s="180" t="s">
        <v>389</v>
      </c>
      <c r="Q96" s="188">
        <f t="shared" ca="1" si="5"/>
        <v>360.43888888888614</v>
      </c>
    </row>
    <row r="97" spans="1:17" hidden="1">
      <c r="A97" s="247">
        <f t="shared" si="3"/>
        <v>95</v>
      </c>
      <c r="B97" s="244" t="s">
        <v>149</v>
      </c>
      <c r="C97" s="246" t="s">
        <v>390</v>
      </c>
      <c r="D97" s="246" t="s">
        <v>391</v>
      </c>
      <c r="E97" s="247">
        <v>2000</v>
      </c>
      <c r="F97" s="247">
        <v>390</v>
      </c>
      <c r="G97" s="247">
        <v>53</v>
      </c>
      <c r="H97" s="246">
        <f t="shared" si="4"/>
        <v>106000</v>
      </c>
      <c r="I97" s="246" t="s">
        <v>237</v>
      </c>
      <c r="J97" s="246" t="s">
        <v>265</v>
      </c>
      <c r="K97" s="246" t="s">
        <v>21</v>
      </c>
      <c r="L97" s="248">
        <v>1950</v>
      </c>
      <c r="M97" s="249" t="s">
        <v>808</v>
      </c>
      <c r="N97" s="246" t="s">
        <v>89</v>
      </c>
      <c r="O97" s="178" t="s">
        <v>55</v>
      </c>
      <c r="P97" s="180">
        <v>45748</v>
      </c>
      <c r="Q97" s="188">
        <f t="shared" ca="1" si="5"/>
        <v>377</v>
      </c>
    </row>
    <row r="98" spans="1:17" hidden="1">
      <c r="A98" s="229">
        <f t="shared" si="3"/>
        <v>96</v>
      </c>
      <c r="B98" s="220" t="s">
        <v>149</v>
      </c>
      <c r="C98" s="186" t="s">
        <v>393</v>
      </c>
      <c r="D98" s="186" t="s">
        <v>394</v>
      </c>
      <c r="E98" s="229">
        <v>2000</v>
      </c>
      <c r="F98" s="229">
        <v>115</v>
      </c>
      <c r="G98" s="265">
        <v>14.2</v>
      </c>
      <c r="H98" s="186">
        <f t="shared" si="4"/>
        <v>28400</v>
      </c>
      <c r="I98" s="186" t="s">
        <v>227</v>
      </c>
      <c r="J98" s="186" t="s">
        <v>228</v>
      </c>
      <c r="K98" s="186" t="s">
        <v>22</v>
      </c>
      <c r="L98" s="238">
        <v>2000</v>
      </c>
      <c r="M98" s="187" t="s">
        <v>809</v>
      </c>
      <c r="N98" s="186" t="s">
        <v>211</v>
      </c>
      <c r="O98" s="178" t="s">
        <v>55</v>
      </c>
      <c r="P98" s="180">
        <v>45812.530092592591</v>
      </c>
      <c r="Q98" s="188">
        <f t="shared" ca="1" si="5"/>
        <v>312.46990740740875</v>
      </c>
    </row>
    <row r="99" spans="1:17" hidden="1">
      <c r="A99" s="229">
        <f t="shared" si="3"/>
        <v>97</v>
      </c>
      <c r="B99" s="220" t="s">
        <v>149</v>
      </c>
      <c r="C99" s="186" t="s">
        <v>396</v>
      </c>
      <c r="D99" s="186" t="s">
        <v>397</v>
      </c>
      <c r="E99" s="229">
        <v>2000</v>
      </c>
      <c r="F99" s="229">
        <v>190</v>
      </c>
      <c r="G99" s="265">
        <v>18.5</v>
      </c>
      <c r="H99" s="186">
        <f t="shared" si="4"/>
        <v>37000</v>
      </c>
      <c r="I99" s="186" t="s">
        <v>227</v>
      </c>
      <c r="J99" s="186" t="s">
        <v>228</v>
      </c>
      <c r="K99" s="186" t="s">
        <v>22</v>
      </c>
      <c r="L99" s="238">
        <v>2000</v>
      </c>
      <c r="M99" s="187" t="s">
        <v>809</v>
      </c>
      <c r="N99" s="186" t="s">
        <v>398</v>
      </c>
      <c r="O99" s="178" t="s">
        <v>55</v>
      </c>
      <c r="P99" s="180">
        <v>45812.531111111108</v>
      </c>
      <c r="Q99" s="188">
        <f t="shared" ca="1" si="5"/>
        <v>312.46888888889225</v>
      </c>
    </row>
    <row r="100" spans="1:17" hidden="1">
      <c r="A100" s="229">
        <f t="shared" si="3"/>
        <v>98</v>
      </c>
      <c r="B100" s="220">
        <v>45722</v>
      </c>
      <c r="C100" s="186" t="s">
        <v>402</v>
      </c>
      <c r="D100" s="186" t="s">
        <v>403</v>
      </c>
      <c r="E100" s="229">
        <v>2000</v>
      </c>
      <c r="F100" s="229" t="s">
        <v>231</v>
      </c>
      <c r="G100" s="229">
        <v>14</v>
      </c>
      <c r="H100" s="186">
        <f t="shared" ref="H100:H101" si="6">IF(G100="","",E100*G100)</f>
        <v>28000</v>
      </c>
      <c r="I100" s="186" t="s">
        <v>227</v>
      </c>
      <c r="J100" s="186" t="s">
        <v>228</v>
      </c>
      <c r="K100" s="186" t="s">
        <v>22</v>
      </c>
      <c r="L100" s="238">
        <v>2000</v>
      </c>
      <c r="M100" s="187" t="s">
        <v>810</v>
      </c>
      <c r="N100" s="186" t="s">
        <v>398</v>
      </c>
      <c r="O100" s="178" t="s">
        <v>55</v>
      </c>
      <c r="P100" s="180">
        <v>45793.748472222222</v>
      </c>
      <c r="Q100" s="188">
        <f t="shared" ref="Q100:Q101" ca="1" si="7">TODAY()-P100</f>
        <v>331.25152777777839</v>
      </c>
    </row>
    <row r="101" spans="1:17" hidden="1">
      <c r="A101" s="229">
        <f t="shared" si="3"/>
        <v>99</v>
      </c>
      <c r="B101" s="220" t="s">
        <v>149</v>
      </c>
      <c r="C101" s="186" t="s">
        <v>405</v>
      </c>
      <c r="D101" s="186" t="s">
        <v>406</v>
      </c>
      <c r="E101" s="229">
        <v>2000</v>
      </c>
      <c r="F101" s="229" t="s">
        <v>231</v>
      </c>
      <c r="G101" s="265">
        <v>18.5</v>
      </c>
      <c r="H101" s="186">
        <f t="shared" si="6"/>
        <v>37000</v>
      </c>
      <c r="I101" s="186" t="s">
        <v>227</v>
      </c>
      <c r="J101" s="186" t="s">
        <v>228</v>
      </c>
      <c r="K101" s="186" t="s">
        <v>22</v>
      </c>
      <c r="L101" s="238">
        <v>2000</v>
      </c>
      <c r="M101" s="187" t="s">
        <v>810</v>
      </c>
      <c r="N101" s="186" t="s">
        <v>398</v>
      </c>
      <c r="O101" s="178" t="s">
        <v>55</v>
      </c>
      <c r="P101" s="180">
        <v>45793.750381944446</v>
      </c>
      <c r="Q101" s="188">
        <f t="shared" ca="1" si="7"/>
        <v>331.24961805555358</v>
      </c>
    </row>
    <row r="102" spans="1:17" hidden="1">
      <c r="A102" s="229">
        <f t="shared" si="3"/>
        <v>100</v>
      </c>
      <c r="B102" s="220" t="s">
        <v>149</v>
      </c>
      <c r="C102" s="186" t="s">
        <v>811</v>
      </c>
      <c r="D102" s="186" t="s">
        <v>812</v>
      </c>
      <c r="E102" s="229">
        <v>2000</v>
      </c>
      <c r="F102" s="229">
        <v>85</v>
      </c>
      <c r="G102" s="265">
        <v>15.25</v>
      </c>
      <c r="H102" s="186">
        <f t="shared" si="4"/>
        <v>30500</v>
      </c>
      <c r="I102" s="186" t="s">
        <v>227</v>
      </c>
      <c r="J102" s="186" t="s">
        <v>228</v>
      </c>
      <c r="K102" s="186" t="s">
        <v>22</v>
      </c>
      <c r="L102" s="238">
        <v>2000</v>
      </c>
      <c r="M102" s="187" t="s">
        <v>810</v>
      </c>
      <c r="N102" s="186" t="s">
        <v>398</v>
      </c>
      <c r="O102" s="178" t="s">
        <v>55</v>
      </c>
      <c r="P102" s="180">
        <v>45793.752476851849</v>
      </c>
      <c r="Q102" s="188">
        <f t="shared" ca="1" si="5"/>
        <v>331.24752314815123</v>
      </c>
    </row>
    <row r="103" spans="1:17" s="245" customFormat="1" hidden="1">
      <c r="A103" s="371">
        <f t="shared" si="3"/>
        <v>101</v>
      </c>
      <c r="B103" s="372" t="s">
        <v>407</v>
      </c>
      <c r="C103" s="373" t="s">
        <v>408</v>
      </c>
      <c r="D103" s="373" t="s">
        <v>813</v>
      </c>
      <c r="E103" s="371">
        <v>300</v>
      </c>
      <c r="F103" s="371">
        <v>900</v>
      </c>
      <c r="G103" s="371">
        <v>125</v>
      </c>
      <c r="H103" s="373">
        <f t="shared" si="4"/>
        <v>37500</v>
      </c>
      <c r="I103" s="373" t="s">
        <v>409</v>
      </c>
      <c r="J103" s="373" t="s">
        <v>60</v>
      </c>
      <c r="K103" s="373" t="s">
        <v>2</v>
      </c>
      <c r="L103" s="374" t="s">
        <v>133</v>
      </c>
      <c r="M103" s="295" t="s">
        <v>814</v>
      </c>
      <c r="N103" s="373" t="s">
        <v>342</v>
      </c>
      <c r="O103" s="373" t="s">
        <v>55</v>
      </c>
      <c r="P103" s="375">
        <v>45790</v>
      </c>
      <c r="Q103" s="376">
        <f t="shared" ca="1" si="5"/>
        <v>335</v>
      </c>
    </row>
    <row r="104" spans="1:17" hidden="1">
      <c r="A104" s="229">
        <f t="shared" si="3"/>
        <v>102</v>
      </c>
      <c r="B104" s="220">
        <v>45717</v>
      </c>
      <c r="C104" s="186" t="s">
        <v>412</v>
      </c>
      <c r="D104" s="186" t="s">
        <v>413</v>
      </c>
      <c r="E104" s="229">
        <v>300</v>
      </c>
      <c r="F104" s="229">
        <v>2240</v>
      </c>
      <c r="G104" s="229">
        <v>325</v>
      </c>
      <c r="H104" s="186">
        <f t="shared" si="4"/>
        <v>97500</v>
      </c>
      <c r="I104" s="186" t="s">
        <v>66</v>
      </c>
      <c r="J104" s="186" t="s">
        <v>60</v>
      </c>
      <c r="K104" s="186" t="s">
        <v>7</v>
      </c>
      <c r="L104" s="238">
        <v>294</v>
      </c>
      <c r="M104" s="187" t="s">
        <v>355</v>
      </c>
      <c r="N104" s="186" t="s">
        <v>211</v>
      </c>
      <c r="O104" s="178" t="s">
        <v>55</v>
      </c>
      <c r="P104" s="180">
        <v>45783.600254629629</v>
      </c>
      <c r="Q104" s="188">
        <f t="shared" ca="1" si="5"/>
        <v>341.39974537037051</v>
      </c>
    </row>
    <row r="105" spans="1:17" hidden="1">
      <c r="A105" s="229">
        <f t="shared" si="3"/>
        <v>103</v>
      </c>
      <c r="B105" s="220">
        <v>45717</v>
      </c>
      <c r="C105" s="186" t="s">
        <v>414</v>
      </c>
      <c r="D105" s="186" t="s">
        <v>415</v>
      </c>
      <c r="E105" s="229">
        <v>500</v>
      </c>
      <c r="F105" s="229">
        <v>2100</v>
      </c>
      <c r="G105" s="229">
        <v>384</v>
      </c>
      <c r="H105" s="186">
        <f t="shared" si="4"/>
        <v>192000</v>
      </c>
      <c r="I105" s="186" t="s">
        <v>416</v>
      </c>
      <c r="J105" s="186" t="s">
        <v>60</v>
      </c>
      <c r="K105" s="186" t="s">
        <v>7</v>
      </c>
      <c r="L105" s="238">
        <v>492</v>
      </c>
      <c r="M105" s="187" t="s">
        <v>355</v>
      </c>
      <c r="N105" s="186" t="s">
        <v>211</v>
      </c>
      <c r="O105" s="178" t="s">
        <v>55</v>
      </c>
      <c r="P105" s="180">
        <v>45783.59815972222</v>
      </c>
      <c r="Q105" s="188">
        <f t="shared" ca="1" si="5"/>
        <v>341.40184027778014</v>
      </c>
    </row>
    <row r="106" spans="1:17" hidden="1">
      <c r="A106" s="229">
        <f t="shared" si="3"/>
        <v>104</v>
      </c>
      <c r="B106" s="220">
        <v>45719</v>
      </c>
      <c r="C106" s="186" t="s">
        <v>417</v>
      </c>
      <c r="D106" s="186" t="s">
        <v>418</v>
      </c>
      <c r="E106" s="229">
        <v>300</v>
      </c>
      <c r="F106" s="229">
        <v>2450</v>
      </c>
      <c r="G106" s="229">
        <v>210</v>
      </c>
      <c r="H106" s="186">
        <f t="shared" si="4"/>
        <v>63000</v>
      </c>
      <c r="I106" s="186" t="s">
        <v>66</v>
      </c>
      <c r="J106" s="186" t="s">
        <v>60</v>
      </c>
      <c r="K106" s="186" t="s">
        <v>26</v>
      </c>
      <c r="L106" s="238">
        <v>296</v>
      </c>
      <c r="M106" s="187" t="s">
        <v>419</v>
      </c>
      <c r="N106" s="186" t="s">
        <v>76</v>
      </c>
      <c r="O106" s="178" t="s">
        <v>55</v>
      </c>
      <c r="P106" s="180">
        <v>45784.719050925924</v>
      </c>
      <c r="Q106" s="188">
        <f t="shared" ca="1" si="5"/>
        <v>340.28094907407649</v>
      </c>
    </row>
    <row r="107" spans="1:17" ht="15.75" hidden="1">
      <c r="A107" s="230">
        <f t="shared" si="3"/>
        <v>105</v>
      </c>
      <c r="B107" s="220">
        <v>45719</v>
      </c>
      <c r="C107" s="190" t="s">
        <v>420</v>
      </c>
      <c r="D107" s="197" t="s">
        <v>421</v>
      </c>
      <c r="E107" s="230">
        <v>2000</v>
      </c>
      <c r="F107" s="230">
        <v>105</v>
      </c>
      <c r="G107" s="230">
        <v>16</v>
      </c>
      <c r="H107" s="190">
        <f t="shared" si="4"/>
        <v>32000</v>
      </c>
      <c r="I107" s="190" t="s">
        <v>237</v>
      </c>
      <c r="J107" s="190" t="s">
        <v>265</v>
      </c>
      <c r="K107" s="190" t="s">
        <v>1</v>
      </c>
      <c r="L107" s="239">
        <v>2019</v>
      </c>
      <c r="M107" s="191" t="s">
        <v>88</v>
      </c>
      <c r="N107" s="190" t="s">
        <v>422</v>
      </c>
      <c r="O107" s="178" t="s">
        <v>55</v>
      </c>
      <c r="P107" s="180" t="s">
        <v>90</v>
      </c>
      <c r="Q107" s="188">
        <f t="shared" ca="1" si="5"/>
        <v>382</v>
      </c>
    </row>
    <row r="108" spans="1:17" s="245" customFormat="1" ht="15.75" hidden="1">
      <c r="A108" s="247">
        <f t="shared" si="3"/>
        <v>106</v>
      </c>
      <c r="B108" s="244">
        <v>45719</v>
      </c>
      <c r="C108" s="246" t="s">
        <v>423</v>
      </c>
      <c r="D108" s="273" t="s">
        <v>424</v>
      </c>
      <c r="E108" s="247">
        <v>5000</v>
      </c>
      <c r="F108" s="247">
        <v>90</v>
      </c>
      <c r="G108" s="247">
        <v>9</v>
      </c>
      <c r="H108" s="246">
        <f t="shared" si="4"/>
        <v>45000</v>
      </c>
      <c r="I108" s="246" t="s">
        <v>425</v>
      </c>
      <c r="J108" s="246" t="s">
        <v>144</v>
      </c>
      <c r="K108" s="246" t="s">
        <v>26</v>
      </c>
      <c r="L108" s="248">
        <v>4700</v>
      </c>
      <c r="M108" s="249"/>
      <c r="N108" s="246" t="s">
        <v>422</v>
      </c>
      <c r="O108" s="246" t="s">
        <v>55</v>
      </c>
      <c r="P108" s="328">
        <v>45864</v>
      </c>
      <c r="Q108" s="327">
        <f t="shared" ca="1" si="5"/>
        <v>261</v>
      </c>
    </row>
    <row r="109" spans="1:17" ht="15.75" hidden="1">
      <c r="A109" s="229">
        <f t="shared" si="3"/>
        <v>107</v>
      </c>
      <c r="B109" s="220">
        <v>45719</v>
      </c>
      <c r="C109" s="186" t="s">
        <v>427</v>
      </c>
      <c r="D109" s="198" t="s">
        <v>428</v>
      </c>
      <c r="E109" s="229">
        <v>500</v>
      </c>
      <c r="F109" s="229">
        <v>980</v>
      </c>
      <c r="G109" s="229">
        <v>50</v>
      </c>
      <c r="H109" s="186">
        <f t="shared" si="4"/>
        <v>25000</v>
      </c>
      <c r="I109" s="186" t="s">
        <v>59</v>
      </c>
      <c r="J109" s="186" t="s">
        <v>60</v>
      </c>
      <c r="K109" s="186" t="s">
        <v>26</v>
      </c>
      <c r="L109" s="238">
        <v>448</v>
      </c>
      <c r="M109" s="187" t="s">
        <v>419</v>
      </c>
      <c r="N109" s="186" t="s">
        <v>429</v>
      </c>
      <c r="O109" s="178" t="s">
        <v>55</v>
      </c>
      <c r="P109" s="180">
        <v>45784.717893518522</v>
      </c>
      <c r="Q109" s="188">
        <f t="shared" ca="1" si="5"/>
        <v>340.28210648147797</v>
      </c>
    </row>
    <row r="110" spans="1:17" ht="15.75" hidden="1">
      <c r="A110" s="230">
        <f t="shared" si="3"/>
        <v>108</v>
      </c>
      <c r="B110" s="219">
        <v>45719</v>
      </c>
      <c r="C110" s="190" t="s">
        <v>430</v>
      </c>
      <c r="D110" s="197" t="s">
        <v>431</v>
      </c>
      <c r="E110" s="230">
        <v>600</v>
      </c>
      <c r="F110" s="230">
        <v>310</v>
      </c>
      <c r="G110" s="230">
        <v>48</v>
      </c>
      <c r="H110" s="190">
        <f t="shared" si="4"/>
        <v>28800</v>
      </c>
      <c r="I110" s="190" t="s">
        <v>432</v>
      </c>
      <c r="J110" s="190" t="s">
        <v>433</v>
      </c>
      <c r="K110" s="190" t="s">
        <v>13</v>
      </c>
      <c r="L110" s="239">
        <v>620</v>
      </c>
      <c r="M110" s="191" t="s">
        <v>181</v>
      </c>
      <c r="N110" s="190" t="s">
        <v>374</v>
      </c>
      <c r="O110" s="178" t="s">
        <v>55</v>
      </c>
      <c r="P110" s="180" t="s">
        <v>434</v>
      </c>
      <c r="Q110" s="188">
        <f t="shared" ca="1" si="5"/>
        <v>359.53888888889196</v>
      </c>
    </row>
    <row r="111" spans="1:17" s="196" customFormat="1" ht="15.75" hidden="1">
      <c r="A111" s="230">
        <f t="shared" si="3"/>
        <v>109</v>
      </c>
      <c r="B111" s="219">
        <v>45719</v>
      </c>
      <c r="C111" s="189" t="s">
        <v>435</v>
      </c>
      <c r="D111" s="199" t="s">
        <v>431</v>
      </c>
      <c r="E111" s="230">
        <v>600</v>
      </c>
      <c r="F111" s="230">
        <v>390</v>
      </c>
      <c r="G111" s="230">
        <v>48</v>
      </c>
      <c r="H111" s="189">
        <f t="shared" si="4"/>
        <v>28800</v>
      </c>
      <c r="I111" s="189" t="s">
        <v>432</v>
      </c>
      <c r="J111" s="189" t="s">
        <v>433</v>
      </c>
      <c r="K111" s="189" t="s">
        <v>13</v>
      </c>
      <c r="L111" s="240" t="s">
        <v>436</v>
      </c>
      <c r="M111" s="194" t="s">
        <v>181</v>
      </c>
      <c r="N111" s="189" t="s">
        <v>374</v>
      </c>
      <c r="O111" s="195" t="s">
        <v>55</v>
      </c>
      <c r="P111" s="200" t="s">
        <v>434</v>
      </c>
      <c r="Q111" s="188">
        <f t="shared" ca="1" si="5"/>
        <v>359.53888888889196</v>
      </c>
    </row>
    <row r="112" spans="1:17" s="245" customFormat="1" ht="15.75" hidden="1">
      <c r="A112" s="247">
        <f t="shared" si="3"/>
        <v>110</v>
      </c>
      <c r="B112" s="244">
        <v>45722</v>
      </c>
      <c r="C112" s="246" t="s">
        <v>437</v>
      </c>
      <c r="D112" s="273" t="s">
        <v>438</v>
      </c>
      <c r="E112" s="247">
        <v>150</v>
      </c>
      <c r="F112" s="247">
        <v>4900</v>
      </c>
      <c r="G112" s="247">
        <v>550</v>
      </c>
      <c r="H112" s="246">
        <f t="shared" si="4"/>
        <v>82500</v>
      </c>
      <c r="I112" s="246" t="s">
        <v>286</v>
      </c>
      <c r="J112" s="246" t="s">
        <v>60</v>
      </c>
      <c r="K112" s="246" t="s">
        <v>26</v>
      </c>
      <c r="L112" s="248" t="s">
        <v>133</v>
      </c>
      <c r="M112" s="249" t="s">
        <v>426</v>
      </c>
      <c r="N112" s="246" t="s">
        <v>439</v>
      </c>
      <c r="O112" s="246" t="s">
        <v>55</v>
      </c>
      <c r="P112" s="328">
        <v>45874</v>
      </c>
      <c r="Q112" s="327">
        <f t="shared" ca="1" si="5"/>
        <v>251</v>
      </c>
    </row>
    <row r="113" spans="1:18" hidden="1">
      <c r="A113" s="229">
        <f t="shared" si="3"/>
        <v>111</v>
      </c>
      <c r="B113" s="220" t="s">
        <v>440</v>
      </c>
      <c r="C113" s="186" t="s">
        <v>441</v>
      </c>
      <c r="D113" s="186" t="s">
        <v>815</v>
      </c>
      <c r="E113" s="229">
        <v>1200</v>
      </c>
      <c r="F113" s="229">
        <v>132</v>
      </c>
      <c r="G113" s="265">
        <v>14.5</v>
      </c>
      <c r="H113" s="186">
        <f t="shared" si="4"/>
        <v>17400</v>
      </c>
      <c r="I113" s="186" t="s">
        <v>264</v>
      </c>
      <c r="J113" s="186" t="s">
        <v>265</v>
      </c>
      <c r="K113" s="186" t="s">
        <v>20</v>
      </c>
      <c r="L113" s="238">
        <v>1585</v>
      </c>
      <c r="M113" s="187" t="s">
        <v>816</v>
      </c>
      <c r="N113" s="186" t="s">
        <v>133</v>
      </c>
      <c r="O113" s="178" t="s">
        <v>55</v>
      </c>
      <c r="P113" s="180">
        <v>45793.735266203701</v>
      </c>
      <c r="Q113" s="188">
        <f t="shared" ca="1" si="5"/>
        <v>331.26473379629897</v>
      </c>
    </row>
    <row r="114" spans="1:18" hidden="1">
      <c r="A114" s="247">
        <f t="shared" si="3"/>
        <v>112</v>
      </c>
      <c r="B114" s="244">
        <v>45722</v>
      </c>
      <c r="C114" s="246" t="s">
        <v>444</v>
      </c>
      <c r="D114" s="246" t="s">
        <v>445</v>
      </c>
      <c r="E114" s="247">
        <v>300</v>
      </c>
      <c r="F114" s="247">
        <v>890</v>
      </c>
      <c r="G114" s="247">
        <v>82</v>
      </c>
      <c r="H114" s="246">
        <f t="shared" si="4"/>
        <v>24600</v>
      </c>
      <c r="I114" s="246" t="s">
        <v>59</v>
      </c>
      <c r="J114" s="246" t="s">
        <v>60</v>
      </c>
      <c r="K114" s="246" t="s">
        <v>4</v>
      </c>
      <c r="L114" s="248">
        <v>285</v>
      </c>
      <c r="M114" s="249" t="s">
        <v>446</v>
      </c>
      <c r="N114" s="246" t="s">
        <v>211</v>
      </c>
      <c r="O114" s="178" t="s">
        <v>55</v>
      </c>
      <c r="P114" s="180">
        <v>45832</v>
      </c>
      <c r="Q114" s="188">
        <f t="shared" ca="1" si="5"/>
        <v>293</v>
      </c>
    </row>
    <row r="115" spans="1:18" hidden="1">
      <c r="A115" s="230">
        <f t="shared" si="3"/>
        <v>113</v>
      </c>
      <c r="B115" s="219">
        <v>45811</v>
      </c>
      <c r="C115" s="190" t="s">
        <v>448</v>
      </c>
      <c r="D115" s="190" t="s">
        <v>449</v>
      </c>
      <c r="E115" s="230">
        <v>300</v>
      </c>
      <c r="F115" s="230">
        <v>1450</v>
      </c>
      <c r="G115" s="230">
        <v>150</v>
      </c>
      <c r="H115" s="190">
        <f t="shared" si="4"/>
        <v>45000</v>
      </c>
      <c r="I115" s="190" t="s">
        <v>59</v>
      </c>
      <c r="J115" s="190" t="s">
        <v>60</v>
      </c>
      <c r="K115" s="190" t="s">
        <v>4</v>
      </c>
      <c r="L115" s="239">
        <v>307</v>
      </c>
      <c r="M115" s="191" t="s">
        <v>450</v>
      </c>
      <c r="N115" s="190" t="s">
        <v>211</v>
      </c>
      <c r="O115" s="178" t="s">
        <v>55</v>
      </c>
      <c r="P115" s="180" t="s">
        <v>451</v>
      </c>
      <c r="Q115" s="188">
        <f t="shared" ca="1" si="5"/>
        <v>360.26458333332994</v>
      </c>
    </row>
    <row r="116" spans="1:18" hidden="1">
      <c r="A116" s="229">
        <f t="shared" si="3"/>
        <v>114</v>
      </c>
      <c r="B116" s="220" t="s">
        <v>407</v>
      </c>
      <c r="C116" s="186" t="s">
        <v>399</v>
      </c>
      <c r="D116" s="186" t="s">
        <v>400</v>
      </c>
      <c r="E116" s="229">
        <v>500</v>
      </c>
      <c r="F116" s="229" t="s">
        <v>231</v>
      </c>
      <c r="G116" s="229">
        <v>305</v>
      </c>
      <c r="H116" s="186">
        <v>152500</v>
      </c>
      <c r="I116" s="186" t="s">
        <v>286</v>
      </c>
      <c r="J116" s="186" t="s">
        <v>60</v>
      </c>
      <c r="K116" s="186" t="s">
        <v>4</v>
      </c>
      <c r="L116" s="229">
        <v>424</v>
      </c>
      <c r="M116" s="186" t="s">
        <v>452</v>
      </c>
      <c r="N116" s="186" t="s">
        <v>211</v>
      </c>
      <c r="O116" s="178" t="s">
        <v>55</v>
      </c>
      <c r="P116" s="201">
        <v>45789.556516203702</v>
      </c>
      <c r="Q116" s="188">
        <f t="shared" ca="1" si="5"/>
        <v>335.4434837962981</v>
      </c>
    </row>
    <row r="117" spans="1:18" hidden="1">
      <c r="A117" s="229">
        <f t="shared" si="3"/>
        <v>115</v>
      </c>
      <c r="B117" s="220">
        <v>45723</v>
      </c>
      <c r="C117" s="186" t="s">
        <v>453</v>
      </c>
      <c r="D117" s="187" t="s">
        <v>817</v>
      </c>
      <c r="E117" s="229">
        <v>300</v>
      </c>
      <c r="F117" s="229">
        <v>2100</v>
      </c>
      <c r="G117" s="229">
        <v>110</v>
      </c>
      <c r="H117" s="186">
        <f t="shared" si="4"/>
        <v>33000</v>
      </c>
      <c r="I117" s="186" t="s">
        <v>455</v>
      </c>
      <c r="J117" s="186" t="s">
        <v>60</v>
      </c>
      <c r="K117" s="186" t="s">
        <v>26</v>
      </c>
      <c r="L117" s="238">
        <v>294</v>
      </c>
      <c r="M117" s="187" t="s">
        <v>456</v>
      </c>
      <c r="N117" s="186" t="s">
        <v>200</v>
      </c>
      <c r="O117" s="178" t="s">
        <v>55</v>
      </c>
      <c r="P117" s="180">
        <v>45789.55740740741</v>
      </c>
      <c r="Q117" s="188">
        <f t="shared" ca="1" si="5"/>
        <v>335.44259259258979</v>
      </c>
    </row>
    <row r="118" spans="1:18" hidden="1">
      <c r="A118" s="229">
        <f t="shared" si="3"/>
        <v>116</v>
      </c>
      <c r="B118" s="220">
        <v>45723</v>
      </c>
      <c r="C118" s="186" t="s">
        <v>457</v>
      </c>
      <c r="D118" s="187" t="s">
        <v>458</v>
      </c>
      <c r="E118" s="229">
        <v>300</v>
      </c>
      <c r="F118" s="229">
        <v>3900</v>
      </c>
      <c r="G118" s="229">
        <v>180</v>
      </c>
      <c r="H118" s="186">
        <f t="shared" si="4"/>
        <v>54000</v>
      </c>
      <c r="I118" s="186" t="s">
        <v>358</v>
      </c>
      <c r="J118" s="186" t="s">
        <v>60</v>
      </c>
      <c r="K118" s="186" t="s">
        <v>2</v>
      </c>
      <c r="L118" s="238">
        <v>298</v>
      </c>
      <c r="M118" s="187" t="s">
        <v>797</v>
      </c>
      <c r="N118" s="186" t="s">
        <v>54</v>
      </c>
      <c r="O118" s="178" t="s">
        <v>55</v>
      </c>
      <c r="P118" s="180">
        <v>45812.532893518517</v>
      </c>
      <c r="Q118" s="188">
        <f t="shared" ca="1" si="5"/>
        <v>312.46710648148292</v>
      </c>
    </row>
    <row r="119" spans="1:18" hidden="1">
      <c r="A119" s="230">
        <f t="shared" si="3"/>
        <v>117</v>
      </c>
      <c r="B119" s="220">
        <v>45727</v>
      </c>
      <c r="C119" s="190" t="s">
        <v>459</v>
      </c>
      <c r="D119" s="191" t="s">
        <v>460</v>
      </c>
      <c r="E119" s="230">
        <v>150</v>
      </c>
      <c r="F119" s="230">
        <v>3900</v>
      </c>
      <c r="G119" s="230">
        <v>475</v>
      </c>
      <c r="H119" s="190">
        <f t="shared" si="4"/>
        <v>71250</v>
      </c>
      <c r="I119" s="190" t="s">
        <v>66</v>
      </c>
      <c r="J119" s="190" t="s">
        <v>60</v>
      </c>
      <c r="K119" s="190" t="s">
        <v>4</v>
      </c>
      <c r="L119" s="239">
        <v>142</v>
      </c>
      <c r="M119" s="191" t="s">
        <v>461</v>
      </c>
      <c r="N119" s="190" t="s">
        <v>89</v>
      </c>
      <c r="O119" s="178" t="s">
        <v>55</v>
      </c>
      <c r="P119" s="180" t="s">
        <v>401</v>
      </c>
      <c r="Q119" s="188">
        <f t="shared" ca="1" si="5"/>
        <v>359.4333333333343</v>
      </c>
    </row>
    <row r="120" spans="1:18" hidden="1">
      <c r="A120" s="230">
        <f t="shared" si="3"/>
        <v>118</v>
      </c>
      <c r="B120" s="220">
        <v>45727</v>
      </c>
      <c r="C120" s="190" t="s">
        <v>462</v>
      </c>
      <c r="D120" s="191" t="s">
        <v>463</v>
      </c>
      <c r="E120" s="230">
        <v>150</v>
      </c>
      <c r="F120" s="230">
        <v>2100</v>
      </c>
      <c r="G120" s="230">
        <v>295</v>
      </c>
      <c r="H120" s="190">
        <f t="shared" si="4"/>
        <v>44250</v>
      </c>
      <c r="I120" s="190" t="s">
        <v>66</v>
      </c>
      <c r="J120" s="190" t="s">
        <v>60</v>
      </c>
      <c r="K120" s="190" t="s">
        <v>4</v>
      </c>
      <c r="L120" s="239">
        <v>156</v>
      </c>
      <c r="M120" s="191" t="s">
        <v>55</v>
      </c>
      <c r="N120" s="190" t="s">
        <v>89</v>
      </c>
      <c r="O120" s="178" t="s">
        <v>55</v>
      </c>
      <c r="P120" s="180">
        <v>45758</v>
      </c>
      <c r="Q120" s="188">
        <f t="shared" ca="1" si="5"/>
        <v>367</v>
      </c>
    </row>
    <row r="121" spans="1:18" hidden="1">
      <c r="A121" s="229">
        <f t="shared" si="3"/>
        <v>119</v>
      </c>
      <c r="B121" s="220">
        <v>45728</v>
      </c>
      <c r="C121" s="186" t="s">
        <v>464</v>
      </c>
      <c r="D121" s="187" t="s">
        <v>465</v>
      </c>
      <c r="E121" s="229">
        <v>200</v>
      </c>
      <c r="F121" s="229">
        <v>5900</v>
      </c>
      <c r="G121" s="229">
        <v>390</v>
      </c>
      <c r="H121" s="186">
        <f t="shared" si="4"/>
        <v>78000</v>
      </c>
      <c r="I121" s="186" t="s">
        <v>125</v>
      </c>
      <c r="J121" s="186" t="s">
        <v>113</v>
      </c>
      <c r="K121" s="186" t="s">
        <v>9</v>
      </c>
      <c r="L121" s="238">
        <v>189</v>
      </c>
      <c r="M121" s="187" t="s">
        <v>797</v>
      </c>
      <c r="N121" s="186" t="s">
        <v>133</v>
      </c>
      <c r="O121" s="178" t="s">
        <v>55</v>
      </c>
      <c r="P121" s="180">
        <v>45801.636770833335</v>
      </c>
      <c r="Q121" s="188">
        <f t="shared" ca="1" si="5"/>
        <v>323.36322916666541</v>
      </c>
    </row>
    <row r="122" spans="1:18" hidden="1">
      <c r="A122" s="229">
        <f t="shared" si="3"/>
        <v>120</v>
      </c>
      <c r="B122" s="220">
        <v>45728</v>
      </c>
      <c r="C122" s="186" t="s">
        <v>466</v>
      </c>
      <c r="D122" s="187" t="s">
        <v>467</v>
      </c>
      <c r="E122" s="229">
        <v>1000</v>
      </c>
      <c r="F122" s="229">
        <v>645</v>
      </c>
      <c r="G122" s="229">
        <v>118</v>
      </c>
      <c r="H122" s="186">
        <f t="shared" si="4"/>
        <v>118000</v>
      </c>
      <c r="I122" s="186" t="s">
        <v>264</v>
      </c>
      <c r="J122" s="186" t="s">
        <v>265</v>
      </c>
      <c r="K122" s="186" t="s">
        <v>10</v>
      </c>
      <c r="L122" s="238">
        <v>1220</v>
      </c>
      <c r="M122" s="187" t="s">
        <v>53</v>
      </c>
      <c r="N122" s="186" t="s">
        <v>133</v>
      </c>
      <c r="O122" s="178" t="s">
        <v>55</v>
      </c>
      <c r="P122" s="180">
        <v>45770.687071759261</v>
      </c>
      <c r="Q122" s="188">
        <f t="shared" ca="1" si="5"/>
        <v>354.31292824073898</v>
      </c>
    </row>
    <row r="123" spans="1:18" hidden="1">
      <c r="A123" s="229">
        <f t="shared" si="3"/>
        <v>121</v>
      </c>
      <c r="B123" s="220" t="s">
        <v>468</v>
      </c>
      <c r="C123" s="186" t="s">
        <v>469</v>
      </c>
      <c r="D123" s="186" t="s">
        <v>470</v>
      </c>
      <c r="E123" s="229">
        <v>300</v>
      </c>
      <c r="F123" s="229">
        <v>1850</v>
      </c>
      <c r="G123" s="229">
        <v>75</v>
      </c>
      <c r="H123" s="186">
        <f t="shared" si="4"/>
        <v>22500</v>
      </c>
      <c r="I123" s="186" t="s">
        <v>66</v>
      </c>
      <c r="J123" s="186" t="s">
        <v>60</v>
      </c>
      <c r="K123" s="186" t="s">
        <v>15</v>
      </c>
      <c r="L123" s="238">
        <v>329</v>
      </c>
      <c r="M123" s="187" t="s">
        <v>471</v>
      </c>
      <c r="N123" s="186" t="s">
        <v>76</v>
      </c>
      <c r="O123" s="178" t="s">
        <v>55</v>
      </c>
      <c r="P123" s="180">
        <v>45789.558634259258</v>
      </c>
      <c r="Q123" s="188">
        <f t="shared" ca="1" si="5"/>
        <v>335.44136574074219</v>
      </c>
    </row>
    <row r="124" spans="1:18" hidden="1">
      <c r="A124" s="247">
        <f t="shared" si="3"/>
        <v>122</v>
      </c>
      <c r="B124" s="244" t="s">
        <v>472</v>
      </c>
      <c r="C124" s="246" t="s">
        <v>473</v>
      </c>
      <c r="D124" s="249" t="s">
        <v>474</v>
      </c>
      <c r="E124" s="247">
        <v>200</v>
      </c>
      <c r="F124" s="247">
        <v>2500</v>
      </c>
      <c r="G124" s="247">
        <v>115</v>
      </c>
      <c r="H124" s="246">
        <f t="shared" si="4"/>
        <v>23000</v>
      </c>
      <c r="I124" s="246" t="s">
        <v>125</v>
      </c>
      <c r="J124" s="246" t="s">
        <v>87</v>
      </c>
      <c r="K124" s="246" t="s">
        <v>18</v>
      </c>
      <c r="L124" s="248">
        <v>303</v>
      </c>
      <c r="M124" s="297"/>
      <c r="N124" s="246" t="s">
        <v>133</v>
      </c>
      <c r="O124" s="178" t="s">
        <v>55</v>
      </c>
      <c r="P124" s="180">
        <v>45822</v>
      </c>
      <c r="Q124" s="188">
        <f t="shared" ca="1" si="5"/>
        <v>303</v>
      </c>
    </row>
    <row r="125" spans="1:18" hidden="1">
      <c r="A125" s="229">
        <f t="shared" si="3"/>
        <v>123</v>
      </c>
      <c r="B125" s="220" t="s">
        <v>472</v>
      </c>
      <c r="C125" s="185" t="s">
        <v>476</v>
      </c>
      <c r="D125" s="202" t="s">
        <v>477</v>
      </c>
      <c r="E125" s="229">
        <v>200</v>
      </c>
      <c r="F125" s="229">
        <v>2250</v>
      </c>
      <c r="G125" s="229">
        <v>108</v>
      </c>
      <c r="H125" s="185">
        <f t="shared" si="4"/>
        <v>21600</v>
      </c>
      <c r="I125" s="185" t="s">
        <v>152</v>
      </c>
      <c r="J125" s="185" t="s">
        <v>60</v>
      </c>
      <c r="K125" s="185" t="s">
        <v>18</v>
      </c>
      <c r="L125" s="238">
        <v>267</v>
      </c>
      <c r="M125" s="202" t="s">
        <v>382</v>
      </c>
      <c r="N125" s="185" t="s">
        <v>211</v>
      </c>
      <c r="O125" s="195" t="s">
        <v>55</v>
      </c>
      <c r="P125" s="200">
        <v>45789.559687499997</v>
      </c>
      <c r="Q125" s="203">
        <f t="shared" ca="1" si="5"/>
        <v>335.44031250000262</v>
      </c>
      <c r="R125" s="196"/>
    </row>
    <row r="126" spans="1:18" hidden="1">
      <c r="A126" s="229">
        <f t="shared" si="3"/>
        <v>124</v>
      </c>
      <c r="B126" s="220" t="s">
        <v>472</v>
      </c>
      <c r="C126" s="186" t="s">
        <v>478</v>
      </c>
      <c r="D126" s="187" t="s">
        <v>818</v>
      </c>
      <c r="E126" s="229">
        <v>3000</v>
      </c>
      <c r="F126" s="229">
        <v>215</v>
      </c>
      <c r="G126" s="229">
        <v>24</v>
      </c>
      <c r="H126" s="186">
        <f t="shared" si="4"/>
        <v>72000</v>
      </c>
      <c r="I126" s="186" t="s">
        <v>480</v>
      </c>
      <c r="J126" s="186" t="s">
        <v>265</v>
      </c>
      <c r="K126" s="186" t="s">
        <v>24</v>
      </c>
      <c r="L126" s="238">
        <v>2940</v>
      </c>
      <c r="M126" s="187" t="s">
        <v>819</v>
      </c>
      <c r="N126" s="186" t="s">
        <v>133</v>
      </c>
      <c r="O126" s="178" t="s">
        <v>55</v>
      </c>
      <c r="P126" s="180">
        <v>45801.638912037037</v>
      </c>
      <c r="Q126" s="188">
        <f t="shared" ca="1" si="5"/>
        <v>323.36108796296321</v>
      </c>
    </row>
    <row r="127" spans="1:18" hidden="1">
      <c r="A127" s="229">
        <f t="shared" si="3"/>
        <v>125</v>
      </c>
      <c r="B127" s="220" t="s">
        <v>472</v>
      </c>
      <c r="C127" s="186" t="s">
        <v>482</v>
      </c>
      <c r="D127" s="187" t="s">
        <v>483</v>
      </c>
      <c r="E127" s="229">
        <v>3000</v>
      </c>
      <c r="F127" s="229">
        <v>45.02</v>
      </c>
      <c r="G127" s="265">
        <v>8.75</v>
      </c>
      <c r="H127" s="186">
        <f t="shared" si="4"/>
        <v>26250</v>
      </c>
      <c r="I127" s="186" t="s">
        <v>51</v>
      </c>
      <c r="J127" s="186" t="s">
        <v>385</v>
      </c>
      <c r="K127" s="186" t="s">
        <v>20</v>
      </c>
      <c r="L127" s="238">
        <v>3131</v>
      </c>
      <c r="M127" s="187" t="s">
        <v>809</v>
      </c>
      <c r="N127" s="186" t="s">
        <v>133</v>
      </c>
      <c r="O127" s="178" t="s">
        <v>55</v>
      </c>
      <c r="P127" s="180">
        <v>45812.537951388891</v>
      </c>
      <c r="Q127" s="188">
        <f t="shared" ca="1" si="5"/>
        <v>312.46204861110891</v>
      </c>
    </row>
    <row r="128" spans="1:18" hidden="1">
      <c r="A128" s="229">
        <f t="shared" si="3"/>
        <v>126</v>
      </c>
      <c r="B128" s="220" t="s">
        <v>440</v>
      </c>
      <c r="C128" s="186" t="s">
        <v>486</v>
      </c>
      <c r="D128" s="187" t="s">
        <v>487</v>
      </c>
      <c r="E128" s="229">
        <v>3000</v>
      </c>
      <c r="F128" s="229">
        <v>85</v>
      </c>
      <c r="G128" s="229">
        <v>10</v>
      </c>
      <c r="H128" s="186">
        <f t="shared" si="4"/>
        <v>30000</v>
      </c>
      <c r="I128" s="186" t="s">
        <v>51</v>
      </c>
      <c r="J128" s="186" t="s">
        <v>385</v>
      </c>
      <c r="K128" s="186" t="s">
        <v>20</v>
      </c>
      <c r="L128" s="238">
        <v>3119</v>
      </c>
      <c r="M128" s="187" t="s">
        <v>797</v>
      </c>
      <c r="N128" s="186" t="s">
        <v>133</v>
      </c>
      <c r="O128" s="178" t="s">
        <v>55</v>
      </c>
      <c r="P128" s="180">
        <v>45812.538831018515</v>
      </c>
      <c r="Q128" s="188">
        <f t="shared" ca="1" si="5"/>
        <v>312.46116898148466</v>
      </c>
    </row>
    <row r="129" spans="1:17" hidden="1">
      <c r="A129" s="229">
        <f t="shared" si="3"/>
        <v>127</v>
      </c>
      <c r="B129" s="220" t="s">
        <v>488</v>
      </c>
      <c r="C129" s="186" t="s">
        <v>489</v>
      </c>
      <c r="D129" s="187" t="s">
        <v>820</v>
      </c>
      <c r="E129" s="229">
        <v>3000</v>
      </c>
      <c r="F129" s="229">
        <v>85</v>
      </c>
      <c r="G129" s="265">
        <v>12.5</v>
      </c>
      <c r="H129" s="186">
        <f t="shared" si="4"/>
        <v>37500</v>
      </c>
      <c r="I129" s="186" t="s">
        <v>51</v>
      </c>
      <c r="J129" s="186" t="s">
        <v>385</v>
      </c>
      <c r="K129" s="186" t="s">
        <v>20</v>
      </c>
      <c r="L129" s="238">
        <v>3131</v>
      </c>
      <c r="M129" s="187" t="s">
        <v>821</v>
      </c>
      <c r="N129" s="186" t="s">
        <v>133</v>
      </c>
      <c r="O129" s="178" t="s">
        <v>55</v>
      </c>
      <c r="P129" s="180">
        <v>45789.561527777776</v>
      </c>
      <c r="Q129" s="188">
        <f t="shared" ca="1" si="5"/>
        <v>335.43847222222394</v>
      </c>
    </row>
    <row r="130" spans="1:17" hidden="1">
      <c r="A130" s="229">
        <f t="shared" si="3"/>
        <v>128</v>
      </c>
      <c r="B130" s="220" t="s">
        <v>488</v>
      </c>
      <c r="C130" s="186" t="s">
        <v>492</v>
      </c>
      <c r="D130" s="187" t="s">
        <v>822</v>
      </c>
      <c r="E130" s="229">
        <v>1200</v>
      </c>
      <c r="F130" s="229">
        <v>125</v>
      </c>
      <c r="G130" s="229">
        <v>32</v>
      </c>
      <c r="H130" s="186">
        <f t="shared" si="4"/>
        <v>38400</v>
      </c>
      <c r="I130" s="186" t="s">
        <v>237</v>
      </c>
      <c r="J130" s="186" t="s">
        <v>265</v>
      </c>
      <c r="K130" s="186" t="s">
        <v>20</v>
      </c>
      <c r="L130" s="238">
        <v>1539</v>
      </c>
      <c r="M130" s="187" t="s">
        <v>471</v>
      </c>
      <c r="N130" s="186" t="s">
        <v>133</v>
      </c>
      <c r="O130" s="178" t="s">
        <v>55</v>
      </c>
      <c r="P130" s="180">
        <v>45789.734351851854</v>
      </c>
      <c r="Q130" s="188">
        <f t="shared" ca="1" si="5"/>
        <v>335.26564814814628</v>
      </c>
    </row>
    <row r="131" spans="1:17" hidden="1">
      <c r="A131" s="229">
        <f t="shared" ref="A131:A185" si="8">IF(B131="","",ROW()-2)</f>
        <v>129</v>
      </c>
      <c r="B131" s="220" t="s">
        <v>488</v>
      </c>
      <c r="C131" s="186" t="s">
        <v>494</v>
      </c>
      <c r="D131" s="187" t="s">
        <v>823</v>
      </c>
      <c r="E131" s="229">
        <v>1200</v>
      </c>
      <c r="F131" s="229">
        <v>256</v>
      </c>
      <c r="G131" s="229">
        <v>62</v>
      </c>
      <c r="H131" s="186">
        <f t="shared" ref="H131:H192" si="9">IF(G131="","",E131*G131)</f>
        <v>74400</v>
      </c>
      <c r="I131" s="186" t="s">
        <v>264</v>
      </c>
      <c r="J131" s="186" t="s">
        <v>265</v>
      </c>
      <c r="K131" s="186" t="s">
        <v>20</v>
      </c>
      <c r="L131" s="238">
        <v>1167</v>
      </c>
      <c r="M131" s="187" t="s">
        <v>805</v>
      </c>
      <c r="N131" s="186" t="s">
        <v>133</v>
      </c>
      <c r="O131" s="178" t="s">
        <v>55</v>
      </c>
      <c r="P131" s="180">
        <v>45812.539444444446</v>
      </c>
      <c r="Q131" s="188">
        <f t="shared" ca="1" si="5"/>
        <v>312.46055555555358</v>
      </c>
    </row>
    <row r="132" spans="1:17" hidden="1">
      <c r="A132" s="229">
        <f t="shared" si="8"/>
        <v>130</v>
      </c>
      <c r="B132" s="220" t="s">
        <v>488</v>
      </c>
      <c r="C132" s="186" t="s">
        <v>495</v>
      </c>
      <c r="D132" s="187" t="s">
        <v>496</v>
      </c>
      <c r="E132" s="229">
        <v>1200</v>
      </c>
      <c r="F132" s="229">
        <v>190</v>
      </c>
      <c r="G132" s="229">
        <v>22</v>
      </c>
      <c r="H132" s="186">
        <f t="shared" si="9"/>
        <v>26400</v>
      </c>
      <c r="I132" s="186" t="s">
        <v>264</v>
      </c>
      <c r="J132" s="186" t="s">
        <v>265</v>
      </c>
      <c r="K132" s="186" t="s">
        <v>20</v>
      </c>
      <c r="L132" s="238">
        <v>1606</v>
      </c>
      <c r="M132" s="187" t="s">
        <v>816</v>
      </c>
      <c r="N132" s="186" t="s">
        <v>133</v>
      </c>
      <c r="O132" s="178" t="s">
        <v>55</v>
      </c>
      <c r="P132" s="180">
        <v>45793.742523148147</v>
      </c>
      <c r="Q132" s="188">
        <f t="shared" ref="Q132:Q190" ca="1" si="10">TODAY()-P132</f>
        <v>331.25747685185343</v>
      </c>
    </row>
    <row r="133" spans="1:17" hidden="1">
      <c r="A133" s="229">
        <f t="shared" si="8"/>
        <v>131</v>
      </c>
      <c r="B133" s="220" t="s">
        <v>488</v>
      </c>
      <c r="C133" s="186" t="s">
        <v>498</v>
      </c>
      <c r="D133" s="187" t="s">
        <v>499</v>
      </c>
      <c r="E133" s="229">
        <v>1200</v>
      </c>
      <c r="F133" s="229">
        <v>160</v>
      </c>
      <c r="G133" s="229">
        <v>16</v>
      </c>
      <c r="H133" s="186">
        <f t="shared" si="9"/>
        <v>19200</v>
      </c>
      <c r="I133" s="186" t="s">
        <v>264</v>
      </c>
      <c r="J133" s="186" t="s">
        <v>265</v>
      </c>
      <c r="K133" s="186" t="s">
        <v>20</v>
      </c>
      <c r="L133" s="238">
        <v>1566</v>
      </c>
      <c r="M133" s="187" t="s">
        <v>816</v>
      </c>
      <c r="N133" s="186" t="s">
        <v>133</v>
      </c>
      <c r="O133" s="178" t="s">
        <v>55</v>
      </c>
      <c r="P133" s="180">
        <v>45793.746076388888</v>
      </c>
      <c r="Q133" s="188">
        <f t="shared" ca="1" si="10"/>
        <v>331.25392361111153</v>
      </c>
    </row>
    <row r="134" spans="1:17" hidden="1">
      <c r="A134" s="229">
        <f t="shared" si="8"/>
        <v>132</v>
      </c>
      <c r="B134" s="220" t="s">
        <v>501</v>
      </c>
      <c r="C134" s="186" t="s">
        <v>502</v>
      </c>
      <c r="D134" s="187" t="s">
        <v>503</v>
      </c>
      <c r="E134" s="229">
        <v>500</v>
      </c>
      <c r="F134" s="229">
        <v>370</v>
      </c>
      <c r="G134" s="265">
        <v>28.2</v>
      </c>
      <c r="H134" s="186">
        <f t="shared" si="9"/>
        <v>14100</v>
      </c>
      <c r="I134" s="186" t="s">
        <v>504</v>
      </c>
      <c r="J134" s="186" t="s">
        <v>100</v>
      </c>
      <c r="K134" s="186" t="s">
        <v>19</v>
      </c>
      <c r="L134" s="238">
        <v>486</v>
      </c>
      <c r="M134" s="187" t="s">
        <v>101</v>
      </c>
      <c r="N134" s="186" t="s">
        <v>133</v>
      </c>
      <c r="O134" s="178" t="s">
        <v>55</v>
      </c>
      <c r="P134" s="180">
        <v>45771.707986111112</v>
      </c>
      <c r="Q134" s="188">
        <f t="shared" ca="1" si="10"/>
        <v>353.2920138888876</v>
      </c>
    </row>
    <row r="135" spans="1:17" hidden="1">
      <c r="A135" s="229">
        <f t="shared" si="8"/>
        <v>133</v>
      </c>
      <c r="B135" s="220" t="s">
        <v>505</v>
      </c>
      <c r="C135" s="186" t="s">
        <v>506</v>
      </c>
      <c r="D135" s="186" t="s">
        <v>824</v>
      </c>
      <c r="E135" s="229">
        <v>1200</v>
      </c>
      <c r="F135" s="229">
        <v>170</v>
      </c>
      <c r="G135" s="265">
        <v>13</v>
      </c>
      <c r="H135" s="186">
        <f t="shared" si="9"/>
        <v>15600</v>
      </c>
      <c r="I135" s="186" t="s">
        <v>269</v>
      </c>
      <c r="J135" s="186" t="s">
        <v>265</v>
      </c>
      <c r="K135" s="186" t="s">
        <v>27</v>
      </c>
      <c r="L135" s="238">
        <v>1015</v>
      </c>
      <c r="M135" s="187" t="s">
        <v>797</v>
      </c>
      <c r="N135" s="186" t="s">
        <v>133</v>
      </c>
      <c r="O135" s="178" t="s">
        <v>55</v>
      </c>
      <c r="P135" s="180">
        <v>45812.540208333332</v>
      </c>
      <c r="Q135" s="188">
        <f t="shared" ca="1" si="10"/>
        <v>312.45979166666802</v>
      </c>
    </row>
    <row r="136" spans="1:17" hidden="1">
      <c r="A136" s="230">
        <f t="shared" si="8"/>
        <v>134</v>
      </c>
      <c r="B136" s="219" t="s">
        <v>508</v>
      </c>
      <c r="C136" s="190" t="s">
        <v>509</v>
      </c>
      <c r="D136" s="190" t="s">
        <v>510</v>
      </c>
      <c r="E136" s="230">
        <v>300</v>
      </c>
      <c r="F136" s="230">
        <v>2600</v>
      </c>
      <c r="G136" s="230">
        <v>110</v>
      </c>
      <c r="H136" s="190">
        <f t="shared" si="9"/>
        <v>33000</v>
      </c>
      <c r="I136" s="190" t="s">
        <v>66</v>
      </c>
      <c r="J136" s="190" t="s">
        <v>87</v>
      </c>
      <c r="K136" s="190" t="s">
        <v>4</v>
      </c>
      <c r="L136" s="239">
        <v>317</v>
      </c>
      <c r="M136" s="204" t="s">
        <v>511</v>
      </c>
      <c r="N136" s="190" t="s">
        <v>89</v>
      </c>
      <c r="O136" s="178" t="s">
        <v>55</v>
      </c>
      <c r="P136" s="180" t="s">
        <v>512</v>
      </c>
      <c r="Q136" s="188">
        <f t="shared" ca="1" si="10"/>
        <v>358.22083333333285</v>
      </c>
    </row>
    <row r="137" spans="1:17" hidden="1">
      <c r="A137" s="229">
        <f t="shared" si="8"/>
        <v>135</v>
      </c>
      <c r="B137" s="220" t="s">
        <v>508</v>
      </c>
      <c r="C137" s="186" t="s">
        <v>513</v>
      </c>
      <c r="D137" s="186" t="s">
        <v>514</v>
      </c>
      <c r="E137" s="229">
        <v>5000</v>
      </c>
      <c r="F137" s="229">
        <v>71.08</v>
      </c>
      <c r="G137" s="265">
        <v>13.3</v>
      </c>
      <c r="H137" s="186">
        <f t="shared" si="9"/>
        <v>66500</v>
      </c>
      <c r="I137" s="186" t="s">
        <v>515</v>
      </c>
      <c r="J137" s="186" t="s">
        <v>308</v>
      </c>
      <c r="K137" s="186" t="s">
        <v>7</v>
      </c>
      <c r="L137" s="238">
        <v>4975</v>
      </c>
      <c r="M137" s="187" t="s">
        <v>825</v>
      </c>
      <c r="N137" s="186" t="s">
        <v>133</v>
      </c>
      <c r="O137" s="178" t="s">
        <v>55</v>
      </c>
      <c r="P137" s="180">
        <v>45812.541331018518</v>
      </c>
      <c r="Q137" s="188">
        <f t="shared" ca="1" si="10"/>
        <v>312.45866898148233</v>
      </c>
    </row>
    <row r="138" spans="1:17" hidden="1">
      <c r="A138" s="229">
        <f t="shared" si="8"/>
        <v>136</v>
      </c>
      <c r="B138" s="220" t="s">
        <v>508</v>
      </c>
      <c r="C138" s="186" t="s">
        <v>517</v>
      </c>
      <c r="D138" s="186" t="s">
        <v>518</v>
      </c>
      <c r="E138" s="229">
        <v>3000</v>
      </c>
      <c r="F138" s="229">
        <v>156</v>
      </c>
      <c r="G138" s="265">
        <v>20.5</v>
      </c>
      <c r="H138" s="186">
        <f t="shared" si="9"/>
        <v>61500</v>
      </c>
      <c r="I138" s="186" t="s">
        <v>519</v>
      </c>
      <c r="J138" s="186" t="s">
        <v>308</v>
      </c>
      <c r="K138" s="186" t="s">
        <v>7</v>
      </c>
      <c r="L138" s="238">
        <v>2985</v>
      </c>
      <c r="M138" s="187" t="s">
        <v>819</v>
      </c>
      <c r="N138" s="186" t="s">
        <v>133</v>
      </c>
      <c r="O138" s="178" t="s">
        <v>55</v>
      </c>
      <c r="P138" s="180">
        <v>45812.547384259262</v>
      </c>
      <c r="Q138" s="188">
        <f t="shared" ca="1" si="10"/>
        <v>312.45261574073811</v>
      </c>
    </row>
    <row r="139" spans="1:17" hidden="1">
      <c r="A139" s="229">
        <f t="shared" si="8"/>
        <v>137</v>
      </c>
      <c r="B139" s="220" t="s">
        <v>520</v>
      </c>
      <c r="C139" s="186" t="s">
        <v>521</v>
      </c>
      <c r="D139" s="186" t="s">
        <v>522</v>
      </c>
      <c r="E139" s="229">
        <v>300</v>
      </c>
      <c r="F139" s="229">
        <v>2600</v>
      </c>
      <c r="G139" s="229">
        <v>165</v>
      </c>
      <c r="H139" s="186">
        <f t="shared" si="9"/>
        <v>49500</v>
      </c>
      <c r="I139" s="186" t="s">
        <v>286</v>
      </c>
      <c r="J139" s="186" t="s">
        <v>60</v>
      </c>
      <c r="K139" s="186" t="s">
        <v>4</v>
      </c>
      <c r="L139" s="238">
        <v>306</v>
      </c>
      <c r="M139" s="187" t="s">
        <v>523</v>
      </c>
      <c r="N139" s="186" t="s">
        <v>54</v>
      </c>
      <c r="O139" s="178" t="s">
        <v>55</v>
      </c>
      <c r="P139" s="180">
        <v>45789.56517361111</v>
      </c>
      <c r="Q139" s="188">
        <f t="shared" ca="1" si="10"/>
        <v>335.43482638888963</v>
      </c>
    </row>
    <row r="140" spans="1:17" hidden="1">
      <c r="A140" s="229">
        <f t="shared" si="8"/>
        <v>138</v>
      </c>
      <c r="B140" s="220" t="s">
        <v>520</v>
      </c>
      <c r="C140" s="186" t="s">
        <v>524</v>
      </c>
      <c r="D140" s="186" t="s">
        <v>525</v>
      </c>
      <c r="E140" s="229">
        <v>300</v>
      </c>
      <c r="F140" s="229">
        <v>2450</v>
      </c>
      <c r="G140" s="229">
        <v>165</v>
      </c>
      <c r="H140" s="186">
        <f t="shared" si="9"/>
        <v>49500</v>
      </c>
      <c r="I140" s="186" t="s">
        <v>286</v>
      </c>
      <c r="J140" s="186" t="s">
        <v>60</v>
      </c>
      <c r="K140" s="186" t="s">
        <v>15</v>
      </c>
      <c r="L140" s="238">
        <v>336</v>
      </c>
      <c r="M140" s="187" t="s">
        <v>809</v>
      </c>
      <c r="N140" s="186" t="s">
        <v>133</v>
      </c>
      <c r="O140" s="178" t="s">
        <v>55</v>
      </c>
      <c r="P140" s="180">
        <v>45812.548611111109</v>
      </c>
      <c r="Q140" s="188">
        <f t="shared" ca="1" si="10"/>
        <v>312.45138888889051</v>
      </c>
    </row>
    <row r="141" spans="1:17" hidden="1">
      <c r="A141" s="229">
        <f t="shared" si="8"/>
        <v>139</v>
      </c>
      <c r="B141" s="220" t="s">
        <v>520</v>
      </c>
      <c r="C141" s="186" t="s">
        <v>526</v>
      </c>
      <c r="D141" s="186" t="s">
        <v>527</v>
      </c>
      <c r="E141" s="229">
        <v>3000</v>
      </c>
      <c r="F141" s="229">
        <v>299</v>
      </c>
      <c r="G141" s="265">
        <v>24.5</v>
      </c>
      <c r="H141" s="186">
        <f t="shared" si="9"/>
        <v>73500</v>
      </c>
      <c r="I141" s="186" t="s">
        <v>528</v>
      </c>
      <c r="J141" s="186" t="s">
        <v>308</v>
      </c>
      <c r="K141" s="186" t="s">
        <v>7</v>
      </c>
      <c r="L141" s="238">
        <v>2961</v>
      </c>
      <c r="M141" s="187" t="s">
        <v>164</v>
      </c>
      <c r="N141" s="186" t="s">
        <v>133</v>
      </c>
      <c r="O141" s="178" t="s">
        <v>55</v>
      </c>
      <c r="P141" s="180">
        <v>45780.522546296299</v>
      </c>
      <c r="Q141" s="188">
        <f t="shared" ca="1" si="10"/>
        <v>344.47745370370103</v>
      </c>
    </row>
    <row r="142" spans="1:17" hidden="1">
      <c r="A142" s="229">
        <f t="shared" si="8"/>
        <v>140</v>
      </c>
      <c r="B142" s="220" t="s">
        <v>520</v>
      </c>
      <c r="C142" s="186" t="s">
        <v>529</v>
      </c>
      <c r="D142" s="186" t="s">
        <v>530</v>
      </c>
      <c r="E142" s="229">
        <v>200</v>
      </c>
      <c r="F142" s="229">
        <v>4800</v>
      </c>
      <c r="G142" s="229">
        <v>280</v>
      </c>
      <c r="H142" s="186">
        <f t="shared" si="9"/>
        <v>56000</v>
      </c>
      <c r="I142" s="186" t="s">
        <v>531</v>
      </c>
      <c r="J142" s="186" t="s">
        <v>60</v>
      </c>
      <c r="K142" s="186" t="s">
        <v>4</v>
      </c>
      <c r="L142" s="238">
        <v>204</v>
      </c>
      <c r="M142" s="187" t="s">
        <v>532</v>
      </c>
      <c r="N142" s="186" t="s">
        <v>54</v>
      </c>
      <c r="O142" s="178" t="s">
        <v>55</v>
      </c>
      <c r="P142" s="180">
        <v>45789.56591435185</v>
      </c>
      <c r="Q142" s="188">
        <f t="shared" ca="1" si="10"/>
        <v>335.43408564815036</v>
      </c>
    </row>
    <row r="143" spans="1:17" hidden="1">
      <c r="A143" s="229">
        <f t="shared" si="8"/>
        <v>141</v>
      </c>
      <c r="B143" s="220" t="s">
        <v>172</v>
      </c>
      <c r="C143" s="186" t="s">
        <v>533</v>
      </c>
      <c r="D143" s="186" t="s">
        <v>534</v>
      </c>
      <c r="E143" s="229">
        <v>300</v>
      </c>
      <c r="F143" s="229" t="s">
        <v>231</v>
      </c>
      <c r="G143" s="229">
        <v>235</v>
      </c>
      <c r="H143" s="186">
        <f t="shared" si="9"/>
        <v>70500</v>
      </c>
      <c r="I143" s="186" t="s">
        <v>535</v>
      </c>
      <c r="J143" s="186" t="s">
        <v>60</v>
      </c>
      <c r="K143" s="186" t="s">
        <v>4</v>
      </c>
      <c r="L143" s="238">
        <v>294</v>
      </c>
      <c r="M143" s="187" t="s">
        <v>536</v>
      </c>
      <c r="N143" s="186" t="s">
        <v>133</v>
      </c>
      <c r="O143" s="178" t="s">
        <v>55</v>
      </c>
      <c r="P143" s="180">
        <v>45780.524652777778</v>
      </c>
      <c r="Q143" s="188">
        <f t="shared" ca="1" si="10"/>
        <v>344.4753472222219</v>
      </c>
    </row>
    <row r="144" spans="1:17" hidden="1">
      <c r="A144" s="229">
        <f t="shared" si="8"/>
        <v>142</v>
      </c>
      <c r="B144" s="220" t="s">
        <v>172</v>
      </c>
      <c r="C144" s="186" t="s">
        <v>537</v>
      </c>
      <c r="D144" s="186" t="s">
        <v>538</v>
      </c>
      <c r="E144" s="229">
        <v>300</v>
      </c>
      <c r="F144" s="229" t="s">
        <v>231</v>
      </c>
      <c r="G144" s="229">
        <v>235</v>
      </c>
      <c r="H144" s="186">
        <f t="shared" si="9"/>
        <v>70500</v>
      </c>
      <c r="I144" s="186" t="s">
        <v>539</v>
      </c>
      <c r="J144" s="186" t="s">
        <v>60</v>
      </c>
      <c r="K144" s="186" t="s">
        <v>4</v>
      </c>
      <c r="L144" s="238">
        <v>305</v>
      </c>
      <c r="M144" s="187" t="s">
        <v>826</v>
      </c>
      <c r="N144" s="186" t="s">
        <v>133</v>
      </c>
      <c r="O144" s="178" t="s">
        <v>55</v>
      </c>
      <c r="P144" s="180">
        <v>45792.585543981484</v>
      </c>
      <c r="Q144" s="188">
        <f t="shared" ca="1" si="10"/>
        <v>332.41445601851592</v>
      </c>
    </row>
    <row r="145" spans="1:17" hidden="1">
      <c r="A145" s="229">
        <f t="shared" si="8"/>
        <v>143</v>
      </c>
      <c r="B145" s="220" t="s">
        <v>541</v>
      </c>
      <c r="C145" s="186" t="s">
        <v>542</v>
      </c>
      <c r="D145" s="186" t="s">
        <v>543</v>
      </c>
      <c r="E145" s="229">
        <v>3000</v>
      </c>
      <c r="F145" s="229">
        <v>240</v>
      </c>
      <c r="G145" s="265">
        <v>14.5</v>
      </c>
      <c r="H145" s="186">
        <f t="shared" si="9"/>
        <v>43500</v>
      </c>
      <c r="I145" s="186" t="s">
        <v>143</v>
      </c>
      <c r="J145" s="186" t="s">
        <v>144</v>
      </c>
      <c r="K145" s="186" t="s">
        <v>27</v>
      </c>
      <c r="L145" s="238">
        <v>2990</v>
      </c>
      <c r="M145" s="187" t="s">
        <v>789</v>
      </c>
      <c r="N145" s="186" t="s">
        <v>133</v>
      </c>
      <c r="O145" s="178" t="s">
        <v>55</v>
      </c>
      <c r="P145" s="180">
        <v>45812.550023148149</v>
      </c>
      <c r="Q145" s="188">
        <f t="shared" ca="1" si="10"/>
        <v>312.44997685185081</v>
      </c>
    </row>
    <row r="146" spans="1:17" hidden="1">
      <c r="A146" s="229">
        <f t="shared" si="8"/>
        <v>144</v>
      </c>
      <c r="B146" s="220" t="s">
        <v>545</v>
      </c>
      <c r="C146" s="186" t="s">
        <v>546</v>
      </c>
      <c r="D146" s="186" t="s">
        <v>547</v>
      </c>
      <c r="E146" s="229">
        <v>500</v>
      </c>
      <c r="F146" s="229">
        <v>1300</v>
      </c>
      <c r="G146" s="229">
        <v>70</v>
      </c>
      <c r="H146" s="186">
        <f t="shared" si="9"/>
        <v>35000</v>
      </c>
      <c r="I146" s="186" t="s">
        <v>74</v>
      </c>
      <c r="J146" s="186" t="s">
        <v>60</v>
      </c>
      <c r="K146" s="186" t="s">
        <v>26</v>
      </c>
      <c r="L146" s="238">
        <v>496</v>
      </c>
      <c r="M146" s="187" t="s">
        <v>827</v>
      </c>
      <c r="N146" s="186" t="s">
        <v>211</v>
      </c>
      <c r="O146" s="178" t="s">
        <v>55</v>
      </c>
      <c r="P146" s="180">
        <v>45815.6093287037</v>
      </c>
      <c r="Q146" s="188">
        <f t="shared" ca="1" si="10"/>
        <v>309.39067129629984</v>
      </c>
    </row>
    <row r="147" spans="1:17" hidden="1">
      <c r="A147" s="229">
        <f t="shared" si="8"/>
        <v>145</v>
      </c>
      <c r="B147" s="220" t="s">
        <v>545</v>
      </c>
      <c r="C147" s="186" t="s">
        <v>549</v>
      </c>
      <c r="D147" s="186" t="s">
        <v>550</v>
      </c>
      <c r="E147" s="229">
        <v>150</v>
      </c>
      <c r="F147" s="229">
        <v>5500</v>
      </c>
      <c r="G147" s="229">
        <v>410</v>
      </c>
      <c r="H147" s="186">
        <f t="shared" si="9"/>
        <v>61500</v>
      </c>
      <c r="I147" s="186" t="s">
        <v>125</v>
      </c>
      <c r="J147" s="186" t="s">
        <v>60</v>
      </c>
      <c r="K147" s="186" t="s">
        <v>9</v>
      </c>
      <c r="L147" s="238">
        <v>148</v>
      </c>
      <c r="M147" s="187" t="s">
        <v>828</v>
      </c>
      <c r="N147" s="186" t="s">
        <v>133</v>
      </c>
      <c r="O147" s="178" t="s">
        <v>55</v>
      </c>
      <c r="P147" s="180">
        <v>45815.610474537039</v>
      </c>
      <c r="Q147" s="188">
        <f t="shared" ca="1" si="10"/>
        <v>309.38952546296059</v>
      </c>
    </row>
    <row r="148" spans="1:17" hidden="1">
      <c r="A148" s="247">
        <f t="shared" si="8"/>
        <v>146</v>
      </c>
      <c r="B148" s="244" t="s">
        <v>552</v>
      </c>
      <c r="C148" s="246" t="s">
        <v>553</v>
      </c>
      <c r="D148" s="246" t="s">
        <v>554</v>
      </c>
      <c r="E148" s="247">
        <v>500</v>
      </c>
      <c r="F148" s="247" t="s">
        <v>829</v>
      </c>
      <c r="G148" s="247">
        <v>53</v>
      </c>
      <c r="H148" s="246">
        <f t="shared" si="9"/>
        <v>26500</v>
      </c>
      <c r="I148" s="246" t="s">
        <v>59</v>
      </c>
      <c r="J148" s="246" t="s">
        <v>60</v>
      </c>
      <c r="K148" s="246" t="s">
        <v>24</v>
      </c>
      <c r="L148" s="248">
        <v>493</v>
      </c>
      <c r="M148" s="249" t="s">
        <v>830</v>
      </c>
      <c r="N148" s="246" t="s">
        <v>133</v>
      </c>
      <c r="O148" s="178" t="s">
        <v>55</v>
      </c>
      <c r="P148" s="180">
        <v>45838</v>
      </c>
      <c r="Q148" s="188">
        <f t="shared" ca="1" si="10"/>
        <v>287</v>
      </c>
    </row>
    <row r="149" spans="1:17" s="196" customFormat="1" hidden="1">
      <c r="A149" s="247">
        <f t="shared" si="8"/>
        <v>147</v>
      </c>
      <c r="B149" s="244" t="s">
        <v>552</v>
      </c>
      <c r="C149" s="271" t="s">
        <v>555</v>
      </c>
      <c r="D149" s="271" t="s">
        <v>556</v>
      </c>
      <c r="E149" s="247">
        <v>500</v>
      </c>
      <c r="F149" s="247" t="s">
        <v>231</v>
      </c>
      <c r="G149" s="247">
        <v>65</v>
      </c>
      <c r="H149" s="271">
        <f t="shared" si="9"/>
        <v>32500</v>
      </c>
      <c r="I149" s="271" t="s">
        <v>118</v>
      </c>
      <c r="J149" s="271" t="s">
        <v>60</v>
      </c>
      <c r="K149" s="271" t="s">
        <v>24</v>
      </c>
      <c r="L149" s="248">
        <v>492</v>
      </c>
      <c r="M149" s="281" t="s">
        <v>557</v>
      </c>
      <c r="N149" s="271" t="s">
        <v>133</v>
      </c>
      <c r="O149" s="195" t="s">
        <v>55</v>
      </c>
      <c r="P149" s="200">
        <v>45838</v>
      </c>
      <c r="Q149" s="188">
        <f t="shared" ca="1" si="10"/>
        <v>287</v>
      </c>
    </row>
    <row r="150" spans="1:17" hidden="1">
      <c r="A150" s="229">
        <f t="shared" si="8"/>
        <v>148</v>
      </c>
      <c r="B150" s="220" t="s">
        <v>552</v>
      </c>
      <c r="C150" s="186" t="s">
        <v>558</v>
      </c>
      <c r="D150" s="186" t="s">
        <v>559</v>
      </c>
      <c r="E150" s="229">
        <v>1000</v>
      </c>
      <c r="F150" s="229">
        <v>490</v>
      </c>
      <c r="G150" s="229">
        <v>57</v>
      </c>
      <c r="H150" s="186">
        <f t="shared" si="9"/>
        <v>57000</v>
      </c>
      <c r="I150" s="186" t="s">
        <v>560</v>
      </c>
      <c r="J150" s="186" t="s">
        <v>385</v>
      </c>
      <c r="K150" s="186" t="s">
        <v>10</v>
      </c>
      <c r="L150" s="238">
        <v>1080</v>
      </c>
      <c r="M150" s="187" t="s">
        <v>561</v>
      </c>
      <c r="N150" s="186" t="s">
        <v>133</v>
      </c>
      <c r="O150" s="178" t="s">
        <v>55</v>
      </c>
      <c r="P150" s="180">
        <v>45790.447916666664</v>
      </c>
      <c r="Q150" s="188">
        <f t="shared" ca="1" si="10"/>
        <v>334.55208333333576</v>
      </c>
    </row>
    <row r="151" spans="1:17" hidden="1">
      <c r="A151" s="231">
        <f t="shared" si="8"/>
        <v>149</v>
      </c>
      <c r="B151" s="224" t="s">
        <v>552</v>
      </c>
      <c r="C151" s="205" t="s">
        <v>562</v>
      </c>
      <c r="D151" s="205" t="s">
        <v>563</v>
      </c>
      <c r="E151" s="231">
        <v>1000</v>
      </c>
      <c r="F151" s="231">
        <v>1100</v>
      </c>
      <c r="G151" s="231">
        <v>72</v>
      </c>
      <c r="H151" s="205">
        <v>0</v>
      </c>
      <c r="I151" s="205" t="s">
        <v>564</v>
      </c>
      <c r="J151" s="205" t="s">
        <v>60</v>
      </c>
      <c r="K151" s="205" t="s">
        <v>17</v>
      </c>
      <c r="L151" s="241" t="s">
        <v>133</v>
      </c>
      <c r="M151" s="206"/>
      <c r="N151" s="205" t="s">
        <v>133</v>
      </c>
      <c r="O151" s="178" t="s">
        <v>370</v>
      </c>
      <c r="P151" s="180">
        <v>45758</v>
      </c>
      <c r="Q151" s="188">
        <f t="shared" ca="1" si="10"/>
        <v>367</v>
      </c>
    </row>
    <row r="152" spans="1:17" s="245" customFormat="1" ht="15.75" hidden="1">
      <c r="A152" s="247">
        <f t="shared" si="8"/>
        <v>150</v>
      </c>
      <c r="B152" s="244" t="s">
        <v>545</v>
      </c>
      <c r="C152" s="246" t="s">
        <v>567</v>
      </c>
      <c r="D152" s="273" t="s">
        <v>831</v>
      </c>
      <c r="E152" s="247">
        <v>300</v>
      </c>
      <c r="F152" s="247">
        <v>670</v>
      </c>
      <c r="G152" s="247">
        <v>62</v>
      </c>
      <c r="H152" s="246">
        <f t="shared" si="9"/>
        <v>18600</v>
      </c>
      <c r="I152" s="246" t="s">
        <v>300</v>
      </c>
      <c r="J152" s="246" t="s">
        <v>87</v>
      </c>
      <c r="K152" s="246" t="s">
        <v>22</v>
      </c>
      <c r="L152" s="248">
        <v>96</v>
      </c>
      <c r="M152" s="249" t="s">
        <v>832</v>
      </c>
      <c r="N152" s="246" t="s">
        <v>133</v>
      </c>
      <c r="O152" s="246" t="s">
        <v>55</v>
      </c>
      <c r="P152" s="328">
        <v>45874</v>
      </c>
      <c r="Q152" s="327">
        <f t="shared" ca="1" si="10"/>
        <v>251</v>
      </c>
    </row>
    <row r="153" spans="1:17" hidden="1">
      <c r="A153" s="229">
        <f t="shared" si="8"/>
        <v>151</v>
      </c>
      <c r="B153" s="220" t="s">
        <v>545</v>
      </c>
      <c r="C153" s="186" t="s">
        <v>571</v>
      </c>
      <c r="D153" s="186" t="s">
        <v>572</v>
      </c>
      <c r="E153" s="229">
        <v>500</v>
      </c>
      <c r="F153" s="229">
        <v>750</v>
      </c>
      <c r="G153" s="229">
        <v>84</v>
      </c>
      <c r="H153" s="186">
        <f t="shared" si="9"/>
        <v>42000</v>
      </c>
      <c r="I153" s="186" t="s">
        <v>59</v>
      </c>
      <c r="J153" s="186" t="s">
        <v>60</v>
      </c>
      <c r="K153" s="186" t="s">
        <v>24</v>
      </c>
      <c r="L153" s="238">
        <v>491</v>
      </c>
      <c r="M153" s="187" t="s">
        <v>828</v>
      </c>
      <c r="N153" s="186" t="s">
        <v>133</v>
      </c>
      <c r="O153" s="178" t="s">
        <v>55</v>
      </c>
      <c r="P153" s="180">
        <v>45819.721886574072</v>
      </c>
      <c r="Q153" s="188">
        <f t="shared" ca="1" si="10"/>
        <v>305.27811342592759</v>
      </c>
    </row>
    <row r="154" spans="1:17" hidden="1">
      <c r="A154" s="229">
        <f t="shared" si="8"/>
        <v>152</v>
      </c>
      <c r="B154" s="220">
        <v>45750</v>
      </c>
      <c r="C154" s="186" t="s">
        <v>574</v>
      </c>
      <c r="D154" s="186" t="s">
        <v>575</v>
      </c>
      <c r="E154" s="229">
        <v>3000</v>
      </c>
      <c r="F154" s="229">
        <v>254.82</v>
      </c>
      <c r="G154" s="229">
        <v>13.75</v>
      </c>
      <c r="H154" s="186">
        <f t="shared" si="9"/>
        <v>41250</v>
      </c>
      <c r="I154" s="186" t="s">
        <v>576</v>
      </c>
      <c r="J154" s="186" t="s">
        <v>308</v>
      </c>
      <c r="K154" s="186" t="s">
        <v>7</v>
      </c>
      <c r="L154" s="238">
        <v>2916</v>
      </c>
      <c r="M154" s="187" t="s">
        <v>833</v>
      </c>
      <c r="N154" s="186" t="s">
        <v>133</v>
      </c>
      <c r="O154" s="178" t="s">
        <v>55</v>
      </c>
      <c r="P154" s="180">
        <v>45812.554375</v>
      </c>
      <c r="Q154" s="188">
        <f t="shared" ca="1" si="10"/>
        <v>312.44562500000029</v>
      </c>
    </row>
    <row r="155" spans="1:17" hidden="1">
      <c r="A155" s="229">
        <f t="shared" si="8"/>
        <v>153</v>
      </c>
      <c r="B155" s="220">
        <v>45750</v>
      </c>
      <c r="C155" s="186" t="s">
        <v>578</v>
      </c>
      <c r="D155" s="186" t="s">
        <v>579</v>
      </c>
      <c r="E155" s="229">
        <v>3000</v>
      </c>
      <c r="F155" s="229">
        <v>477</v>
      </c>
      <c r="G155" s="265">
        <v>16</v>
      </c>
      <c r="H155" s="186">
        <f t="shared" si="9"/>
        <v>48000</v>
      </c>
      <c r="I155" s="186" t="s">
        <v>576</v>
      </c>
      <c r="J155" s="186" t="s">
        <v>308</v>
      </c>
      <c r="K155" s="186" t="s">
        <v>7</v>
      </c>
      <c r="L155" s="238">
        <v>2925</v>
      </c>
      <c r="M155" s="187" t="s">
        <v>802</v>
      </c>
      <c r="N155" s="186" t="s">
        <v>133</v>
      </c>
      <c r="O155" s="178" t="s">
        <v>55</v>
      </c>
      <c r="P155" s="180">
        <v>45819.725763888891</v>
      </c>
      <c r="Q155" s="188">
        <f t="shared" ca="1" si="10"/>
        <v>305.27423611110862</v>
      </c>
    </row>
    <row r="156" spans="1:17" s="196" customFormat="1" ht="15.75" hidden="1">
      <c r="A156" s="247">
        <f t="shared" si="8"/>
        <v>154</v>
      </c>
      <c r="B156" s="244">
        <v>45754</v>
      </c>
      <c r="C156" s="271" t="s">
        <v>580</v>
      </c>
      <c r="D156" s="280" t="s">
        <v>581</v>
      </c>
      <c r="E156" s="247">
        <v>500</v>
      </c>
      <c r="F156" s="247">
        <v>58</v>
      </c>
      <c r="G156" s="247">
        <v>48</v>
      </c>
      <c r="H156" s="271">
        <f t="shared" si="9"/>
        <v>24000</v>
      </c>
      <c r="I156" s="271" t="s">
        <v>582</v>
      </c>
      <c r="J156" s="271" t="s">
        <v>60</v>
      </c>
      <c r="K156" s="271" t="s">
        <v>22</v>
      </c>
      <c r="L156" s="248" t="s">
        <v>133</v>
      </c>
      <c r="M156" s="281" t="s">
        <v>583</v>
      </c>
      <c r="N156" s="271" t="s">
        <v>133</v>
      </c>
      <c r="O156" s="195" t="s">
        <v>55</v>
      </c>
      <c r="P156" s="200">
        <v>45836</v>
      </c>
      <c r="Q156" s="188">
        <f t="shared" ca="1" si="10"/>
        <v>289</v>
      </c>
    </row>
    <row r="157" spans="1:17" s="196" customFormat="1" ht="30" hidden="1">
      <c r="A157" s="222">
        <f t="shared" si="8"/>
        <v>155</v>
      </c>
      <c r="B157" s="223">
        <v>45754</v>
      </c>
      <c r="C157" s="192" t="s">
        <v>584</v>
      </c>
      <c r="D157" s="207" t="s">
        <v>585</v>
      </c>
      <c r="E157" s="222">
        <v>500</v>
      </c>
      <c r="F157" s="222">
        <v>195</v>
      </c>
      <c r="G157" s="222">
        <v>135</v>
      </c>
      <c r="H157" s="192">
        <v>0</v>
      </c>
      <c r="I157" s="192" t="s">
        <v>586</v>
      </c>
      <c r="J157" s="207" t="s">
        <v>587</v>
      </c>
      <c r="K157" s="207" t="s">
        <v>4</v>
      </c>
      <c r="L157" s="237" t="s">
        <v>133</v>
      </c>
      <c r="M157" s="208" t="s">
        <v>588</v>
      </c>
      <c r="N157" s="192" t="s">
        <v>374</v>
      </c>
      <c r="O157" s="195" t="s">
        <v>370</v>
      </c>
      <c r="P157" s="200">
        <v>45759</v>
      </c>
      <c r="Q157" s="188">
        <f t="shared" ca="1" si="10"/>
        <v>366</v>
      </c>
    </row>
    <row r="158" spans="1:17" s="196" customFormat="1" ht="15.75" hidden="1">
      <c r="A158" s="247">
        <f t="shared" si="8"/>
        <v>156</v>
      </c>
      <c r="B158" s="244">
        <v>45754</v>
      </c>
      <c r="C158" s="271" t="s">
        <v>589</v>
      </c>
      <c r="D158" s="271" t="s">
        <v>590</v>
      </c>
      <c r="E158" s="247">
        <v>300</v>
      </c>
      <c r="F158" s="247">
        <v>2600</v>
      </c>
      <c r="G158" s="247">
        <v>220</v>
      </c>
      <c r="H158" s="271">
        <f t="shared" si="9"/>
        <v>66000</v>
      </c>
      <c r="I158" s="280" t="s">
        <v>591</v>
      </c>
      <c r="J158" s="271" t="s">
        <v>60</v>
      </c>
      <c r="K158" s="271" t="s">
        <v>4</v>
      </c>
      <c r="L158" s="248">
        <v>294</v>
      </c>
      <c r="M158" s="294" t="s">
        <v>834</v>
      </c>
      <c r="N158" s="271" t="s">
        <v>133</v>
      </c>
      <c r="O158" s="195" t="s">
        <v>55</v>
      </c>
      <c r="P158" s="200">
        <v>45817.679560185185</v>
      </c>
      <c r="Q158" s="188">
        <f t="shared" ca="1" si="10"/>
        <v>307.32043981481547</v>
      </c>
    </row>
    <row r="159" spans="1:17" ht="15.75" hidden="1">
      <c r="A159" s="247">
        <f t="shared" si="8"/>
        <v>157</v>
      </c>
      <c r="B159" s="244">
        <v>45754</v>
      </c>
      <c r="C159" s="246" t="s">
        <v>593</v>
      </c>
      <c r="D159" s="246" t="s">
        <v>594</v>
      </c>
      <c r="E159" s="247">
        <v>300</v>
      </c>
      <c r="F159" s="247">
        <v>3200</v>
      </c>
      <c r="G159" s="247">
        <v>260</v>
      </c>
      <c r="H159" s="246">
        <f t="shared" si="9"/>
        <v>78000</v>
      </c>
      <c r="I159" s="273" t="s">
        <v>595</v>
      </c>
      <c r="J159" s="246" t="s">
        <v>596</v>
      </c>
      <c r="K159" s="246" t="s">
        <v>4</v>
      </c>
      <c r="L159" s="248">
        <v>304</v>
      </c>
      <c r="M159" s="249" t="s">
        <v>835</v>
      </c>
      <c r="N159" s="246" t="s">
        <v>133</v>
      </c>
      <c r="O159" s="178" t="s">
        <v>55</v>
      </c>
      <c r="P159" s="180">
        <v>45819.728078703702</v>
      </c>
      <c r="Q159" s="188">
        <f t="shared" ca="1" si="10"/>
        <v>305.27192129629839</v>
      </c>
    </row>
    <row r="160" spans="1:17" ht="15.75" hidden="1">
      <c r="A160" s="229">
        <f t="shared" si="8"/>
        <v>158</v>
      </c>
      <c r="B160" s="244">
        <v>45754</v>
      </c>
      <c r="C160" s="186" t="s">
        <v>598</v>
      </c>
      <c r="D160" s="198" t="s">
        <v>599</v>
      </c>
      <c r="E160" s="229">
        <v>250</v>
      </c>
      <c r="F160" s="229">
        <v>190</v>
      </c>
      <c r="G160" s="229">
        <v>155</v>
      </c>
      <c r="H160" s="186">
        <f t="shared" si="9"/>
        <v>38750</v>
      </c>
      <c r="I160" s="198" t="s">
        <v>531</v>
      </c>
      <c r="J160" s="198" t="s">
        <v>600</v>
      </c>
      <c r="K160" s="198" t="s">
        <v>9</v>
      </c>
      <c r="L160" s="238">
        <v>300</v>
      </c>
      <c r="M160" s="187"/>
      <c r="N160" s="186" t="s">
        <v>133</v>
      </c>
      <c r="O160" s="178" t="s">
        <v>55</v>
      </c>
      <c r="P160" s="180">
        <v>45842</v>
      </c>
      <c r="Q160" s="188">
        <f t="shared" ca="1" si="10"/>
        <v>283</v>
      </c>
    </row>
    <row r="161" spans="1:18" s="245" customFormat="1" ht="15.75" hidden="1">
      <c r="A161" s="247">
        <f t="shared" si="8"/>
        <v>159</v>
      </c>
      <c r="B161" s="244">
        <v>45754</v>
      </c>
      <c r="C161" s="271" t="s">
        <v>601</v>
      </c>
      <c r="D161" s="280" t="s">
        <v>602</v>
      </c>
      <c r="E161" s="247">
        <v>25000</v>
      </c>
      <c r="F161" s="247">
        <v>184</v>
      </c>
      <c r="G161" s="247">
        <v>39</v>
      </c>
      <c r="H161" s="271">
        <f t="shared" si="9"/>
        <v>975000</v>
      </c>
      <c r="I161" s="280" t="s">
        <v>603</v>
      </c>
      <c r="J161" s="280" t="s">
        <v>604</v>
      </c>
      <c r="K161" s="280" t="s">
        <v>25</v>
      </c>
      <c r="L161" s="248">
        <v>23000</v>
      </c>
      <c r="M161" s="281" t="s">
        <v>605</v>
      </c>
      <c r="N161" s="271" t="s">
        <v>133</v>
      </c>
      <c r="O161" s="271" t="s">
        <v>55</v>
      </c>
      <c r="P161" s="357">
        <v>45789.572071759256</v>
      </c>
      <c r="Q161" s="358">
        <f t="shared" ca="1" si="10"/>
        <v>335.42792824074422</v>
      </c>
      <c r="R161" s="314"/>
    </row>
    <row r="162" spans="1:18" ht="15.75" hidden="1">
      <c r="A162" s="247">
        <f t="shared" si="8"/>
        <v>160</v>
      </c>
      <c r="B162" s="244">
        <v>45758</v>
      </c>
      <c r="C162" s="246" t="s">
        <v>606</v>
      </c>
      <c r="D162" s="273" t="s">
        <v>607</v>
      </c>
      <c r="E162" s="247">
        <v>100</v>
      </c>
      <c r="F162" s="247">
        <v>7800</v>
      </c>
      <c r="G162" s="247">
        <v>1500</v>
      </c>
      <c r="H162" s="246">
        <f t="shared" si="9"/>
        <v>150000</v>
      </c>
      <c r="I162" s="246" t="s">
        <v>608</v>
      </c>
      <c r="J162" s="246" t="s">
        <v>609</v>
      </c>
      <c r="K162" s="246" t="s">
        <v>4</v>
      </c>
      <c r="L162" s="248">
        <v>96</v>
      </c>
      <c r="M162" s="295" t="s">
        <v>805</v>
      </c>
      <c r="N162" s="246" t="s">
        <v>133</v>
      </c>
      <c r="O162" s="178" t="s">
        <v>55</v>
      </c>
      <c r="P162" s="180">
        <v>45819.732418981483</v>
      </c>
      <c r="Q162" s="188">
        <f t="shared" ca="1" si="10"/>
        <v>305.26758101851738</v>
      </c>
    </row>
    <row r="163" spans="1:18" ht="15.75" hidden="1">
      <c r="A163" s="247">
        <f t="shared" si="8"/>
        <v>161</v>
      </c>
      <c r="B163" s="244">
        <v>45758</v>
      </c>
      <c r="C163" s="246" t="s">
        <v>611</v>
      </c>
      <c r="D163" s="273" t="s">
        <v>612</v>
      </c>
      <c r="E163" s="247">
        <v>300</v>
      </c>
      <c r="F163" s="247">
        <v>2520</v>
      </c>
      <c r="G163" s="247">
        <v>340</v>
      </c>
      <c r="H163" s="246">
        <f t="shared" si="9"/>
        <v>102000</v>
      </c>
      <c r="I163" s="298" t="s">
        <v>613</v>
      </c>
      <c r="J163" s="246" t="s">
        <v>60</v>
      </c>
      <c r="K163" s="246" t="s">
        <v>4</v>
      </c>
      <c r="L163" s="248">
        <v>299</v>
      </c>
      <c r="M163" s="249" t="s">
        <v>61</v>
      </c>
      <c r="N163" s="246" t="s">
        <v>133</v>
      </c>
      <c r="O163" s="178" t="s">
        <v>55</v>
      </c>
      <c r="P163" s="180">
        <v>45827</v>
      </c>
      <c r="Q163" s="188">
        <f t="shared" ca="1" si="10"/>
        <v>298</v>
      </c>
    </row>
    <row r="164" spans="1:18" ht="15.75" hidden="1">
      <c r="A164" s="229">
        <f t="shared" si="8"/>
        <v>162</v>
      </c>
      <c r="B164" s="244">
        <v>45758</v>
      </c>
      <c r="C164" s="186" t="s">
        <v>615</v>
      </c>
      <c r="D164" s="198" t="s">
        <v>616</v>
      </c>
      <c r="E164" s="229">
        <v>500</v>
      </c>
      <c r="F164" s="229">
        <v>770</v>
      </c>
      <c r="G164" s="229">
        <v>78</v>
      </c>
      <c r="H164" s="186">
        <f t="shared" si="9"/>
        <v>39000</v>
      </c>
      <c r="I164" s="198" t="s">
        <v>617</v>
      </c>
      <c r="J164" s="186" t="s">
        <v>618</v>
      </c>
      <c r="K164" s="186" t="s">
        <v>12</v>
      </c>
      <c r="L164" s="238">
        <v>485</v>
      </c>
      <c r="M164" s="187" t="s">
        <v>836</v>
      </c>
      <c r="N164" s="186" t="s">
        <v>620</v>
      </c>
      <c r="O164" s="178" t="s">
        <v>55</v>
      </c>
      <c r="P164" s="180">
        <v>45832.764502314814</v>
      </c>
      <c r="Q164" s="188">
        <f t="shared" ca="1" si="10"/>
        <v>292.23549768518569</v>
      </c>
    </row>
    <row r="165" spans="1:18" ht="15.75" hidden="1">
      <c r="A165" s="247">
        <f t="shared" si="8"/>
        <v>163</v>
      </c>
      <c r="B165" s="244">
        <v>45758</v>
      </c>
      <c r="C165" s="246" t="s">
        <v>621</v>
      </c>
      <c r="D165" s="273" t="s">
        <v>622</v>
      </c>
      <c r="E165" s="247">
        <v>300</v>
      </c>
      <c r="F165" s="247">
        <v>1700</v>
      </c>
      <c r="G165" s="247">
        <v>125</v>
      </c>
      <c r="H165" s="246">
        <f t="shared" si="9"/>
        <v>37500</v>
      </c>
      <c r="I165" s="246" t="s">
        <v>623</v>
      </c>
      <c r="J165" s="246" t="s">
        <v>609</v>
      </c>
      <c r="K165" s="246" t="s">
        <v>26</v>
      </c>
      <c r="L165" s="248">
        <v>295</v>
      </c>
      <c r="M165" s="249" t="s">
        <v>837</v>
      </c>
      <c r="N165" s="246"/>
      <c r="O165" s="178" t="s">
        <v>55</v>
      </c>
      <c r="P165" s="180">
        <v>45807.580358796295</v>
      </c>
      <c r="Q165" s="188">
        <f t="shared" ca="1" si="10"/>
        <v>317.4196412037054</v>
      </c>
    </row>
    <row r="166" spans="1:18" s="196" customFormat="1" ht="15.75" hidden="1">
      <c r="A166" s="247">
        <f t="shared" si="8"/>
        <v>164</v>
      </c>
      <c r="B166" s="244">
        <v>45758</v>
      </c>
      <c r="C166" s="271" t="s">
        <v>625</v>
      </c>
      <c r="D166" s="280" t="s">
        <v>626</v>
      </c>
      <c r="E166" s="247">
        <v>500</v>
      </c>
      <c r="F166" s="247">
        <v>375</v>
      </c>
      <c r="G166" s="247">
        <v>48</v>
      </c>
      <c r="H166" s="271">
        <f t="shared" si="9"/>
        <v>24000</v>
      </c>
      <c r="I166" s="271" t="s">
        <v>627</v>
      </c>
      <c r="J166" s="271" t="s">
        <v>628</v>
      </c>
      <c r="K166" s="271" t="s">
        <v>13</v>
      </c>
      <c r="L166" s="248">
        <v>516</v>
      </c>
      <c r="M166" s="281" t="s">
        <v>797</v>
      </c>
      <c r="N166" s="271" t="s">
        <v>133</v>
      </c>
      <c r="O166" s="195" t="s">
        <v>55</v>
      </c>
      <c r="P166" s="200">
        <v>45813.445844907408</v>
      </c>
      <c r="Q166" s="188">
        <f t="shared" ca="1" si="10"/>
        <v>311.55415509259183</v>
      </c>
    </row>
    <row r="167" spans="1:18" hidden="1">
      <c r="A167" s="247">
        <f t="shared" si="8"/>
        <v>165</v>
      </c>
      <c r="B167" s="244" t="s">
        <v>630</v>
      </c>
      <c r="C167" s="246" t="s">
        <v>631</v>
      </c>
      <c r="D167" s="246" t="s">
        <v>838</v>
      </c>
      <c r="E167" s="247">
        <v>10000</v>
      </c>
      <c r="F167" s="247">
        <v>18</v>
      </c>
      <c r="G167" s="278">
        <v>1.7</v>
      </c>
      <c r="H167" s="246">
        <f t="shared" si="9"/>
        <v>17000</v>
      </c>
      <c r="I167" s="246" t="s">
        <v>633</v>
      </c>
      <c r="J167" s="246" t="s">
        <v>634</v>
      </c>
      <c r="K167" s="246" t="s">
        <v>635</v>
      </c>
      <c r="L167" s="248">
        <v>11050</v>
      </c>
      <c r="M167" s="249" t="s">
        <v>636</v>
      </c>
      <c r="N167" s="246" t="s">
        <v>133</v>
      </c>
      <c r="O167" s="178" t="s">
        <v>55</v>
      </c>
      <c r="P167" s="180">
        <v>45831</v>
      </c>
      <c r="Q167" s="188">
        <f t="shared" ca="1" si="10"/>
        <v>294</v>
      </c>
    </row>
    <row r="168" spans="1:18" hidden="1">
      <c r="A168" s="247">
        <f t="shared" si="8"/>
        <v>166</v>
      </c>
      <c r="B168" s="244" t="s">
        <v>630</v>
      </c>
      <c r="C168" s="246" t="s">
        <v>637</v>
      </c>
      <c r="D168" s="246" t="s">
        <v>839</v>
      </c>
      <c r="E168" s="247">
        <v>10000</v>
      </c>
      <c r="F168" s="247">
        <v>13.57</v>
      </c>
      <c r="G168" s="278">
        <v>1.8</v>
      </c>
      <c r="H168" s="246">
        <f t="shared" si="9"/>
        <v>18000</v>
      </c>
      <c r="I168" s="246" t="s">
        <v>639</v>
      </c>
      <c r="J168" s="246" t="s">
        <v>634</v>
      </c>
      <c r="K168" s="246" t="s">
        <v>635</v>
      </c>
      <c r="L168" s="248">
        <v>10275</v>
      </c>
      <c r="M168" s="249"/>
      <c r="N168" s="246" t="s">
        <v>133</v>
      </c>
      <c r="O168" s="178" t="s">
        <v>55</v>
      </c>
      <c r="P168" s="180">
        <v>45831</v>
      </c>
      <c r="Q168" s="188">
        <f t="shared" ca="1" si="10"/>
        <v>294</v>
      </c>
    </row>
    <row r="169" spans="1:18" ht="15.75" hidden="1">
      <c r="A169" s="247">
        <f t="shared" si="8"/>
        <v>167</v>
      </c>
      <c r="B169" s="244" t="s">
        <v>630</v>
      </c>
      <c r="C169" s="246" t="s">
        <v>641</v>
      </c>
      <c r="D169" s="273" t="s">
        <v>642</v>
      </c>
      <c r="E169" s="247">
        <v>5000</v>
      </c>
      <c r="F169" s="247">
        <v>105</v>
      </c>
      <c r="G169" s="278">
        <v>8.3000000000000007</v>
      </c>
      <c r="H169" s="246">
        <f t="shared" si="9"/>
        <v>41500</v>
      </c>
      <c r="I169" s="246" t="s">
        <v>643</v>
      </c>
      <c r="J169" s="246" t="s">
        <v>634</v>
      </c>
      <c r="K169" s="246" t="s">
        <v>635</v>
      </c>
      <c r="L169" s="248">
        <v>5118</v>
      </c>
      <c r="M169" s="249" t="s">
        <v>840</v>
      </c>
      <c r="N169" s="246"/>
      <c r="O169" s="178" t="s">
        <v>55</v>
      </c>
      <c r="P169" s="180">
        <v>45817.698391203703</v>
      </c>
      <c r="Q169" s="188">
        <f t="shared" ca="1" si="10"/>
        <v>307.30160879629693</v>
      </c>
    </row>
    <row r="170" spans="1:18" ht="15.75" hidden="1">
      <c r="A170" s="247">
        <f t="shared" si="8"/>
        <v>168</v>
      </c>
      <c r="B170" s="244" t="s">
        <v>630</v>
      </c>
      <c r="C170" s="246" t="s">
        <v>644</v>
      </c>
      <c r="D170" s="273" t="s">
        <v>645</v>
      </c>
      <c r="E170" s="247">
        <v>2000</v>
      </c>
      <c r="F170" s="247">
        <v>280</v>
      </c>
      <c r="G170" s="247">
        <v>16</v>
      </c>
      <c r="H170" s="246">
        <f t="shared" si="9"/>
        <v>32000</v>
      </c>
      <c r="I170" s="246" t="s">
        <v>646</v>
      </c>
      <c r="J170" s="246" t="s">
        <v>634</v>
      </c>
      <c r="K170" s="246" t="s">
        <v>635</v>
      </c>
      <c r="L170" s="248">
        <v>2040</v>
      </c>
      <c r="M170" s="249" t="s">
        <v>640</v>
      </c>
      <c r="N170" s="246" t="s">
        <v>133</v>
      </c>
      <c r="O170" s="178" t="s">
        <v>55</v>
      </c>
      <c r="P170" s="180">
        <v>45783.69159722222</v>
      </c>
      <c r="Q170" s="188">
        <f t="shared" ca="1" si="10"/>
        <v>341.30840277778043</v>
      </c>
    </row>
    <row r="171" spans="1:18" ht="15.75" hidden="1">
      <c r="A171" s="247">
        <f t="shared" si="8"/>
        <v>169</v>
      </c>
      <c r="B171" s="244" t="s">
        <v>630</v>
      </c>
      <c r="C171" s="246" t="s">
        <v>647</v>
      </c>
      <c r="D171" s="273" t="s">
        <v>648</v>
      </c>
      <c r="E171" s="247">
        <v>3000</v>
      </c>
      <c r="F171" s="247">
        <v>104.5</v>
      </c>
      <c r="G171" s="247">
        <v>16</v>
      </c>
      <c r="H171" s="246">
        <f t="shared" si="9"/>
        <v>48000</v>
      </c>
      <c r="I171" s="246" t="s">
        <v>650</v>
      </c>
      <c r="J171" s="246" t="s">
        <v>634</v>
      </c>
      <c r="K171" s="246" t="s">
        <v>635</v>
      </c>
      <c r="L171" s="248">
        <v>3067</v>
      </c>
      <c r="M171" s="249" t="s">
        <v>640</v>
      </c>
      <c r="N171" s="246" t="s">
        <v>133</v>
      </c>
      <c r="O171" s="178" t="s">
        <v>55</v>
      </c>
      <c r="P171" s="180">
        <v>45831</v>
      </c>
      <c r="Q171" s="188">
        <f t="shared" ca="1" si="10"/>
        <v>294</v>
      </c>
    </row>
    <row r="172" spans="1:18" ht="15.75" hidden="1">
      <c r="A172" s="247">
        <f t="shared" si="8"/>
        <v>170</v>
      </c>
      <c r="B172" s="244" t="s">
        <v>630</v>
      </c>
      <c r="C172" s="246" t="s">
        <v>651</v>
      </c>
      <c r="D172" s="488" t="s">
        <v>841</v>
      </c>
      <c r="E172" s="247">
        <v>3000</v>
      </c>
      <c r="F172" s="247" t="s">
        <v>653</v>
      </c>
      <c r="G172" s="278">
        <v>6.5</v>
      </c>
      <c r="H172" s="246">
        <f t="shared" si="9"/>
        <v>19500</v>
      </c>
      <c r="I172" s="246" t="s">
        <v>646</v>
      </c>
      <c r="J172" s="246" t="s">
        <v>634</v>
      </c>
      <c r="K172" s="246" t="s">
        <v>635</v>
      </c>
      <c r="L172" s="248">
        <v>3065</v>
      </c>
      <c r="M172" s="249" t="s">
        <v>842</v>
      </c>
      <c r="N172" s="246" t="s">
        <v>133</v>
      </c>
      <c r="O172" s="178" t="s">
        <v>55</v>
      </c>
      <c r="P172" s="180">
        <v>45896.778344907405</v>
      </c>
      <c r="Q172" s="188">
        <f t="shared" ca="1" si="10"/>
        <v>228.22165509259503</v>
      </c>
    </row>
    <row r="173" spans="1:18" hidden="1">
      <c r="A173" s="247">
        <f t="shared" si="8"/>
        <v>171</v>
      </c>
      <c r="B173" s="244" t="s">
        <v>630</v>
      </c>
      <c r="C173" s="246" t="s">
        <v>654</v>
      </c>
      <c r="D173" s="246" t="s">
        <v>655</v>
      </c>
      <c r="E173" s="247">
        <v>300</v>
      </c>
      <c r="F173" s="247">
        <v>1450</v>
      </c>
      <c r="G173" s="247">
        <v>105</v>
      </c>
      <c r="H173" s="246">
        <f t="shared" si="9"/>
        <v>31500</v>
      </c>
      <c r="I173" s="246" t="s">
        <v>656</v>
      </c>
      <c r="J173" s="246" t="s">
        <v>609</v>
      </c>
      <c r="K173" s="246" t="s">
        <v>4</v>
      </c>
      <c r="L173" s="248">
        <v>246</v>
      </c>
      <c r="M173" s="249" t="s">
        <v>657</v>
      </c>
      <c r="N173" s="246" t="s">
        <v>133</v>
      </c>
      <c r="O173" s="178" t="s">
        <v>55</v>
      </c>
      <c r="P173" s="180">
        <v>45834</v>
      </c>
      <c r="Q173" s="188">
        <f t="shared" ca="1" si="10"/>
        <v>291</v>
      </c>
    </row>
    <row r="174" spans="1:18" s="245" customFormat="1" ht="15.75" hidden="1">
      <c r="A174" s="247">
        <f t="shared" si="8"/>
        <v>172</v>
      </c>
      <c r="B174" s="244" t="s">
        <v>630</v>
      </c>
      <c r="C174" s="246" t="s">
        <v>658</v>
      </c>
      <c r="D174" s="273" t="s">
        <v>659</v>
      </c>
      <c r="E174" s="247">
        <v>500</v>
      </c>
      <c r="F174" s="247">
        <v>1150</v>
      </c>
      <c r="G174" s="247">
        <v>110</v>
      </c>
      <c r="H174" s="246">
        <f t="shared" si="9"/>
        <v>55000</v>
      </c>
      <c r="I174" s="246" t="s">
        <v>617</v>
      </c>
      <c r="J174" s="246" t="s">
        <v>87</v>
      </c>
      <c r="K174" s="246" t="s">
        <v>4</v>
      </c>
      <c r="L174" s="248" t="s">
        <v>133</v>
      </c>
      <c r="M174" s="249" t="s">
        <v>557</v>
      </c>
      <c r="N174" s="246" t="s">
        <v>133</v>
      </c>
      <c r="O174" s="246" t="s">
        <v>55</v>
      </c>
      <c r="P174" s="328">
        <v>45789.573263888888</v>
      </c>
      <c r="Q174" s="327">
        <f t="shared" ca="1" si="10"/>
        <v>335.4267361111124</v>
      </c>
    </row>
    <row r="175" spans="1:18" ht="15.75" hidden="1">
      <c r="A175" s="247">
        <f t="shared" si="8"/>
        <v>173</v>
      </c>
      <c r="B175" s="244" t="s">
        <v>630</v>
      </c>
      <c r="C175" s="246" t="s">
        <v>661</v>
      </c>
      <c r="D175" s="273" t="s">
        <v>662</v>
      </c>
      <c r="E175" s="247">
        <v>2000</v>
      </c>
      <c r="F175" s="247">
        <v>345</v>
      </c>
      <c r="G175" s="247">
        <v>16</v>
      </c>
      <c r="H175" s="246">
        <f t="shared" si="9"/>
        <v>32000</v>
      </c>
      <c r="I175" s="246" t="s">
        <v>633</v>
      </c>
      <c r="J175" s="246" t="s">
        <v>308</v>
      </c>
      <c r="K175" s="246" t="s">
        <v>635</v>
      </c>
      <c r="L175" s="248">
        <v>2047</v>
      </c>
      <c r="M175" s="249" t="s">
        <v>640</v>
      </c>
      <c r="N175" s="246" t="s">
        <v>133</v>
      </c>
      <c r="O175" s="178" t="s">
        <v>55</v>
      </c>
      <c r="P175" s="180">
        <v>45845</v>
      </c>
      <c r="Q175" s="188">
        <f t="shared" ca="1" si="10"/>
        <v>280</v>
      </c>
    </row>
    <row r="176" spans="1:18" ht="15.75" hidden="1">
      <c r="A176" s="247">
        <f t="shared" si="8"/>
        <v>174</v>
      </c>
      <c r="B176" s="244" t="s">
        <v>663</v>
      </c>
      <c r="C176" s="246" t="s">
        <v>664</v>
      </c>
      <c r="D176" s="273" t="s">
        <v>665</v>
      </c>
      <c r="E176" s="247">
        <v>300</v>
      </c>
      <c r="F176" s="247">
        <v>1710</v>
      </c>
      <c r="G176" s="247">
        <v>230</v>
      </c>
      <c r="H176" s="246">
        <f t="shared" si="9"/>
        <v>69000</v>
      </c>
      <c r="I176" s="298" t="s">
        <v>666</v>
      </c>
      <c r="J176" s="246" t="s">
        <v>609</v>
      </c>
      <c r="K176" s="246" t="s">
        <v>26</v>
      </c>
      <c r="L176" s="248">
        <v>305</v>
      </c>
      <c r="M176" s="249" t="s">
        <v>592</v>
      </c>
      <c r="N176" s="246" t="s">
        <v>133</v>
      </c>
      <c r="O176" s="178" t="s">
        <v>55</v>
      </c>
      <c r="P176" s="180">
        <v>45822</v>
      </c>
      <c r="Q176" s="188">
        <f t="shared" ca="1" si="10"/>
        <v>303</v>
      </c>
    </row>
    <row r="177" spans="1:17" ht="15.75" hidden="1">
      <c r="A177" s="247">
        <f t="shared" si="8"/>
        <v>175</v>
      </c>
      <c r="B177" s="244" t="s">
        <v>663</v>
      </c>
      <c r="C177" s="246" t="s">
        <v>667</v>
      </c>
      <c r="D177" s="273" t="s">
        <v>668</v>
      </c>
      <c r="E177" s="247">
        <v>300</v>
      </c>
      <c r="F177" s="247">
        <v>4700</v>
      </c>
      <c r="G177" s="247">
        <v>165</v>
      </c>
      <c r="H177" s="246">
        <f t="shared" si="9"/>
        <v>49500</v>
      </c>
      <c r="I177" s="273" t="s">
        <v>669</v>
      </c>
      <c r="J177" s="246" t="s">
        <v>609</v>
      </c>
      <c r="K177" s="246" t="s">
        <v>7</v>
      </c>
      <c r="L177" s="248">
        <v>313</v>
      </c>
      <c r="M177" s="249" t="s">
        <v>843</v>
      </c>
      <c r="N177" s="246" t="s">
        <v>133</v>
      </c>
      <c r="O177" s="178" t="s">
        <v>55</v>
      </c>
      <c r="P177" s="180">
        <v>45836.749618055554</v>
      </c>
      <c r="Q177" s="188">
        <f t="shared" ca="1" si="10"/>
        <v>288.25038194444642</v>
      </c>
    </row>
    <row r="178" spans="1:17" s="196" customFormat="1" ht="30" hidden="1">
      <c r="A178" s="247">
        <f t="shared" si="8"/>
        <v>176</v>
      </c>
      <c r="B178" s="244" t="s">
        <v>663</v>
      </c>
      <c r="C178" s="271" t="s">
        <v>671</v>
      </c>
      <c r="D178" s="299" t="s">
        <v>672</v>
      </c>
      <c r="E178" s="247">
        <v>5000</v>
      </c>
      <c r="F178" s="247">
        <v>495</v>
      </c>
      <c r="G178" s="247">
        <v>62</v>
      </c>
      <c r="H178" s="271">
        <f t="shared" si="9"/>
        <v>310000</v>
      </c>
      <c r="I178" s="300" t="s">
        <v>673</v>
      </c>
      <c r="J178" s="271" t="s">
        <v>844</v>
      </c>
      <c r="K178" s="301" t="s">
        <v>674</v>
      </c>
      <c r="L178" s="248" t="s">
        <v>845</v>
      </c>
      <c r="M178" s="281" t="s">
        <v>675</v>
      </c>
      <c r="N178" s="271" t="s">
        <v>133</v>
      </c>
      <c r="O178" s="195" t="s">
        <v>55</v>
      </c>
      <c r="P178" s="200">
        <v>45825</v>
      </c>
      <c r="Q178" s="188">
        <f t="shared" ca="1" si="10"/>
        <v>300</v>
      </c>
    </row>
    <row r="179" spans="1:17" hidden="1">
      <c r="A179" s="289">
        <f t="shared" si="8"/>
        <v>177</v>
      </c>
      <c r="B179" s="284">
        <v>45768</v>
      </c>
      <c r="C179" s="245" t="str">
        <f t="shared" ref="C179:C192" si="11">IF(B179="","",_xlfn.CONCAT("MP0",A179))</f>
        <v>MP0177</v>
      </c>
      <c r="D179" s="246" t="s">
        <v>676</v>
      </c>
      <c r="E179" s="247">
        <v>500</v>
      </c>
      <c r="F179" s="247">
        <v>780</v>
      </c>
      <c r="G179" s="247">
        <v>57</v>
      </c>
      <c r="H179" s="246">
        <f t="shared" si="9"/>
        <v>28500</v>
      </c>
      <c r="I179" s="246" t="s">
        <v>677</v>
      </c>
      <c r="J179" s="246" t="s">
        <v>609</v>
      </c>
      <c r="K179" s="246" t="s">
        <v>678</v>
      </c>
      <c r="L179" s="248">
        <v>197</v>
      </c>
      <c r="M179" s="249" t="s">
        <v>833</v>
      </c>
      <c r="N179" s="246" t="s">
        <v>133</v>
      </c>
      <c r="O179" s="178" t="s">
        <v>55</v>
      </c>
      <c r="P179" s="180">
        <v>45815.613310185188</v>
      </c>
      <c r="Q179" s="188">
        <f t="shared" ca="1" si="10"/>
        <v>309.38668981481169</v>
      </c>
    </row>
    <row r="180" spans="1:17" hidden="1">
      <c r="A180" s="289" t="s">
        <v>846</v>
      </c>
      <c r="B180" s="284">
        <v>45768</v>
      </c>
      <c r="C180" s="245" t="str">
        <f t="shared" si="11"/>
        <v xml:space="preserve">MP0   </v>
      </c>
      <c r="D180" s="246" t="s">
        <v>680</v>
      </c>
      <c r="E180" s="247">
        <v>500</v>
      </c>
      <c r="F180" s="247">
        <v>750</v>
      </c>
      <c r="G180" s="247">
        <v>57</v>
      </c>
      <c r="H180" s="246">
        <f t="shared" si="9"/>
        <v>28500</v>
      </c>
      <c r="I180" s="246" t="s">
        <v>677</v>
      </c>
      <c r="J180" s="246" t="s">
        <v>609</v>
      </c>
      <c r="K180" s="246" t="s">
        <v>678</v>
      </c>
      <c r="L180" s="248">
        <v>496</v>
      </c>
      <c r="M180" s="249" t="s">
        <v>681</v>
      </c>
      <c r="N180" s="246"/>
      <c r="O180" s="178" t="s">
        <v>55</v>
      </c>
      <c r="P180" s="180">
        <v>45836</v>
      </c>
      <c r="Q180" s="188">
        <f t="shared" ca="1" si="10"/>
        <v>289</v>
      </c>
    </row>
    <row r="181" spans="1:17" hidden="1">
      <c r="A181" s="289">
        <f t="shared" si="8"/>
        <v>179</v>
      </c>
      <c r="B181" s="284">
        <v>45769</v>
      </c>
      <c r="C181" s="245" t="str">
        <f t="shared" si="11"/>
        <v>MP0179</v>
      </c>
      <c r="D181" s="246" t="s">
        <v>847</v>
      </c>
      <c r="E181" s="247">
        <v>1200</v>
      </c>
      <c r="F181" s="247">
        <v>140</v>
      </c>
      <c r="G181" s="247">
        <v>13.5</v>
      </c>
      <c r="H181" s="246">
        <f t="shared" si="9"/>
        <v>16200</v>
      </c>
      <c r="I181" s="246" t="s">
        <v>269</v>
      </c>
      <c r="J181" s="246" t="s">
        <v>265</v>
      </c>
      <c r="K181" s="246" t="s">
        <v>683</v>
      </c>
      <c r="L181" s="248">
        <v>1165</v>
      </c>
      <c r="M181" s="249"/>
      <c r="N181" s="246"/>
      <c r="O181" s="178" t="s">
        <v>55</v>
      </c>
      <c r="P181" s="180">
        <v>45826</v>
      </c>
      <c r="Q181" s="188">
        <f t="shared" ca="1" si="10"/>
        <v>299</v>
      </c>
    </row>
    <row r="182" spans="1:17" hidden="1">
      <c r="A182" s="289">
        <f t="shared" si="8"/>
        <v>180</v>
      </c>
      <c r="B182" s="284">
        <v>45769</v>
      </c>
      <c r="C182" s="245" t="str">
        <f t="shared" si="11"/>
        <v>MP0180</v>
      </c>
      <c r="D182" s="246" t="s">
        <v>684</v>
      </c>
      <c r="E182" s="247">
        <v>1200</v>
      </c>
      <c r="F182" s="247">
        <v>170</v>
      </c>
      <c r="G182" s="247">
        <v>13.5</v>
      </c>
      <c r="H182" s="246">
        <f t="shared" si="9"/>
        <v>16200</v>
      </c>
      <c r="I182" s="246" t="s">
        <v>269</v>
      </c>
      <c r="J182" s="246" t="s">
        <v>265</v>
      </c>
      <c r="K182" s="246" t="s">
        <v>683</v>
      </c>
      <c r="L182" s="248">
        <v>1190</v>
      </c>
      <c r="M182" s="249"/>
      <c r="N182" s="246"/>
      <c r="O182" s="178" t="s">
        <v>55</v>
      </c>
      <c r="P182" s="180">
        <v>45826</v>
      </c>
      <c r="Q182" s="188">
        <f t="shared" ca="1" si="10"/>
        <v>299</v>
      </c>
    </row>
    <row r="183" spans="1:17" hidden="1">
      <c r="A183" s="289">
        <f t="shared" si="8"/>
        <v>181</v>
      </c>
      <c r="B183" s="284">
        <v>45769</v>
      </c>
      <c r="C183" s="245" t="str">
        <f t="shared" si="11"/>
        <v>MP0181</v>
      </c>
      <c r="D183" s="246" t="s">
        <v>685</v>
      </c>
      <c r="E183" s="247">
        <v>1200</v>
      </c>
      <c r="F183" s="247">
        <v>165</v>
      </c>
      <c r="G183" s="247">
        <v>13.5</v>
      </c>
      <c r="H183" s="246">
        <f t="shared" si="9"/>
        <v>16200</v>
      </c>
      <c r="I183" s="246" t="s">
        <v>269</v>
      </c>
      <c r="J183" s="246" t="s">
        <v>265</v>
      </c>
      <c r="K183" s="246" t="s">
        <v>683</v>
      </c>
      <c r="L183" s="248">
        <v>1191</v>
      </c>
      <c r="M183" s="249"/>
      <c r="N183" s="246"/>
      <c r="O183" s="178" t="s">
        <v>55</v>
      </c>
      <c r="P183" s="180">
        <v>45826</v>
      </c>
      <c r="Q183" s="188">
        <f t="shared" ca="1" si="10"/>
        <v>299</v>
      </c>
    </row>
    <row r="184" spans="1:17" hidden="1">
      <c r="A184" s="289">
        <f t="shared" si="8"/>
        <v>182</v>
      </c>
      <c r="B184" s="244">
        <v>45770</v>
      </c>
      <c r="C184" s="245" t="str">
        <f t="shared" si="11"/>
        <v>MP0182</v>
      </c>
      <c r="D184" s="246" t="s">
        <v>686</v>
      </c>
      <c r="E184" s="247">
        <v>300</v>
      </c>
      <c r="F184" s="247">
        <v>960</v>
      </c>
      <c r="G184" s="247">
        <v>90</v>
      </c>
      <c r="H184" s="246">
        <f t="shared" si="9"/>
        <v>27000</v>
      </c>
      <c r="I184" s="246" t="s">
        <v>66</v>
      </c>
      <c r="J184" s="246" t="s">
        <v>609</v>
      </c>
      <c r="K184" s="246" t="s">
        <v>15</v>
      </c>
      <c r="L184" s="248">
        <v>348</v>
      </c>
      <c r="M184" s="249" t="s">
        <v>848</v>
      </c>
      <c r="N184" s="246" t="s">
        <v>200</v>
      </c>
      <c r="O184" s="178" t="s">
        <v>55</v>
      </c>
      <c r="P184" s="180">
        <v>45820.68986111111</v>
      </c>
      <c r="Q184" s="188">
        <f t="shared" ca="1" si="10"/>
        <v>304.31013888888992</v>
      </c>
    </row>
    <row r="185" spans="1:17" hidden="1">
      <c r="A185" s="289">
        <f t="shared" si="8"/>
        <v>183</v>
      </c>
      <c r="B185" s="244">
        <v>45770</v>
      </c>
      <c r="C185" s="245" t="str">
        <f t="shared" si="11"/>
        <v>MP0183</v>
      </c>
      <c r="D185" s="246" t="s">
        <v>687</v>
      </c>
      <c r="E185" s="247">
        <v>1000</v>
      </c>
      <c r="F185" s="247">
        <v>165</v>
      </c>
      <c r="G185" s="247">
        <v>32</v>
      </c>
      <c r="H185" s="246">
        <f t="shared" si="9"/>
        <v>32000</v>
      </c>
      <c r="I185" s="246" t="s">
        <v>688</v>
      </c>
      <c r="J185" s="246" t="s">
        <v>265</v>
      </c>
      <c r="K185" s="246" t="s">
        <v>23</v>
      </c>
      <c r="L185" s="248"/>
      <c r="M185" s="249" t="s">
        <v>657</v>
      </c>
      <c r="N185" s="246"/>
      <c r="O185" s="178" t="s">
        <v>55</v>
      </c>
      <c r="P185" s="180">
        <v>45783.712523148148</v>
      </c>
      <c r="Q185" s="188">
        <f t="shared" ca="1" si="10"/>
        <v>341.28747685185226</v>
      </c>
    </row>
    <row r="186" spans="1:17" ht="30" hidden="1">
      <c r="A186" s="289">
        <v>184</v>
      </c>
      <c r="B186" s="244">
        <v>45773</v>
      </c>
      <c r="C186" s="245" t="str">
        <f t="shared" si="11"/>
        <v>MP0184</v>
      </c>
      <c r="D186" s="246" t="s">
        <v>689</v>
      </c>
      <c r="E186" s="247">
        <v>3000</v>
      </c>
      <c r="F186" s="247">
        <v>150</v>
      </c>
      <c r="G186" s="247">
        <v>24</v>
      </c>
      <c r="H186" s="246">
        <f t="shared" si="9"/>
        <v>72000</v>
      </c>
      <c r="I186" s="246" t="s">
        <v>690</v>
      </c>
      <c r="J186" s="246" t="s">
        <v>265</v>
      </c>
      <c r="K186" s="246" t="s">
        <v>678</v>
      </c>
      <c r="L186" s="248"/>
      <c r="M186" s="249" t="s">
        <v>849</v>
      </c>
      <c r="N186" s="246"/>
      <c r="O186" s="178" t="s">
        <v>55</v>
      </c>
      <c r="P186" s="180">
        <v>45792</v>
      </c>
      <c r="Q186" s="188">
        <f t="shared" ca="1" si="10"/>
        <v>333</v>
      </c>
    </row>
    <row r="187" spans="1:17" s="245" customFormat="1" hidden="1">
      <c r="A187" s="289">
        <v>185</v>
      </c>
      <c r="B187" s="244">
        <v>45776</v>
      </c>
      <c r="C187" s="245" t="str">
        <f t="shared" si="11"/>
        <v>MP0185</v>
      </c>
      <c r="D187" s="246" t="s">
        <v>850</v>
      </c>
      <c r="E187" s="247">
        <v>300</v>
      </c>
      <c r="F187" s="247">
        <v>2200</v>
      </c>
      <c r="G187" s="247">
        <v>330</v>
      </c>
      <c r="H187" s="246">
        <f t="shared" si="9"/>
        <v>99000</v>
      </c>
      <c r="I187" s="246" t="s">
        <v>59</v>
      </c>
      <c r="J187" s="246" t="s">
        <v>87</v>
      </c>
      <c r="K187" s="246" t="s">
        <v>4</v>
      </c>
      <c r="L187" s="248"/>
      <c r="M187" s="249" t="s">
        <v>692</v>
      </c>
      <c r="N187" s="246"/>
      <c r="O187" s="246" t="s">
        <v>55</v>
      </c>
      <c r="P187" s="328">
        <v>45776.727962962963</v>
      </c>
      <c r="Q187" s="327">
        <f t="shared" ca="1" si="10"/>
        <v>348.27203703703708</v>
      </c>
    </row>
    <row r="188" spans="1:17" hidden="1">
      <c r="A188" s="289">
        <v>186</v>
      </c>
      <c r="B188" s="244">
        <v>45773</v>
      </c>
      <c r="C188" s="245" t="str">
        <f>IF(B186="","",_xlfn.CONCAT("MP0",A188))</f>
        <v>MP0186</v>
      </c>
      <c r="D188" s="246" t="s">
        <v>693</v>
      </c>
      <c r="E188" s="247">
        <v>300</v>
      </c>
      <c r="F188" s="247">
        <v>780</v>
      </c>
      <c r="G188" s="247">
        <v>54</v>
      </c>
      <c r="H188" s="246">
        <f t="shared" si="9"/>
        <v>16200</v>
      </c>
      <c r="I188" s="246" t="s">
        <v>66</v>
      </c>
      <c r="J188" s="246" t="s">
        <v>60</v>
      </c>
      <c r="K188" s="246" t="s">
        <v>678</v>
      </c>
      <c r="L188" s="248">
        <v>278</v>
      </c>
      <c r="M188" s="249" t="s">
        <v>833</v>
      </c>
      <c r="N188" s="246"/>
      <c r="O188" s="178" t="s">
        <v>55</v>
      </c>
      <c r="P188" s="180">
        <v>45815.614259259259</v>
      </c>
      <c r="Q188" s="188">
        <f t="shared" ca="1" si="10"/>
        <v>309.38574074074131</v>
      </c>
    </row>
    <row r="189" spans="1:17" hidden="1">
      <c r="A189" s="247">
        <f t="shared" ref="A189" si="12">IF(B189="","",ROW()-2)</f>
        <v>187</v>
      </c>
      <c r="B189" s="244">
        <v>45773</v>
      </c>
      <c r="C189" s="246" t="s">
        <v>694</v>
      </c>
      <c r="D189" s="246" t="s">
        <v>786</v>
      </c>
      <c r="E189" s="247">
        <v>6000</v>
      </c>
      <c r="F189" s="247">
        <v>85</v>
      </c>
      <c r="G189" s="278">
        <v>10.75</v>
      </c>
      <c r="H189" s="246">
        <f t="shared" si="9"/>
        <v>64500</v>
      </c>
      <c r="I189" s="246" t="s">
        <v>99</v>
      </c>
      <c r="J189" s="246" t="s">
        <v>100</v>
      </c>
      <c r="K189" s="246" t="s">
        <v>5</v>
      </c>
      <c r="L189" s="248"/>
      <c r="M189" s="249"/>
      <c r="N189" s="246" t="s">
        <v>102</v>
      </c>
      <c r="O189" s="178" t="s">
        <v>55</v>
      </c>
      <c r="P189" s="180">
        <v>45832</v>
      </c>
      <c r="Q189" s="188">
        <f t="shared" ca="1" si="10"/>
        <v>293</v>
      </c>
    </row>
    <row r="190" spans="1:17" s="245" customFormat="1" hidden="1">
      <c r="A190" s="289">
        <v>188</v>
      </c>
      <c r="B190" s="244">
        <v>45775</v>
      </c>
      <c r="C190" s="245" t="str">
        <f t="shared" si="11"/>
        <v>MP0188</v>
      </c>
      <c r="D190" s="246" t="s">
        <v>696</v>
      </c>
      <c r="E190" s="247">
        <v>3000</v>
      </c>
      <c r="F190" s="247">
        <v>145</v>
      </c>
      <c r="G190" s="278">
        <v>14.2</v>
      </c>
      <c r="H190" s="246">
        <f t="shared" si="9"/>
        <v>42600</v>
      </c>
      <c r="I190" s="246" t="s">
        <v>51</v>
      </c>
      <c r="J190" s="246" t="s">
        <v>385</v>
      </c>
      <c r="K190" s="246" t="s">
        <v>697</v>
      </c>
      <c r="L190" s="248">
        <v>2742</v>
      </c>
      <c r="M190" s="249" t="s">
        <v>851</v>
      </c>
      <c r="N190" s="246"/>
      <c r="O190" s="246" t="s">
        <v>55</v>
      </c>
      <c r="P190" s="328">
        <v>45791</v>
      </c>
      <c r="Q190" s="327">
        <f t="shared" ca="1" si="10"/>
        <v>334</v>
      </c>
    </row>
    <row r="191" spans="1:17" hidden="1">
      <c r="A191" s="289">
        <v>189</v>
      </c>
      <c r="B191" s="244">
        <v>45773</v>
      </c>
      <c r="C191" s="245" t="s">
        <v>698</v>
      </c>
      <c r="D191" s="246" t="s">
        <v>693</v>
      </c>
      <c r="E191" s="247">
        <v>200</v>
      </c>
      <c r="F191" s="247">
        <v>600</v>
      </c>
      <c r="G191" s="247">
        <v>54</v>
      </c>
      <c r="H191" s="246">
        <f t="shared" ref="H191" si="13">IF(G191="","",E191*G191)</f>
        <v>10800</v>
      </c>
      <c r="I191" s="246" t="s">
        <v>66</v>
      </c>
      <c r="J191" s="246" t="s">
        <v>60</v>
      </c>
      <c r="K191" s="246" t="s">
        <v>678</v>
      </c>
      <c r="L191" s="248">
        <v>199</v>
      </c>
      <c r="M191" s="249" t="s">
        <v>566</v>
      </c>
      <c r="N191" s="246"/>
      <c r="O191" s="178" t="s">
        <v>55</v>
      </c>
      <c r="P191" s="180">
        <v>45828</v>
      </c>
      <c r="Q191" s="188">
        <f t="shared" ref="Q191:Q199" ca="1" si="14">TODAY()-P191</f>
        <v>297</v>
      </c>
    </row>
    <row r="192" spans="1:17" hidden="1">
      <c r="A192" s="289">
        <v>190</v>
      </c>
      <c r="B192" s="244">
        <v>45776</v>
      </c>
      <c r="C192" s="245" t="str">
        <f t="shared" si="11"/>
        <v>MP0190</v>
      </c>
      <c r="D192" s="246" t="s">
        <v>699</v>
      </c>
      <c r="E192" s="247">
        <v>250</v>
      </c>
      <c r="F192" s="247" t="s">
        <v>231</v>
      </c>
      <c r="G192" s="278">
        <v>100</v>
      </c>
      <c r="H192" s="246">
        <f t="shared" si="9"/>
        <v>25000</v>
      </c>
      <c r="I192" s="246" t="s">
        <v>700</v>
      </c>
      <c r="J192" s="246" t="s">
        <v>609</v>
      </c>
      <c r="K192" s="246" t="s">
        <v>9</v>
      </c>
      <c r="L192" s="248"/>
      <c r="M192" s="249"/>
      <c r="N192" s="246"/>
      <c r="O192" s="178" t="s">
        <v>55</v>
      </c>
      <c r="P192" s="180">
        <v>45840</v>
      </c>
      <c r="Q192" s="188">
        <f t="shared" ca="1" si="14"/>
        <v>285</v>
      </c>
    </row>
    <row r="193" spans="1:17" hidden="1">
      <c r="A193" s="290">
        <v>191</v>
      </c>
      <c r="B193" s="226">
        <v>45776</v>
      </c>
      <c r="C193" s="211" t="s">
        <v>701</v>
      </c>
      <c r="D193" s="212" t="s">
        <v>702</v>
      </c>
      <c r="E193" s="232">
        <v>300</v>
      </c>
      <c r="F193" s="232"/>
      <c r="G193" s="267"/>
      <c r="H193" s="212">
        <v>0</v>
      </c>
      <c r="I193" s="212" t="s">
        <v>300</v>
      </c>
      <c r="J193" s="212" t="s">
        <v>60</v>
      </c>
      <c r="K193" s="212" t="s">
        <v>4</v>
      </c>
      <c r="L193" s="242"/>
      <c r="M193" s="213" t="s">
        <v>703</v>
      </c>
      <c r="N193" s="212"/>
      <c r="O193" s="178" t="s">
        <v>370</v>
      </c>
      <c r="P193" s="180">
        <v>45776.774884259263</v>
      </c>
      <c r="Q193" s="188">
        <f t="shared" ca="1" si="14"/>
        <v>348.22511574073724</v>
      </c>
    </row>
    <row r="194" spans="1:17" s="245" customFormat="1" hidden="1">
      <c r="A194" s="289">
        <v>192</v>
      </c>
      <c r="B194" s="244">
        <v>45780</v>
      </c>
      <c r="C194" s="245" t="s">
        <v>704</v>
      </c>
      <c r="D194" s="246" t="s">
        <v>705</v>
      </c>
      <c r="E194" s="247">
        <v>300</v>
      </c>
      <c r="F194" s="247">
        <v>60.36</v>
      </c>
      <c r="G194" s="278">
        <v>58</v>
      </c>
      <c r="H194" s="246">
        <f t="shared" ref="H194" si="15">IF(G194="","",E194*G194)</f>
        <v>17400</v>
      </c>
      <c r="I194" s="246" t="s">
        <v>66</v>
      </c>
      <c r="J194" s="246" t="s">
        <v>60</v>
      </c>
      <c r="K194" s="246" t="s">
        <v>9</v>
      </c>
      <c r="L194" s="248"/>
      <c r="M194" s="249" t="s">
        <v>852</v>
      </c>
      <c r="N194" s="246" t="s">
        <v>200</v>
      </c>
      <c r="O194" s="246" t="s">
        <v>55</v>
      </c>
      <c r="P194" s="328">
        <v>45864</v>
      </c>
      <c r="Q194" s="327">
        <f t="shared" ca="1" si="14"/>
        <v>261</v>
      </c>
    </row>
    <row r="195" spans="1:17" s="245" customFormat="1" hidden="1">
      <c r="A195" s="289">
        <v>193</v>
      </c>
      <c r="B195" s="244">
        <v>45780</v>
      </c>
      <c r="C195" s="245" t="s">
        <v>707</v>
      </c>
      <c r="D195" s="246" t="s">
        <v>853</v>
      </c>
      <c r="E195" s="247">
        <v>300</v>
      </c>
      <c r="F195" s="247">
        <v>121</v>
      </c>
      <c r="G195" s="278">
        <v>105</v>
      </c>
      <c r="H195" s="246">
        <f t="shared" ref="H195" si="16">IF(G195="","",E195*G195)</f>
        <v>31500</v>
      </c>
      <c r="I195" s="246" t="s">
        <v>66</v>
      </c>
      <c r="J195" s="246" t="s">
        <v>60</v>
      </c>
      <c r="K195" s="246" t="s">
        <v>9</v>
      </c>
      <c r="L195" s="248">
        <v>291</v>
      </c>
      <c r="M195" s="249"/>
      <c r="N195" s="246" t="s">
        <v>200</v>
      </c>
      <c r="O195" s="246" t="s">
        <v>55</v>
      </c>
      <c r="P195" s="328">
        <v>45854</v>
      </c>
      <c r="Q195" s="327">
        <f t="shared" ca="1" si="14"/>
        <v>271</v>
      </c>
    </row>
    <row r="196" spans="1:17" hidden="1">
      <c r="A196" s="289">
        <v>194</v>
      </c>
      <c r="B196" s="244">
        <v>45780</v>
      </c>
      <c r="C196" s="245" t="s">
        <v>709</v>
      </c>
      <c r="D196" s="246" t="s">
        <v>710</v>
      </c>
      <c r="E196" s="247">
        <v>1200</v>
      </c>
      <c r="F196" s="247">
        <v>175</v>
      </c>
      <c r="G196" s="247">
        <v>13</v>
      </c>
      <c r="H196" s="246">
        <f t="shared" ref="H196" si="17">IF(G196="","",E196*G196)</f>
        <v>15600</v>
      </c>
      <c r="I196" s="246" t="s">
        <v>269</v>
      </c>
      <c r="J196" s="246" t="s">
        <v>265</v>
      </c>
      <c r="K196" s="246" t="s">
        <v>683</v>
      </c>
      <c r="L196" s="248">
        <v>1191</v>
      </c>
      <c r="M196" s="249" t="s">
        <v>854</v>
      </c>
      <c r="N196" s="246"/>
      <c r="O196" s="178" t="s">
        <v>55</v>
      </c>
      <c r="P196" s="180">
        <v>45896.781134259261</v>
      </c>
      <c r="Q196" s="188">
        <f t="shared" ca="1" si="14"/>
        <v>228.21886574073869</v>
      </c>
    </row>
    <row r="197" spans="1:17" hidden="1">
      <c r="A197" s="289">
        <v>195</v>
      </c>
      <c r="B197" s="244">
        <v>45780</v>
      </c>
      <c r="C197" s="245" t="s">
        <v>711</v>
      </c>
      <c r="D197" s="246" t="s">
        <v>855</v>
      </c>
      <c r="E197" s="247">
        <v>1200</v>
      </c>
      <c r="F197" s="247">
        <v>175</v>
      </c>
      <c r="G197" s="247">
        <v>13</v>
      </c>
      <c r="H197" s="246">
        <f t="shared" ref="H197" si="18">IF(G197="","",E197*G197)</f>
        <v>15600</v>
      </c>
      <c r="I197" s="246" t="s">
        <v>269</v>
      </c>
      <c r="J197" s="246" t="s">
        <v>265</v>
      </c>
      <c r="K197" s="246" t="s">
        <v>683</v>
      </c>
      <c r="L197" s="248">
        <v>1200</v>
      </c>
      <c r="M197" s="249" t="s">
        <v>856</v>
      </c>
      <c r="N197" s="246"/>
      <c r="O197" s="178" t="s">
        <v>55</v>
      </c>
      <c r="P197" s="180">
        <v>45896.783101851855</v>
      </c>
      <c r="Q197" s="188">
        <f t="shared" ca="1" si="14"/>
        <v>228.21689814814454</v>
      </c>
    </row>
    <row r="198" spans="1:17" hidden="1">
      <c r="A198" s="289">
        <v>196</v>
      </c>
      <c r="B198" s="244">
        <v>45780</v>
      </c>
      <c r="C198" s="245" t="s">
        <v>713</v>
      </c>
      <c r="D198" s="246" t="s">
        <v>714</v>
      </c>
      <c r="E198" s="247">
        <v>1200</v>
      </c>
      <c r="F198" s="247">
        <v>195</v>
      </c>
      <c r="G198" s="247">
        <v>13.5</v>
      </c>
      <c r="H198" s="246">
        <f t="shared" ref="H198:H199" si="19">IF(G198="","",E198*G198)</f>
        <v>16200</v>
      </c>
      <c r="I198" s="246" t="s">
        <v>269</v>
      </c>
      <c r="J198" s="246" t="s">
        <v>265</v>
      </c>
      <c r="K198" s="246" t="s">
        <v>683</v>
      </c>
      <c r="L198" s="248"/>
      <c r="M198" s="249"/>
      <c r="N198" s="246"/>
      <c r="O198" s="178" t="s">
        <v>55</v>
      </c>
      <c r="P198" s="180">
        <v>45804.450428240743</v>
      </c>
      <c r="Q198" s="188">
        <f t="shared" ca="1" si="14"/>
        <v>320.54957175925665</v>
      </c>
    </row>
    <row r="199" spans="1:17" hidden="1">
      <c r="A199" s="289">
        <f t="shared" ref="A199" si="20">IF(B199="","",ROW()-2)</f>
        <v>197</v>
      </c>
      <c r="B199" s="244">
        <v>45780</v>
      </c>
      <c r="C199" s="245" t="s">
        <v>715</v>
      </c>
      <c r="D199" s="246" t="s">
        <v>85</v>
      </c>
      <c r="E199" s="247">
        <v>500</v>
      </c>
      <c r="F199" s="247">
        <v>1790</v>
      </c>
      <c r="G199" s="247">
        <v>130</v>
      </c>
      <c r="H199" s="246">
        <f t="shared" si="19"/>
        <v>65000</v>
      </c>
      <c r="I199" s="246" t="s">
        <v>86</v>
      </c>
      <c r="J199" s="246" t="s">
        <v>87</v>
      </c>
      <c r="K199" s="246" t="s">
        <v>4</v>
      </c>
      <c r="L199" s="248">
        <v>492</v>
      </c>
      <c r="M199" s="249" t="s">
        <v>857</v>
      </c>
      <c r="N199" s="246" t="s">
        <v>89</v>
      </c>
      <c r="O199" s="178" t="s">
        <v>55</v>
      </c>
      <c r="P199" s="180">
        <v>45820.756493055553</v>
      </c>
      <c r="Q199" s="188">
        <f t="shared" ca="1" si="14"/>
        <v>304.24350694444729</v>
      </c>
    </row>
    <row r="200" spans="1:17" hidden="1">
      <c r="A200" s="289">
        <f t="shared" ref="A200:A202" si="21">IF(B200="","",ROW()-2)</f>
        <v>198</v>
      </c>
      <c r="B200" s="244">
        <v>45782</v>
      </c>
      <c r="C200" s="245" t="s">
        <v>716</v>
      </c>
      <c r="D200" s="246" t="s">
        <v>717</v>
      </c>
      <c r="E200" s="247">
        <v>150</v>
      </c>
      <c r="F200" s="247">
        <v>5240</v>
      </c>
      <c r="G200" s="247">
        <v>730</v>
      </c>
      <c r="H200" s="246">
        <f t="shared" ref="H200:H202" si="22">IF(G200="","",E200*G200)</f>
        <v>109500</v>
      </c>
      <c r="I200" s="246" t="s">
        <v>152</v>
      </c>
      <c r="J200" s="246" t="s">
        <v>60</v>
      </c>
      <c r="K200" s="246" t="s">
        <v>4</v>
      </c>
      <c r="L200" s="248">
        <v>153</v>
      </c>
      <c r="M200" s="249" t="s">
        <v>840</v>
      </c>
      <c r="N200" s="246"/>
      <c r="O200" s="178" t="s">
        <v>55</v>
      </c>
      <c r="P200" s="180">
        <v>45817.685243055559</v>
      </c>
      <c r="Q200" s="188">
        <f t="shared" ref="Q200" ca="1" si="23">TODAY()-P200</f>
        <v>307.31475694444089</v>
      </c>
    </row>
    <row r="201" spans="1:17" hidden="1">
      <c r="A201" s="247">
        <f t="shared" si="21"/>
        <v>199</v>
      </c>
      <c r="B201" s="244">
        <v>45782</v>
      </c>
      <c r="C201" s="246" t="s">
        <v>718</v>
      </c>
      <c r="D201" s="246" t="s">
        <v>50</v>
      </c>
      <c r="E201" s="247">
        <v>2000</v>
      </c>
      <c r="F201" s="247">
        <v>168</v>
      </c>
      <c r="G201" s="247">
        <v>24</v>
      </c>
      <c r="H201" s="246">
        <f t="shared" si="22"/>
        <v>48000</v>
      </c>
      <c r="I201" s="246" t="s">
        <v>51</v>
      </c>
      <c r="J201" s="246" t="s">
        <v>52</v>
      </c>
      <c r="K201" s="246" t="s">
        <v>27</v>
      </c>
      <c r="L201" s="248">
        <v>2160</v>
      </c>
      <c r="M201" s="249" t="s">
        <v>692</v>
      </c>
      <c r="N201" s="246" t="s">
        <v>54</v>
      </c>
      <c r="O201" s="178" t="s">
        <v>55</v>
      </c>
      <c r="P201" s="180">
        <v>45782.718865740739</v>
      </c>
      <c r="Q201" s="188">
        <f ca="1">TODAY()-P201</f>
        <v>342.28113425926131</v>
      </c>
    </row>
    <row r="202" spans="1:17" s="245" customFormat="1" hidden="1">
      <c r="A202" s="247">
        <f t="shared" si="21"/>
        <v>200</v>
      </c>
      <c r="B202" s="244">
        <v>45783</v>
      </c>
      <c r="C202" s="246" t="s">
        <v>719</v>
      </c>
      <c r="D202" s="246" t="s">
        <v>124</v>
      </c>
      <c r="E202" s="247">
        <v>300</v>
      </c>
      <c r="F202" s="247">
        <v>2500</v>
      </c>
      <c r="G202" s="247">
        <v>150</v>
      </c>
      <c r="H202" s="246">
        <f t="shared" si="22"/>
        <v>45000</v>
      </c>
      <c r="I202" s="246" t="s">
        <v>125</v>
      </c>
      <c r="J202" s="246" t="s">
        <v>113</v>
      </c>
      <c r="K202" s="246" t="s">
        <v>9</v>
      </c>
      <c r="L202" s="248">
        <v>298</v>
      </c>
      <c r="M202" s="249" t="s">
        <v>692</v>
      </c>
      <c r="N202" s="246" t="s">
        <v>54</v>
      </c>
      <c r="O202" s="246" t="s">
        <v>55</v>
      </c>
      <c r="P202" s="328">
        <v>45854</v>
      </c>
      <c r="Q202" s="327">
        <f t="shared" ref="Q202:Q203" ca="1" si="24">TODAY()-P202</f>
        <v>271</v>
      </c>
    </row>
    <row r="203" spans="1:17" hidden="1">
      <c r="A203" s="289">
        <f t="shared" ref="A203" si="25">IF(B203="","",ROW()-2)</f>
        <v>201</v>
      </c>
      <c r="B203" s="244">
        <v>45783</v>
      </c>
      <c r="C203" s="245" t="s">
        <v>720</v>
      </c>
      <c r="D203" s="246" t="s">
        <v>721</v>
      </c>
      <c r="E203" s="247">
        <v>300</v>
      </c>
      <c r="F203" s="247">
        <v>1550</v>
      </c>
      <c r="G203" s="247">
        <v>165</v>
      </c>
      <c r="H203" s="246">
        <f t="shared" ref="H203" si="26">IF(G203="","",E203*G203)</f>
        <v>49500</v>
      </c>
      <c r="I203" s="246" t="s">
        <v>66</v>
      </c>
      <c r="J203" s="246" t="s">
        <v>60</v>
      </c>
      <c r="K203" s="246" t="s">
        <v>7</v>
      </c>
      <c r="L203" s="248">
        <v>295</v>
      </c>
      <c r="M203" s="249" t="s">
        <v>168</v>
      </c>
      <c r="N203" s="246"/>
      <c r="O203" s="178" t="s">
        <v>55</v>
      </c>
      <c r="P203" s="180">
        <v>45829</v>
      </c>
      <c r="Q203" s="188">
        <f t="shared" ca="1" si="24"/>
        <v>296</v>
      </c>
    </row>
    <row r="204" spans="1:17" hidden="1">
      <c r="A204" s="292">
        <f t="shared" ref="A204:A222" si="27">IF(B204="","",ROW()-2)</f>
        <v>202</v>
      </c>
      <c r="B204" s="276">
        <v>45785</v>
      </c>
      <c r="C204" s="245" t="str">
        <f t="shared" ref="C204:C222" si="28">IF(B204="","",_xlfn.CONCAT("MP0",A204))</f>
        <v>MP0202</v>
      </c>
      <c r="D204" s="277" t="s">
        <v>723</v>
      </c>
      <c r="E204" s="247">
        <v>300</v>
      </c>
      <c r="F204" s="247">
        <v>1090</v>
      </c>
      <c r="G204" s="278">
        <v>165</v>
      </c>
      <c r="H204" s="246">
        <f t="shared" ref="H204:H221" si="29">IF(G204="","",E204*G204)</f>
        <v>49500</v>
      </c>
      <c r="I204" s="277" t="s">
        <v>66</v>
      </c>
      <c r="J204" s="277" t="s">
        <v>60</v>
      </c>
      <c r="K204" s="277" t="s">
        <v>7</v>
      </c>
      <c r="L204" s="248"/>
      <c r="M204" s="249" t="s">
        <v>858</v>
      </c>
      <c r="N204" s="246">
        <v>294</v>
      </c>
      <c r="O204" s="178" t="s">
        <v>55</v>
      </c>
      <c r="P204" s="180">
        <v>45845</v>
      </c>
      <c r="Q204" s="217">
        <f t="shared" ref="Q204:Q267" ca="1" si="30">TODAY()-P204</f>
        <v>280</v>
      </c>
    </row>
    <row r="205" spans="1:17" s="245" customFormat="1" hidden="1">
      <c r="A205" s="292">
        <f t="shared" si="27"/>
        <v>203</v>
      </c>
      <c r="B205" s="276">
        <v>45785</v>
      </c>
      <c r="C205" s="245" t="str">
        <f t="shared" si="28"/>
        <v>MP0203</v>
      </c>
      <c r="D205" s="277" t="s">
        <v>724</v>
      </c>
      <c r="E205" s="247">
        <v>3000</v>
      </c>
      <c r="F205" s="247" t="s">
        <v>859</v>
      </c>
      <c r="G205" s="278">
        <v>8.5</v>
      </c>
      <c r="H205" s="246">
        <f t="shared" si="29"/>
        <v>25500</v>
      </c>
      <c r="I205" s="246" t="s">
        <v>726</v>
      </c>
      <c r="J205" s="246" t="s">
        <v>634</v>
      </c>
      <c r="K205" s="277" t="s">
        <v>7</v>
      </c>
      <c r="L205" s="248"/>
      <c r="M205" s="249" t="s">
        <v>860</v>
      </c>
      <c r="N205" s="246"/>
      <c r="O205" s="246" t="s">
        <v>55</v>
      </c>
      <c r="P205" s="328">
        <v>45864</v>
      </c>
      <c r="Q205" s="329">
        <f t="shared" ca="1" si="30"/>
        <v>261</v>
      </c>
    </row>
    <row r="206" spans="1:17" s="245" customFormat="1" hidden="1">
      <c r="A206" s="292">
        <f t="shared" si="27"/>
        <v>204</v>
      </c>
      <c r="B206" s="276">
        <v>45785</v>
      </c>
      <c r="C206" s="245" t="str">
        <f t="shared" si="28"/>
        <v>MP0204</v>
      </c>
      <c r="D206" s="277" t="s">
        <v>728</v>
      </c>
      <c r="E206" s="247">
        <v>3000</v>
      </c>
      <c r="F206" s="247" t="s">
        <v>861</v>
      </c>
      <c r="G206" s="278">
        <v>11.75</v>
      </c>
      <c r="H206" s="246">
        <f>IF(G206="","",E206*G206)</f>
        <v>35250</v>
      </c>
      <c r="I206" s="246" t="s">
        <v>726</v>
      </c>
      <c r="J206" s="246" t="s">
        <v>634</v>
      </c>
      <c r="K206" s="277" t="s">
        <v>7</v>
      </c>
      <c r="L206" s="248">
        <v>4955</v>
      </c>
      <c r="M206" s="249" t="s">
        <v>860</v>
      </c>
      <c r="N206" s="246"/>
      <c r="O206" s="246" t="s">
        <v>55</v>
      </c>
      <c r="P206" s="328">
        <v>45852</v>
      </c>
      <c r="Q206" s="329">
        <f t="shared" ca="1" si="30"/>
        <v>273</v>
      </c>
    </row>
    <row r="207" spans="1:17" s="245" customFormat="1" hidden="1">
      <c r="A207" s="292">
        <f t="shared" si="27"/>
        <v>205</v>
      </c>
      <c r="B207" s="276">
        <v>45785</v>
      </c>
      <c r="C207" s="245" t="str">
        <f t="shared" si="28"/>
        <v>MP0205</v>
      </c>
      <c r="D207" s="277" t="s">
        <v>862</v>
      </c>
      <c r="E207" s="247">
        <v>3000</v>
      </c>
      <c r="F207" s="247" t="s">
        <v>731</v>
      </c>
      <c r="G207" s="278">
        <v>8.5</v>
      </c>
      <c r="H207" s="246">
        <f t="shared" si="29"/>
        <v>25500</v>
      </c>
      <c r="I207" s="246" t="s">
        <v>726</v>
      </c>
      <c r="J207" s="246" t="s">
        <v>634</v>
      </c>
      <c r="K207" s="277" t="s">
        <v>7</v>
      </c>
      <c r="L207" s="248">
        <v>3025</v>
      </c>
      <c r="M207" s="249" t="s">
        <v>860</v>
      </c>
      <c r="N207" s="246"/>
      <c r="O207" s="246" t="s">
        <v>55</v>
      </c>
      <c r="P207" s="328">
        <v>45855</v>
      </c>
      <c r="Q207" s="329">
        <f t="shared" ca="1" si="30"/>
        <v>270</v>
      </c>
    </row>
    <row r="208" spans="1:17" s="245" customFormat="1" hidden="1">
      <c r="A208" s="292">
        <f t="shared" si="27"/>
        <v>206</v>
      </c>
      <c r="B208" s="276">
        <v>45785</v>
      </c>
      <c r="C208" s="245" t="str">
        <f t="shared" si="28"/>
        <v>MP0206</v>
      </c>
      <c r="D208" s="277" t="s">
        <v>732</v>
      </c>
      <c r="E208" s="247">
        <v>3000</v>
      </c>
      <c r="F208" s="247" t="s">
        <v>733</v>
      </c>
      <c r="G208" s="332">
        <v>9.25</v>
      </c>
      <c r="H208" s="246">
        <f t="shared" si="29"/>
        <v>27750</v>
      </c>
      <c r="I208" s="246" t="s">
        <v>726</v>
      </c>
      <c r="J208" s="246" t="s">
        <v>634</v>
      </c>
      <c r="K208" s="277" t="s">
        <v>7</v>
      </c>
      <c r="L208" s="248">
        <v>2800</v>
      </c>
      <c r="M208" s="279" t="s">
        <v>863</v>
      </c>
      <c r="N208" s="246"/>
      <c r="O208" s="246" t="s">
        <v>55</v>
      </c>
      <c r="P208" s="328">
        <v>45852</v>
      </c>
      <c r="Q208" s="329">
        <f t="shared" ca="1" si="30"/>
        <v>273</v>
      </c>
    </row>
    <row r="209" spans="1:17" hidden="1">
      <c r="A209" s="289">
        <v>207</v>
      </c>
      <c r="B209" s="276">
        <v>45785</v>
      </c>
      <c r="C209" s="314" t="str">
        <f t="shared" si="28"/>
        <v>MP0207</v>
      </c>
      <c r="D209" s="315" t="s">
        <v>864</v>
      </c>
      <c r="E209" s="247">
        <v>3000</v>
      </c>
      <c r="F209" s="247" t="s">
        <v>735</v>
      </c>
      <c r="G209" s="278">
        <v>7.9</v>
      </c>
      <c r="H209" s="271">
        <f t="shared" si="29"/>
        <v>23700</v>
      </c>
      <c r="I209" s="271" t="s">
        <v>726</v>
      </c>
      <c r="J209" s="271" t="s">
        <v>634</v>
      </c>
      <c r="K209" s="315" t="s">
        <v>7</v>
      </c>
      <c r="L209" s="248">
        <v>2950</v>
      </c>
      <c r="M209" s="281"/>
      <c r="N209" s="246"/>
      <c r="O209" s="178" t="s">
        <v>55</v>
      </c>
      <c r="P209" s="180">
        <v>45792</v>
      </c>
      <c r="Q209" s="217">
        <f t="shared" ca="1" si="30"/>
        <v>333</v>
      </c>
    </row>
    <row r="210" spans="1:17" hidden="1">
      <c r="A210" s="292">
        <f t="shared" si="27"/>
        <v>208</v>
      </c>
      <c r="B210" s="276">
        <v>45785</v>
      </c>
      <c r="C210" s="245" t="str">
        <f t="shared" si="28"/>
        <v>MP0208</v>
      </c>
      <c r="D210" s="277" t="s">
        <v>865</v>
      </c>
      <c r="E210" s="247">
        <v>1200</v>
      </c>
      <c r="F210" s="247">
        <v>125</v>
      </c>
      <c r="G210" s="278">
        <v>17.5</v>
      </c>
      <c r="H210" s="246">
        <f t="shared" si="29"/>
        <v>21000</v>
      </c>
      <c r="I210" s="246" t="s">
        <v>737</v>
      </c>
      <c r="J210" s="246" t="s">
        <v>738</v>
      </c>
      <c r="K210" s="246" t="s">
        <v>20</v>
      </c>
      <c r="L210" s="248">
        <v>1224</v>
      </c>
      <c r="M210" s="279" t="s">
        <v>832</v>
      </c>
      <c r="N210" s="246"/>
      <c r="O210" s="178" t="s">
        <v>55</v>
      </c>
      <c r="P210" s="180">
        <v>45828</v>
      </c>
      <c r="Q210" s="217">
        <f t="shared" ca="1" si="30"/>
        <v>297</v>
      </c>
    </row>
    <row r="211" spans="1:17" hidden="1">
      <c r="A211" s="292">
        <f t="shared" si="27"/>
        <v>209</v>
      </c>
      <c r="B211" s="276">
        <v>45785</v>
      </c>
      <c r="C211" s="245" t="str">
        <f t="shared" si="28"/>
        <v>MP0209</v>
      </c>
      <c r="D211" s="246" t="s">
        <v>866</v>
      </c>
      <c r="E211" s="247">
        <v>1200</v>
      </c>
      <c r="F211" s="247">
        <v>125</v>
      </c>
      <c r="G211" s="278">
        <v>19.5</v>
      </c>
      <c r="H211" s="246">
        <f t="shared" si="29"/>
        <v>23400</v>
      </c>
      <c r="I211" s="246" t="s">
        <v>737</v>
      </c>
      <c r="J211" s="246" t="s">
        <v>738</v>
      </c>
      <c r="K211" s="246" t="s">
        <v>20</v>
      </c>
      <c r="L211" s="248">
        <v>1235</v>
      </c>
      <c r="M211" s="306" t="s">
        <v>832</v>
      </c>
      <c r="N211" s="246"/>
      <c r="O211" s="178" t="s">
        <v>55</v>
      </c>
      <c r="P211" s="180">
        <v>45828</v>
      </c>
      <c r="Q211" s="217">
        <f t="shared" ca="1" si="30"/>
        <v>297</v>
      </c>
    </row>
    <row r="212" spans="1:17" s="245" customFormat="1" hidden="1">
      <c r="A212" s="292">
        <f>IF(B212="","",ROW()-2)</f>
        <v>210</v>
      </c>
      <c r="B212" s="276">
        <v>45785</v>
      </c>
      <c r="C212" s="245" t="str">
        <f t="shared" si="28"/>
        <v>MP0210</v>
      </c>
      <c r="D212" s="246" t="s">
        <v>740</v>
      </c>
      <c r="E212" s="247">
        <v>1500</v>
      </c>
      <c r="F212" s="247">
        <v>143</v>
      </c>
      <c r="G212" s="278">
        <v>15.5</v>
      </c>
      <c r="H212" s="246">
        <f t="shared" si="29"/>
        <v>23250</v>
      </c>
      <c r="I212" s="246" t="s">
        <v>741</v>
      </c>
      <c r="J212" s="246" t="s">
        <v>742</v>
      </c>
      <c r="K212" s="246" t="s">
        <v>683</v>
      </c>
      <c r="L212" s="248"/>
      <c r="M212" s="249"/>
      <c r="N212" s="246"/>
      <c r="O212" s="246" t="s">
        <v>55</v>
      </c>
      <c r="P212" s="328">
        <v>45870</v>
      </c>
      <c r="Q212" s="329">
        <f t="shared" ca="1" si="30"/>
        <v>255</v>
      </c>
    </row>
    <row r="213" spans="1:17" hidden="1">
      <c r="A213" s="292">
        <f t="shared" si="27"/>
        <v>211</v>
      </c>
      <c r="B213" s="276">
        <v>45785</v>
      </c>
      <c r="C213" s="245" t="str">
        <f t="shared" si="28"/>
        <v>MP0211</v>
      </c>
      <c r="D213" s="246" t="s">
        <v>867</v>
      </c>
      <c r="E213" s="247">
        <v>1200</v>
      </c>
      <c r="F213" s="247">
        <v>130</v>
      </c>
      <c r="G213" s="278">
        <v>15</v>
      </c>
      <c r="H213" s="246">
        <f>IF(G213="","",E213*G213)</f>
        <v>18000</v>
      </c>
      <c r="I213" s="246" t="s">
        <v>737</v>
      </c>
      <c r="J213" s="246" t="s">
        <v>738</v>
      </c>
      <c r="K213" s="246" t="s">
        <v>20</v>
      </c>
      <c r="L213" s="248">
        <v>1231</v>
      </c>
      <c r="M213" s="306" t="s">
        <v>832</v>
      </c>
      <c r="N213" s="209"/>
      <c r="O213" s="178" t="s">
        <v>55</v>
      </c>
      <c r="P213" s="180">
        <v>45831</v>
      </c>
      <c r="Q213" s="217">
        <f t="shared" ca="1" si="30"/>
        <v>294</v>
      </c>
    </row>
    <row r="214" spans="1:17" hidden="1">
      <c r="A214" s="292">
        <f t="shared" si="27"/>
        <v>212</v>
      </c>
      <c r="B214" s="276">
        <v>45786</v>
      </c>
      <c r="C214" s="245" t="str">
        <f t="shared" si="28"/>
        <v>MP0212</v>
      </c>
      <c r="D214" s="277" t="s">
        <v>744</v>
      </c>
      <c r="E214" s="247">
        <v>300</v>
      </c>
      <c r="F214" s="247">
        <v>225</v>
      </c>
      <c r="G214" s="278"/>
      <c r="H214" s="246" t="str">
        <f t="shared" si="29"/>
        <v/>
      </c>
      <c r="I214" s="246" t="s">
        <v>531</v>
      </c>
      <c r="J214" s="246" t="s">
        <v>609</v>
      </c>
      <c r="K214" s="246" t="s">
        <v>2</v>
      </c>
      <c r="L214" s="248"/>
      <c r="M214" s="279" t="s">
        <v>868</v>
      </c>
      <c r="N214" s="246"/>
      <c r="O214" s="178" t="s">
        <v>55</v>
      </c>
      <c r="P214" s="180">
        <v>45822</v>
      </c>
      <c r="Q214" s="217">
        <f t="shared" ca="1" si="30"/>
        <v>303</v>
      </c>
    </row>
    <row r="215" spans="1:17" s="245" customFormat="1" hidden="1">
      <c r="A215" s="292">
        <f t="shared" si="27"/>
        <v>213</v>
      </c>
      <c r="B215" s="276">
        <v>45787</v>
      </c>
      <c r="C215" s="245" t="str">
        <f t="shared" si="28"/>
        <v>MP0213</v>
      </c>
      <c r="D215" s="277" t="s">
        <v>746</v>
      </c>
      <c r="E215" s="247">
        <v>3000</v>
      </c>
      <c r="F215" s="247">
        <v>78</v>
      </c>
      <c r="G215" s="278">
        <v>10.5</v>
      </c>
      <c r="H215" s="246">
        <f t="shared" si="29"/>
        <v>31500</v>
      </c>
      <c r="I215" s="277" t="s">
        <v>747</v>
      </c>
      <c r="J215" s="246" t="s">
        <v>782</v>
      </c>
      <c r="K215" s="246" t="s">
        <v>697</v>
      </c>
      <c r="L215" s="248">
        <v>2970</v>
      </c>
      <c r="M215" s="249" t="s">
        <v>851</v>
      </c>
      <c r="N215" s="246"/>
      <c r="O215" s="246" t="s">
        <v>55</v>
      </c>
      <c r="P215" s="328">
        <v>45791</v>
      </c>
      <c r="Q215" s="329">
        <f t="shared" ca="1" si="30"/>
        <v>334</v>
      </c>
    </row>
    <row r="216" spans="1:17" hidden="1">
      <c r="A216" s="292">
        <f t="shared" si="27"/>
        <v>214</v>
      </c>
      <c r="B216" s="276">
        <v>45787</v>
      </c>
      <c r="C216" s="245" t="str">
        <f t="shared" si="28"/>
        <v>MP0214</v>
      </c>
      <c r="D216" s="277" t="s">
        <v>749</v>
      </c>
      <c r="E216" s="247">
        <v>10000</v>
      </c>
      <c r="F216" s="247" t="s">
        <v>231</v>
      </c>
      <c r="G216" s="278">
        <v>6.1</v>
      </c>
      <c r="H216" s="246">
        <f t="shared" si="29"/>
        <v>61000</v>
      </c>
      <c r="I216" s="277" t="s">
        <v>750</v>
      </c>
      <c r="J216" s="246" t="s">
        <v>751</v>
      </c>
      <c r="K216" s="246" t="s">
        <v>7</v>
      </c>
      <c r="L216" s="248">
        <v>9800</v>
      </c>
      <c r="M216" s="249" t="s">
        <v>869</v>
      </c>
      <c r="N216" s="246"/>
      <c r="O216" s="178" t="s">
        <v>55</v>
      </c>
      <c r="P216" s="180">
        <v>45787</v>
      </c>
      <c r="Q216" s="217">
        <f t="shared" ca="1" si="30"/>
        <v>338</v>
      </c>
    </row>
    <row r="217" spans="1:17" hidden="1">
      <c r="A217" s="292">
        <f t="shared" si="27"/>
        <v>215</v>
      </c>
      <c r="B217" s="276">
        <v>45787</v>
      </c>
      <c r="C217" s="245" t="str">
        <f t="shared" si="28"/>
        <v>MP0215</v>
      </c>
      <c r="D217" s="277" t="s">
        <v>752</v>
      </c>
      <c r="E217" s="247">
        <v>250</v>
      </c>
      <c r="F217" s="247">
        <v>3900</v>
      </c>
      <c r="G217" s="278">
        <v>170</v>
      </c>
      <c r="H217" s="246">
        <f t="shared" si="29"/>
        <v>42500</v>
      </c>
      <c r="I217" s="246" t="s">
        <v>586</v>
      </c>
      <c r="J217" s="246" t="s">
        <v>609</v>
      </c>
      <c r="K217" s="246" t="s">
        <v>4</v>
      </c>
      <c r="L217" s="248">
        <v>266</v>
      </c>
      <c r="M217" s="249"/>
      <c r="N217" s="246"/>
      <c r="O217" s="178" t="s">
        <v>55</v>
      </c>
      <c r="P217" s="180">
        <v>45831</v>
      </c>
      <c r="Q217" s="217">
        <f t="shared" ca="1" si="30"/>
        <v>294</v>
      </c>
    </row>
    <row r="218" spans="1:17" hidden="1">
      <c r="A218" s="292">
        <f t="shared" si="27"/>
        <v>216</v>
      </c>
      <c r="B218" s="276">
        <v>45787</v>
      </c>
      <c r="C218" s="245" t="str">
        <f t="shared" si="28"/>
        <v>MP0216</v>
      </c>
      <c r="D218" s="277" t="s">
        <v>753</v>
      </c>
      <c r="E218" s="247">
        <v>200</v>
      </c>
      <c r="F218" s="247" t="s">
        <v>754</v>
      </c>
      <c r="G218" s="278">
        <v>225</v>
      </c>
      <c r="H218" s="246">
        <f t="shared" si="29"/>
        <v>45000</v>
      </c>
      <c r="I218" s="277" t="s">
        <v>755</v>
      </c>
      <c r="J218" s="246" t="s">
        <v>609</v>
      </c>
      <c r="K218" s="246" t="s">
        <v>4</v>
      </c>
      <c r="L218" s="248">
        <v>207</v>
      </c>
      <c r="M218" s="249"/>
      <c r="N218" s="246"/>
      <c r="O218" s="178" t="s">
        <v>55</v>
      </c>
      <c r="P218" s="180">
        <v>45832</v>
      </c>
      <c r="Q218" s="217">
        <f t="shared" ca="1" si="30"/>
        <v>293</v>
      </c>
    </row>
    <row r="219" spans="1:17" ht="15.75" hidden="1">
      <c r="A219" s="292">
        <f t="shared" si="27"/>
        <v>217</v>
      </c>
      <c r="B219" s="276">
        <v>45787</v>
      </c>
      <c r="C219" s="245" t="str">
        <f t="shared" si="28"/>
        <v>MP0217</v>
      </c>
      <c r="D219" s="277" t="s">
        <v>756</v>
      </c>
      <c r="E219" s="247">
        <v>300</v>
      </c>
      <c r="F219" s="247">
        <v>6200</v>
      </c>
      <c r="G219" s="278">
        <v>590</v>
      </c>
      <c r="H219" s="246">
        <f t="shared" si="29"/>
        <v>177000</v>
      </c>
      <c r="I219" s="302" t="s">
        <v>757</v>
      </c>
      <c r="J219" s="246" t="s">
        <v>609</v>
      </c>
      <c r="K219" s="246" t="s">
        <v>16</v>
      </c>
      <c r="L219" s="248"/>
      <c r="M219" s="249" t="s">
        <v>870</v>
      </c>
      <c r="N219" s="178"/>
      <c r="O219" s="178" t="s">
        <v>55</v>
      </c>
      <c r="P219" s="180">
        <v>45797.716053240743</v>
      </c>
      <c r="Q219" s="217">
        <f t="shared" ca="1" si="30"/>
        <v>327.28394675925665</v>
      </c>
    </row>
    <row r="220" spans="1:17" s="245" customFormat="1" hidden="1">
      <c r="A220" s="292">
        <f t="shared" si="27"/>
        <v>218</v>
      </c>
      <c r="B220" s="276">
        <v>45789</v>
      </c>
      <c r="C220" s="245" t="str">
        <f t="shared" si="28"/>
        <v>MP0218</v>
      </c>
      <c r="D220" s="277" t="s">
        <v>758</v>
      </c>
      <c r="E220" s="247">
        <v>250</v>
      </c>
      <c r="F220" s="247">
        <v>1900</v>
      </c>
      <c r="G220" s="278">
        <v>110</v>
      </c>
      <c r="H220" s="246">
        <f t="shared" si="29"/>
        <v>27500</v>
      </c>
      <c r="I220" s="277" t="s">
        <v>152</v>
      </c>
      <c r="J220" s="246" t="s">
        <v>609</v>
      </c>
      <c r="K220" s="246" t="s">
        <v>2</v>
      </c>
      <c r="L220" s="248">
        <v>307</v>
      </c>
      <c r="M220" s="249" t="s">
        <v>871</v>
      </c>
      <c r="N220" s="246"/>
      <c r="O220" s="246" t="s">
        <v>55</v>
      </c>
      <c r="P220" s="328">
        <v>45854</v>
      </c>
      <c r="Q220" s="329">
        <f t="shared" ca="1" si="30"/>
        <v>271</v>
      </c>
    </row>
    <row r="221" spans="1:17" s="245" customFormat="1" hidden="1">
      <c r="A221" s="292">
        <f t="shared" si="27"/>
        <v>219</v>
      </c>
      <c r="B221" s="276">
        <v>45789</v>
      </c>
      <c r="C221" s="245" t="str">
        <f t="shared" si="28"/>
        <v>MP0219</v>
      </c>
      <c r="D221" s="277" t="s">
        <v>759</v>
      </c>
      <c r="E221" s="247">
        <v>3000</v>
      </c>
      <c r="F221" s="247">
        <v>88</v>
      </c>
      <c r="G221" s="278">
        <v>7.5</v>
      </c>
      <c r="H221" s="246">
        <f t="shared" si="29"/>
        <v>22500</v>
      </c>
      <c r="I221" s="277" t="s">
        <v>760</v>
      </c>
      <c r="J221" s="246" t="s">
        <v>604</v>
      </c>
      <c r="K221" s="246" t="s">
        <v>22</v>
      </c>
      <c r="L221" s="248"/>
      <c r="M221" s="249" t="s">
        <v>872</v>
      </c>
      <c r="N221" s="246"/>
      <c r="O221" s="246" t="s">
        <v>55</v>
      </c>
      <c r="P221" s="328">
        <v>45864</v>
      </c>
      <c r="Q221" s="329">
        <f t="shared" ca="1" si="30"/>
        <v>261</v>
      </c>
    </row>
    <row r="222" spans="1:17" ht="30" hidden="1">
      <c r="A222" s="291">
        <f t="shared" si="27"/>
        <v>220</v>
      </c>
      <c r="B222" s="251">
        <v>45789</v>
      </c>
      <c r="C222" s="250" t="str">
        <f t="shared" si="28"/>
        <v>MP0220</v>
      </c>
      <c r="D222" s="252" t="s">
        <v>761</v>
      </c>
      <c r="E222" s="231">
        <v>1200</v>
      </c>
      <c r="F222" s="231">
        <v>75</v>
      </c>
      <c r="G222" s="268"/>
      <c r="H222" s="252">
        <v>0</v>
      </c>
      <c r="I222" s="254" t="s">
        <v>737</v>
      </c>
      <c r="J222" s="252" t="s">
        <v>762</v>
      </c>
      <c r="K222" s="252" t="s">
        <v>20</v>
      </c>
      <c r="L222" s="241"/>
      <c r="M222" s="255" t="s">
        <v>873</v>
      </c>
      <c r="N222" s="252"/>
      <c r="O222" s="252" t="s">
        <v>370</v>
      </c>
      <c r="P222" s="180">
        <v>45789</v>
      </c>
      <c r="Q222" s="217">
        <f t="shared" ca="1" si="30"/>
        <v>336</v>
      </c>
    </row>
    <row r="223" spans="1:17" hidden="1">
      <c r="A223" s="292">
        <f t="shared" ref="A223:A232" si="31">IF(B223="","",ROW()-2)</f>
        <v>221</v>
      </c>
      <c r="B223" s="276">
        <v>45789</v>
      </c>
      <c r="C223" s="245" t="str">
        <f t="shared" ref="C223:C236" si="32">IF(B223="","",_xlfn.CONCAT("MP0",A223))</f>
        <v>MP0221</v>
      </c>
      <c r="D223" s="246" t="s">
        <v>874</v>
      </c>
      <c r="E223" s="247">
        <v>1200</v>
      </c>
      <c r="F223" s="247">
        <v>135</v>
      </c>
      <c r="G223" s="278">
        <v>21</v>
      </c>
      <c r="H223" s="246">
        <f t="shared" ref="H223:H261" si="33">IF(G223="","",E223*G223)</f>
        <v>25200</v>
      </c>
      <c r="I223" s="277" t="s">
        <v>737</v>
      </c>
      <c r="J223" s="246" t="s">
        <v>762</v>
      </c>
      <c r="K223" s="246" t="s">
        <v>20</v>
      </c>
      <c r="L223" s="248">
        <v>1237</v>
      </c>
      <c r="M223" s="249" t="s">
        <v>832</v>
      </c>
      <c r="N223" s="246"/>
      <c r="O223" s="178" t="s">
        <v>55</v>
      </c>
      <c r="P223" s="180">
        <v>45829</v>
      </c>
      <c r="Q223" s="217">
        <f t="shared" ref="Q223:Q261" ca="1" si="34">TODAY()-P223</f>
        <v>296</v>
      </c>
    </row>
    <row r="224" spans="1:17" hidden="1">
      <c r="A224" s="292">
        <f t="shared" si="31"/>
        <v>222</v>
      </c>
      <c r="B224" s="276">
        <v>45789</v>
      </c>
      <c r="C224" s="245" t="str">
        <f t="shared" si="32"/>
        <v>MP0222</v>
      </c>
      <c r="D224" s="246" t="s">
        <v>875</v>
      </c>
      <c r="E224" s="247">
        <v>1200</v>
      </c>
      <c r="F224" s="247">
        <v>145</v>
      </c>
      <c r="G224" s="278">
        <v>29.5</v>
      </c>
      <c r="H224" s="246">
        <f t="shared" si="33"/>
        <v>35400</v>
      </c>
      <c r="I224" s="246" t="s">
        <v>876</v>
      </c>
      <c r="J224" s="246" t="s">
        <v>762</v>
      </c>
      <c r="K224" s="246" t="s">
        <v>20</v>
      </c>
      <c r="L224" s="248">
        <v>1236</v>
      </c>
      <c r="M224" s="249"/>
      <c r="N224" s="246"/>
      <c r="O224" s="178" t="s">
        <v>55</v>
      </c>
      <c r="P224" s="180">
        <v>45841</v>
      </c>
      <c r="Q224" s="217">
        <f t="shared" ca="1" si="34"/>
        <v>284</v>
      </c>
    </row>
    <row r="225" spans="1:17" s="245" customFormat="1" hidden="1">
      <c r="A225" s="292">
        <f t="shared" si="31"/>
        <v>223</v>
      </c>
      <c r="B225" s="276">
        <v>45789</v>
      </c>
      <c r="C225" s="245" t="str">
        <f t="shared" si="32"/>
        <v>MP0223</v>
      </c>
      <c r="D225" s="246" t="s">
        <v>877</v>
      </c>
      <c r="E225" s="247">
        <v>3000</v>
      </c>
      <c r="F225" s="247">
        <v>185</v>
      </c>
      <c r="G225" s="278">
        <v>12.6</v>
      </c>
      <c r="H225" s="246">
        <f t="shared" si="33"/>
        <v>37800</v>
      </c>
      <c r="I225" s="277" t="s">
        <v>766</v>
      </c>
      <c r="J225" s="246" t="s">
        <v>767</v>
      </c>
      <c r="K225" s="246" t="s">
        <v>22</v>
      </c>
      <c r="L225" s="248"/>
      <c r="M225" s="295" t="s">
        <v>878</v>
      </c>
      <c r="N225" s="246"/>
      <c r="O225" s="246" t="s">
        <v>55</v>
      </c>
      <c r="P225" s="328">
        <v>45870</v>
      </c>
      <c r="Q225" s="329">
        <f t="shared" ca="1" si="34"/>
        <v>255</v>
      </c>
    </row>
    <row r="226" spans="1:17" s="245" customFormat="1" hidden="1">
      <c r="A226" s="289">
        <f t="shared" si="31"/>
        <v>224</v>
      </c>
      <c r="B226" s="276">
        <v>45789</v>
      </c>
      <c r="C226" s="314" t="str">
        <f t="shared" si="32"/>
        <v>MP0224</v>
      </c>
      <c r="D226" s="271" t="s">
        <v>879</v>
      </c>
      <c r="E226" s="247">
        <v>100</v>
      </c>
      <c r="F226" s="247">
        <v>1175</v>
      </c>
      <c r="G226" s="247">
        <v>795</v>
      </c>
      <c r="H226" s="271">
        <f t="shared" si="33"/>
        <v>79500</v>
      </c>
      <c r="I226" s="315" t="s">
        <v>757</v>
      </c>
      <c r="J226" s="271" t="s">
        <v>609</v>
      </c>
      <c r="K226" s="271" t="s">
        <v>20</v>
      </c>
      <c r="L226" s="248"/>
      <c r="M226" s="249" t="s">
        <v>880</v>
      </c>
      <c r="N226" s="246"/>
      <c r="O226" s="246" t="s">
        <v>55</v>
      </c>
      <c r="P226" s="328">
        <v>45959</v>
      </c>
      <c r="Q226" s="329">
        <f t="shared" ca="1" si="34"/>
        <v>166</v>
      </c>
    </row>
    <row r="227" spans="1:17" s="245" customFormat="1" hidden="1">
      <c r="A227" s="292">
        <f t="shared" si="31"/>
        <v>225</v>
      </c>
      <c r="B227" s="276">
        <v>45789</v>
      </c>
      <c r="C227" s="245" t="str">
        <f t="shared" si="32"/>
        <v>MP0225</v>
      </c>
      <c r="D227" s="277" t="s">
        <v>770</v>
      </c>
      <c r="E227" s="247">
        <v>3000</v>
      </c>
      <c r="F227" s="247">
        <v>155</v>
      </c>
      <c r="G227" s="278">
        <v>17.100000000000001</v>
      </c>
      <c r="H227" s="246">
        <f t="shared" si="33"/>
        <v>51300.000000000007</v>
      </c>
      <c r="I227" s="277" t="s">
        <v>766</v>
      </c>
      <c r="J227" s="246" t="s">
        <v>767</v>
      </c>
      <c r="K227" s="246" t="s">
        <v>22</v>
      </c>
      <c r="L227" s="248"/>
      <c r="M227" s="295" t="s">
        <v>881</v>
      </c>
      <c r="N227" s="246"/>
      <c r="O227" s="246" t="s">
        <v>55</v>
      </c>
      <c r="P227" s="328">
        <v>45901</v>
      </c>
      <c r="Q227" s="329">
        <f t="shared" ca="1" si="34"/>
        <v>224</v>
      </c>
    </row>
    <row r="228" spans="1:17" s="245" customFormat="1" hidden="1">
      <c r="A228" s="292">
        <f t="shared" si="31"/>
        <v>226</v>
      </c>
      <c r="B228" s="276">
        <v>45789</v>
      </c>
      <c r="C228" s="245" t="str">
        <f t="shared" si="32"/>
        <v>MP0226</v>
      </c>
      <c r="D228" s="277" t="s">
        <v>771</v>
      </c>
      <c r="E228" s="247">
        <v>3000</v>
      </c>
      <c r="F228" s="247">
        <v>99</v>
      </c>
      <c r="G228" s="278">
        <v>8.75</v>
      </c>
      <c r="H228" s="246">
        <f t="shared" si="33"/>
        <v>26250</v>
      </c>
      <c r="I228" s="246" t="s">
        <v>772</v>
      </c>
      <c r="J228" s="246" t="s">
        <v>767</v>
      </c>
      <c r="K228" s="246" t="s">
        <v>22</v>
      </c>
      <c r="L228" s="248">
        <v>3093</v>
      </c>
      <c r="M228" s="249"/>
      <c r="N228" s="246"/>
      <c r="O228" s="246" t="s">
        <v>55</v>
      </c>
      <c r="P228" s="328">
        <v>45854</v>
      </c>
      <c r="Q228" s="329">
        <f t="shared" ca="1" si="34"/>
        <v>271</v>
      </c>
    </row>
    <row r="229" spans="1:17" hidden="1">
      <c r="A229" s="292">
        <f t="shared" si="31"/>
        <v>227</v>
      </c>
      <c r="B229" s="276">
        <v>45789</v>
      </c>
      <c r="C229" s="245" t="str">
        <f t="shared" si="32"/>
        <v>MP0227</v>
      </c>
      <c r="D229" s="277" t="s">
        <v>773</v>
      </c>
      <c r="E229" s="247">
        <v>3000</v>
      </c>
      <c r="F229" s="247">
        <v>350</v>
      </c>
      <c r="G229" s="278">
        <v>17.5</v>
      </c>
      <c r="H229" s="246">
        <f t="shared" si="33"/>
        <v>52500</v>
      </c>
      <c r="I229" s="277" t="s">
        <v>774</v>
      </c>
      <c r="J229" s="246" t="s">
        <v>775</v>
      </c>
      <c r="K229" s="246" t="s">
        <v>10</v>
      </c>
      <c r="L229" s="248">
        <v>2950</v>
      </c>
      <c r="M229" s="249" t="s">
        <v>803</v>
      </c>
      <c r="N229" s="246"/>
      <c r="O229" s="178" t="s">
        <v>55</v>
      </c>
      <c r="P229" s="180">
        <v>45825</v>
      </c>
      <c r="Q229" s="217">
        <f t="shared" ca="1" si="34"/>
        <v>300</v>
      </c>
    </row>
    <row r="230" spans="1:17" s="245" customFormat="1" ht="15.75" hidden="1">
      <c r="A230" s="292">
        <f t="shared" si="31"/>
        <v>228</v>
      </c>
      <c r="B230" s="276">
        <v>45789</v>
      </c>
      <c r="C230" s="245" t="str">
        <f t="shared" si="32"/>
        <v>MP0228</v>
      </c>
      <c r="D230" s="246" t="s">
        <v>776</v>
      </c>
      <c r="E230" s="247">
        <v>25000</v>
      </c>
      <c r="F230" s="247">
        <v>39.5</v>
      </c>
      <c r="G230" s="278">
        <v>4.5999999999999996</v>
      </c>
      <c r="H230" s="246">
        <f t="shared" si="33"/>
        <v>114999.99999999999</v>
      </c>
      <c r="I230" s="302" t="s">
        <v>777</v>
      </c>
      <c r="J230" s="246" t="s">
        <v>778</v>
      </c>
      <c r="K230" s="246" t="s">
        <v>10</v>
      </c>
      <c r="L230" s="248">
        <v>24900</v>
      </c>
      <c r="M230" s="249"/>
      <c r="N230" s="246"/>
      <c r="O230" s="246" t="s">
        <v>55</v>
      </c>
      <c r="P230" s="328">
        <v>45864</v>
      </c>
      <c r="Q230" s="329">
        <f t="shared" ca="1" si="34"/>
        <v>261</v>
      </c>
    </row>
    <row r="231" spans="1:17" ht="15.75" hidden="1">
      <c r="A231" s="292">
        <f t="shared" si="31"/>
        <v>229</v>
      </c>
      <c r="B231" s="276">
        <v>45789</v>
      </c>
      <c r="C231" s="245" t="str">
        <f t="shared" si="32"/>
        <v>MP0229</v>
      </c>
      <c r="D231" s="246" t="s">
        <v>779</v>
      </c>
      <c r="E231" s="247">
        <v>25000</v>
      </c>
      <c r="F231" s="247">
        <v>27.5</v>
      </c>
      <c r="G231" s="278">
        <v>3</v>
      </c>
      <c r="H231" s="246">
        <f t="shared" si="33"/>
        <v>75000</v>
      </c>
      <c r="I231" s="302" t="s">
        <v>777</v>
      </c>
      <c r="J231" s="246" t="s">
        <v>778</v>
      </c>
      <c r="K231" s="246" t="s">
        <v>10</v>
      </c>
      <c r="L231" s="248">
        <v>25050</v>
      </c>
      <c r="M231" s="249" t="s">
        <v>878</v>
      </c>
      <c r="N231" s="178"/>
      <c r="O231" s="178" t="s">
        <v>55</v>
      </c>
      <c r="P231" s="180">
        <v>45835</v>
      </c>
      <c r="Q231" s="217">
        <f t="shared" ca="1" si="34"/>
        <v>290</v>
      </c>
    </row>
    <row r="232" spans="1:17" hidden="1">
      <c r="A232" s="292">
        <f t="shared" si="31"/>
        <v>230</v>
      </c>
      <c r="B232" s="276">
        <v>45789</v>
      </c>
      <c r="C232" s="245" t="str">
        <f t="shared" si="32"/>
        <v>MP0230</v>
      </c>
      <c r="D232" s="246" t="s">
        <v>780</v>
      </c>
      <c r="E232" s="247">
        <v>1500</v>
      </c>
      <c r="F232" s="247">
        <v>140</v>
      </c>
      <c r="G232" s="278">
        <v>14.5</v>
      </c>
      <c r="H232" s="246">
        <f t="shared" si="33"/>
        <v>21750</v>
      </c>
      <c r="I232" s="277" t="s">
        <v>781</v>
      </c>
      <c r="J232" s="246" t="s">
        <v>782</v>
      </c>
      <c r="K232" s="246" t="s">
        <v>20</v>
      </c>
      <c r="L232" s="248">
        <v>1658</v>
      </c>
      <c r="M232" s="249" t="s">
        <v>882</v>
      </c>
      <c r="N232" s="178"/>
      <c r="O232" s="178" t="s">
        <v>55</v>
      </c>
      <c r="P232" s="180">
        <v>45896.794849537036</v>
      </c>
      <c r="Q232" s="217">
        <f t="shared" ca="1" si="34"/>
        <v>228.2051504629635</v>
      </c>
    </row>
    <row r="233" spans="1:17" ht="30" hidden="1">
      <c r="A233" s="292">
        <v>231</v>
      </c>
      <c r="B233" s="276">
        <v>45792</v>
      </c>
      <c r="C233" s="245" t="str">
        <f t="shared" si="32"/>
        <v>MP0231</v>
      </c>
      <c r="D233" s="304" t="s">
        <v>883</v>
      </c>
      <c r="E233" s="247">
        <v>400</v>
      </c>
      <c r="F233" s="247">
        <v>150</v>
      </c>
      <c r="G233" s="278">
        <v>72</v>
      </c>
      <c r="H233" s="246">
        <f t="shared" si="33"/>
        <v>28800</v>
      </c>
      <c r="I233" s="305" t="s">
        <v>884</v>
      </c>
      <c r="J233" s="246" t="s">
        <v>609</v>
      </c>
      <c r="K233" s="246" t="s">
        <v>27</v>
      </c>
      <c r="L233" s="248"/>
      <c r="M233" s="297" t="s">
        <v>885</v>
      </c>
      <c r="N233" s="246" t="s">
        <v>620</v>
      </c>
      <c r="O233" s="178" t="s">
        <v>55</v>
      </c>
      <c r="P233" s="180">
        <v>45807</v>
      </c>
      <c r="Q233" s="217">
        <f t="shared" ca="1" si="34"/>
        <v>318</v>
      </c>
    </row>
    <row r="234" spans="1:17" s="245" customFormat="1" hidden="1">
      <c r="A234" s="247">
        <f>IF(B234="","",ROW()-2)</f>
        <v>232</v>
      </c>
      <c r="B234" s="276">
        <v>45792</v>
      </c>
      <c r="C234" s="245" t="str">
        <f t="shared" si="32"/>
        <v>MP0232</v>
      </c>
      <c r="D234" s="246" t="s">
        <v>247</v>
      </c>
      <c r="E234" s="247">
        <v>1000</v>
      </c>
      <c r="F234" s="247">
        <v>470</v>
      </c>
      <c r="G234" s="247">
        <v>54</v>
      </c>
      <c r="H234" s="246">
        <f t="shared" si="33"/>
        <v>54000</v>
      </c>
      <c r="I234" s="246" t="s">
        <v>242</v>
      </c>
      <c r="J234" s="246" t="s">
        <v>238</v>
      </c>
      <c r="K234" s="246" t="s">
        <v>14</v>
      </c>
      <c r="L234" s="248"/>
      <c r="M234" s="249" t="s">
        <v>886</v>
      </c>
      <c r="N234" s="246"/>
      <c r="O234" s="246" t="s">
        <v>55</v>
      </c>
      <c r="P234" s="328">
        <v>45870</v>
      </c>
      <c r="Q234" s="329">
        <f t="shared" ca="1" si="34"/>
        <v>255</v>
      </c>
    </row>
    <row r="235" spans="1:17" s="245" customFormat="1" hidden="1">
      <c r="A235" s="292">
        <v>233</v>
      </c>
      <c r="B235" s="244">
        <v>45793</v>
      </c>
      <c r="C235" s="245" t="str">
        <f t="shared" si="32"/>
        <v>MP0233</v>
      </c>
      <c r="D235" s="246" t="s">
        <v>887</v>
      </c>
      <c r="E235" s="247">
        <v>3000</v>
      </c>
      <c r="F235" s="247">
        <v>130</v>
      </c>
      <c r="G235" s="278">
        <v>9.8000000000000007</v>
      </c>
      <c r="H235" s="246">
        <f t="shared" si="33"/>
        <v>29400.000000000004</v>
      </c>
      <c r="I235" s="246" t="s">
        <v>888</v>
      </c>
      <c r="J235" s="246" t="s">
        <v>844</v>
      </c>
      <c r="K235" s="246" t="s">
        <v>14</v>
      </c>
      <c r="L235" s="248"/>
      <c r="M235" s="249"/>
      <c r="N235" s="246" t="s">
        <v>620</v>
      </c>
      <c r="O235" s="246" t="s">
        <v>55</v>
      </c>
      <c r="P235" s="328">
        <v>45854</v>
      </c>
      <c r="Q235" s="329">
        <f t="shared" ca="1" si="34"/>
        <v>271</v>
      </c>
    </row>
    <row r="236" spans="1:17" hidden="1">
      <c r="A236" s="292">
        <f>IF(B236="","",ROW()-2)</f>
        <v>234</v>
      </c>
      <c r="B236" s="276">
        <v>45796</v>
      </c>
      <c r="C236" s="245" t="str">
        <f t="shared" si="32"/>
        <v>MP0234</v>
      </c>
      <c r="D236" s="277" t="s">
        <v>687</v>
      </c>
      <c r="E236" s="247">
        <v>500</v>
      </c>
      <c r="F236" s="247">
        <v>198</v>
      </c>
      <c r="G236" s="278">
        <v>32</v>
      </c>
      <c r="H236" s="246">
        <f t="shared" si="33"/>
        <v>16000</v>
      </c>
      <c r="I236" s="246" t="s">
        <v>688</v>
      </c>
      <c r="J236" s="246" t="s">
        <v>265</v>
      </c>
      <c r="K236" s="246" t="s">
        <v>23</v>
      </c>
      <c r="L236" s="248">
        <v>1070</v>
      </c>
      <c r="M236" s="279" t="s">
        <v>825</v>
      </c>
      <c r="N236" s="178"/>
      <c r="O236" s="178" t="s">
        <v>55</v>
      </c>
      <c r="P236" s="180">
        <v>45812.640775462962</v>
      </c>
      <c r="Q236" s="217">
        <f t="shared" ca="1" si="34"/>
        <v>312.35922453703824</v>
      </c>
    </row>
    <row r="237" spans="1:17" hidden="1">
      <c r="A237" s="247">
        <f>IF(B237="","",ROW()-2)</f>
        <v>235</v>
      </c>
      <c r="B237" s="244">
        <v>45796</v>
      </c>
      <c r="C237" s="246" t="s">
        <v>889</v>
      </c>
      <c r="D237" s="249" t="s">
        <v>460</v>
      </c>
      <c r="E237" s="247">
        <v>150</v>
      </c>
      <c r="F237" s="247">
        <v>3900</v>
      </c>
      <c r="G237" s="247">
        <v>470</v>
      </c>
      <c r="H237" s="246">
        <f t="shared" si="33"/>
        <v>70500</v>
      </c>
      <c r="I237" s="246" t="s">
        <v>66</v>
      </c>
      <c r="J237" s="246" t="s">
        <v>60</v>
      </c>
      <c r="K237" s="246" t="s">
        <v>4</v>
      </c>
      <c r="L237" s="248"/>
      <c r="M237" s="249" t="s">
        <v>404</v>
      </c>
      <c r="N237" s="246" t="s">
        <v>89</v>
      </c>
      <c r="O237" s="178" t="s">
        <v>55</v>
      </c>
      <c r="P237" s="180">
        <v>45817</v>
      </c>
      <c r="Q237" s="217">
        <f t="shared" ca="1" si="34"/>
        <v>308</v>
      </c>
    </row>
    <row r="238" spans="1:17" hidden="1">
      <c r="A238" s="247">
        <f>IF(B238="","",ROW()-2)</f>
        <v>236</v>
      </c>
      <c r="B238" s="244">
        <v>45796</v>
      </c>
      <c r="C238" s="246" t="s">
        <v>890</v>
      </c>
      <c r="D238" s="246" t="s">
        <v>349</v>
      </c>
      <c r="E238" s="247">
        <v>100</v>
      </c>
      <c r="F238" s="247">
        <v>6800</v>
      </c>
      <c r="G238" s="247">
        <v>650</v>
      </c>
      <c r="H238" s="246">
        <f t="shared" si="33"/>
        <v>65000</v>
      </c>
      <c r="I238" s="246" t="s">
        <v>125</v>
      </c>
      <c r="J238" s="246" t="s">
        <v>60</v>
      </c>
      <c r="K238" s="246" t="s">
        <v>9</v>
      </c>
      <c r="L238" s="248"/>
      <c r="M238" s="249" t="s">
        <v>891</v>
      </c>
      <c r="N238" s="178" t="s">
        <v>200</v>
      </c>
      <c r="O238" s="178" t="s">
        <v>55</v>
      </c>
      <c r="P238" s="180">
        <v>45831</v>
      </c>
      <c r="Q238" s="217">
        <f t="shared" ca="1" si="34"/>
        <v>294</v>
      </c>
    </row>
    <row r="239" spans="1:17" hidden="1">
      <c r="A239" s="292">
        <v>237</v>
      </c>
      <c r="B239" s="244">
        <v>45797</v>
      </c>
      <c r="C239" s="245" t="str">
        <f t="shared" ref="C239:C261" si="35">IF(B239="","",_xlfn.CONCAT("MP0",A239))</f>
        <v>MP0237</v>
      </c>
      <c r="D239" s="246" t="s">
        <v>892</v>
      </c>
      <c r="E239" s="247">
        <v>150</v>
      </c>
      <c r="F239" s="247">
        <v>6900</v>
      </c>
      <c r="G239" s="278">
        <v>580</v>
      </c>
      <c r="H239" s="246">
        <f t="shared" si="33"/>
        <v>87000</v>
      </c>
      <c r="I239" s="246" t="s">
        <v>152</v>
      </c>
      <c r="J239" s="246" t="s">
        <v>60</v>
      </c>
      <c r="K239" s="246" t="s">
        <v>4</v>
      </c>
      <c r="L239" s="248">
        <v>151</v>
      </c>
      <c r="M239" s="249"/>
      <c r="N239" s="246" t="s">
        <v>893</v>
      </c>
      <c r="O239" s="178" t="s">
        <v>55</v>
      </c>
      <c r="P239" s="180">
        <v>45840</v>
      </c>
      <c r="Q239" s="217">
        <f t="shared" ca="1" si="34"/>
        <v>285</v>
      </c>
    </row>
    <row r="240" spans="1:17" hidden="1">
      <c r="A240" s="303">
        <f t="shared" ref="A240:A261" si="36">IF(B240="","",ROW()-2)</f>
        <v>238</v>
      </c>
      <c r="B240" s="244">
        <v>45797</v>
      </c>
      <c r="C240" s="246" t="str">
        <f t="shared" si="35"/>
        <v>MP0238</v>
      </c>
      <c r="D240" s="246" t="s">
        <v>894</v>
      </c>
      <c r="E240" s="247">
        <v>200</v>
      </c>
      <c r="F240" s="247">
        <v>1940</v>
      </c>
      <c r="G240" s="247">
        <v>295</v>
      </c>
      <c r="H240" s="246">
        <f t="shared" si="33"/>
        <v>59000</v>
      </c>
      <c r="I240" s="246" t="s">
        <v>66</v>
      </c>
      <c r="J240" s="246" t="s">
        <v>60</v>
      </c>
      <c r="K240" s="246" t="s">
        <v>4</v>
      </c>
      <c r="L240" s="248">
        <v>212</v>
      </c>
      <c r="M240" s="249"/>
      <c r="N240" s="246"/>
      <c r="O240" s="178" t="s">
        <v>55</v>
      </c>
      <c r="P240" s="180">
        <v>45838</v>
      </c>
      <c r="Q240" s="217">
        <f t="shared" ca="1" si="34"/>
        <v>287</v>
      </c>
    </row>
    <row r="241" spans="1:17" hidden="1">
      <c r="A241" s="303">
        <f t="shared" si="36"/>
        <v>239</v>
      </c>
      <c r="B241" s="244">
        <v>45797</v>
      </c>
      <c r="C241" s="246" t="str">
        <f t="shared" si="35"/>
        <v>MP0239</v>
      </c>
      <c r="D241" s="246" t="s">
        <v>895</v>
      </c>
      <c r="E241" s="247">
        <v>200</v>
      </c>
      <c r="F241" s="247">
        <v>2340</v>
      </c>
      <c r="G241" s="247">
        <v>330</v>
      </c>
      <c r="H241" s="246">
        <f t="shared" si="33"/>
        <v>66000</v>
      </c>
      <c r="I241" s="246" t="s">
        <v>66</v>
      </c>
      <c r="J241" s="246" t="s">
        <v>60</v>
      </c>
      <c r="K241" s="246" t="s">
        <v>4</v>
      </c>
      <c r="L241" s="248">
        <v>212</v>
      </c>
      <c r="M241" s="249"/>
      <c r="N241" s="246"/>
      <c r="O241" s="178" t="s">
        <v>55</v>
      </c>
      <c r="P241" s="180">
        <v>45828</v>
      </c>
      <c r="Q241" s="217">
        <f t="shared" ca="1" si="34"/>
        <v>297</v>
      </c>
    </row>
    <row r="242" spans="1:17" hidden="1">
      <c r="A242" s="292">
        <f t="shared" si="36"/>
        <v>240</v>
      </c>
      <c r="B242" s="244">
        <v>45797</v>
      </c>
      <c r="C242" s="245" t="str">
        <f t="shared" si="35"/>
        <v>MP0240</v>
      </c>
      <c r="D242" s="245" t="s">
        <v>896</v>
      </c>
      <c r="E242" s="289">
        <v>500</v>
      </c>
      <c r="F242" s="289" t="s">
        <v>897</v>
      </c>
      <c r="G242" s="289">
        <v>130</v>
      </c>
      <c r="H242" s="245">
        <f t="shared" si="33"/>
        <v>65000</v>
      </c>
      <c r="I242" s="245" t="s">
        <v>586</v>
      </c>
      <c r="J242" s="245" t="s">
        <v>898</v>
      </c>
      <c r="K242" s="245" t="s">
        <v>4</v>
      </c>
      <c r="L242" s="248">
        <v>418</v>
      </c>
      <c r="M242" s="249" t="s">
        <v>852</v>
      </c>
      <c r="N242" s="246" t="s">
        <v>620</v>
      </c>
      <c r="O242" s="178" t="s">
        <v>55</v>
      </c>
      <c r="P242" s="180">
        <v>45834</v>
      </c>
      <c r="Q242" s="217">
        <f t="shared" ca="1" si="34"/>
        <v>291</v>
      </c>
    </row>
    <row r="243" spans="1:17" s="245" customFormat="1" hidden="1">
      <c r="A243" s="292">
        <f t="shared" si="36"/>
        <v>241</v>
      </c>
      <c r="B243" s="244">
        <v>45798</v>
      </c>
      <c r="C243" s="245" t="str">
        <f t="shared" si="35"/>
        <v>MP0241</v>
      </c>
      <c r="D243" s="317" t="s">
        <v>899</v>
      </c>
      <c r="E243" s="247">
        <v>500</v>
      </c>
      <c r="F243" s="247">
        <v>700</v>
      </c>
      <c r="G243" s="278">
        <v>38</v>
      </c>
      <c r="H243" s="246">
        <f t="shared" si="33"/>
        <v>19000</v>
      </c>
      <c r="I243" s="246" t="s">
        <v>59</v>
      </c>
      <c r="J243" s="246" t="s">
        <v>60</v>
      </c>
      <c r="K243" s="246" t="s">
        <v>22</v>
      </c>
      <c r="L243" s="248">
        <v>498</v>
      </c>
      <c r="M243" s="249" t="s">
        <v>872</v>
      </c>
      <c r="N243" s="246" t="s">
        <v>620</v>
      </c>
      <c r="O243" s="246" t="s">
        <v>55</v>
      </c>
      <c r="P243" s="328">
        <v>45807.639618055553</v>
      </c>
      <c r="Q243" s="329">
        <f t="shared" ca="1" si="34"/>
        <v>317.360381944447</v>
      </c>
    </row>
    <row r="244" spans="1:17" s="245" customFormat="1" hidden="1">
      <c r="A244" s="292">
        <f t="shared" si="36"/>
        <v>242</v>
      </c>
      <c r="B244" s="244">
        <v>45798</v>
      </c>
      <c r="C244" s="245" t="str">
        <f t="shared" si="35"/>
        <v>MP0242</v>
      </c>
      <c r="D244" s="330" t="s">
        <v>900</v>
      </c>
      <c r="E244" s="247">
        <v>500</v>
      </c>
      <c r="F244" s="247">
        <v>1250</v>
      </c>
      <c r="G244" s="278">
        <v>78</v>
      </c>
      <c r="H244" s="246">
        <f t="shared" si="33"/>
        <v>39000</v>
      </c>
      <c r="I244" s="246" t="s">
        <v>66</v>
      </c>
      <c r="J244" s="246" t="s">
        <v>60</v>
      </c>
      <c r="K244" s="246" t="s">
        <v>22</v>
      </c>
      <c r="L244" s="248"/>
      <c r="M244" s="249" t="s">
        <v>872</v>
      </c>
      <c r="N244" s="246" t="s">
        <v>620</v>
      </c>
      <c r="O244" s="246" t="s">
        <v>55</v>
      </c>
      <c r="P244" s="328">
        <v>45854</v>
      </c>
      <c r="Q244" s="329">
        <f t="shared" ca="1" si="34"/>
        <v>271</v>
      </c>
    </row>
    <row r="245" spans="1:17" s="245" customFormat="1" hidden="1">
      <c r="A245" s="292">
        <f t="shared" si="36"/>
        <v>243</v>
      </c>
      <c r="B245" s="244">
        <v>45798</v>
      </c>
      <c r="C245" s="245" t="str">
        <f t="shared" si="35"/>
        <v>MP0243</v>
      </c>
      <c r="D245" s="245" t="s">
        <v>901</v>
      </c>
      <c r="E245" s="247">
        <v>500</v>
      </c>
      <c r="F245" s="341">
        <v>1090</v>
      </c>
      <c r="G245" s="289">
        <v>68</v>
      </c>
      <c r="H245" s="246">
        <f t="shared" si="33"/>
        <v>34000</v>
      </c>
      <c r="I245" s="246" t="s">
        <v>66</v>
      </c>
      <c r="J245" s="246" t="s">
        <v>60</v>
      </c>
      <c r="K245" s="246" t="s">
        <v>22</v>
      </c>
      <c r="L245" s="248"/>
      <c r="M245" s="249" t="s">
        <v>872</v>
      </c>
      <c r="N245" s="246" t="s">
        <v>620</v>
      </c>
      <c r="O245" s="246" t="s">
        <v>55</v>
      </c>
      <c r="P245" s="328">
        <v>45807.63857638889</v>
      </c>
      <c r="Q245" s="329">
        <f t="shared" ca="1" si="34"/>
        <v>317.36142361110979</v>
      </c>
    </row>
    <row r="246" spans="1:17" hidden="1">
      <c r="A246" s="291">
        <f t="shared" si="36"/>
        <v>244</v>
      </c>
      <c r="B246" s="224">
        <v>45798</v>
      </c>
      <c r="C246" s="250" t="str">
        <f t="shared" si="35"/>
        <v>MP0244</v>
      </c>
      <c r="D246" s="250" t="s">
        <v>902</v>
      </c>
      <c r="E246" s="231">
        <v>500</v>
      </c>
      <c r="F246" s="253">
        <v>750</v>
      </c>
      <c r="G246" s="270">
        <v>47</v>
      </c>
      <c r="H246" s="252">
        <v>0</v>
      </c>
      <c r="I246" s="252" t="s">
        <v>66</v>
      </c>
      <c r="J246" s="252" t="s">
        <v>60</v>
      </c>
      <c r="K246" s="252" t="s">
        <v>22</v>
      </c>
      <c r="L246" s="241"/>
      <c r="M246" s="255" t="s">
        <v>851</v>
      </c>
      <c r="N246" s="178"/>
      <c r="O246" s="178" t="s">
        <v>370</v>
      </c>
      <c r="P246" s="180">
        <v>45805</v>
      </c>
      <c r="Q246" s="217">
        <f t="shared" ca="1" si="34"/>
        <v>320</v>
      </c>
    </row>
    <row r="247" spans="1:17" s="245" customFormat="1" hidden="1">
      <c r="A247" s="292">
        <f t="shared" si="36"/>
        <v>245</v>
      </c>
      <c r="B247" s="244">
        <v>45793</v>
      </c>
      <c r="C247" s="339" t="str">
        <f t="shared" si="35"/>
        <v>MP0245</v>
      </c>
      <c r="D247" s="245" t="s">
        <v>903</v>
      </c>
      <c r="E247" s="340">
        <v>3000</v>
      </c>
      <c r="F247" s="341">
        <v>175</v>
      </c>
      <c r="G247" s="289">
        <v>21.7</v>
      </c>
      <c r="H247" s="246">
        <f t="shared" si="33"/>
        <v>65100</v>
      </c>
      <c r="I247" s="246" t="s">
        <v>904</v>
      </c>
      <c r="J247" s="246" t="s">
        <v>844</v>
      </c>
      <c r="K247" s="246" t="s">
        <v>14</v>
      </c>
      <c r="L247" s="248" t="s">
        <v>905</v>
      </c>
      <c r="M247" s="341" t="s">
        <v>906</v>
      </c>
      <c r="N247" s="246"/>
      <c r="O247" s="246" t="s">
        <v>55</v>
      </c>
      <c r="P247" s="328">
        <v>45864</v>
      </c>
      <c r="Q247" s="329">
        <f t="shared" ca="1" si="34"/>
        <v>261</v>
      </c>
    </row>
    <row r="248" spans="1:17" s="245" customFormat="1" hidden="1">
      <c r="A248" s="292">
        <f t="shared" si="36"/>
        <v>246</v>
      </c>
      <c r="B248" s="244">
        <v>45793</v>
      </c>
      <c r="C248" s="339" t="str">
        <f t="shared" si="35"/>
        <v>MP0246</v>
      </c>
      <c r="D248" s="245" t="s">
        <v>907</v>
      </c>
      <c r="E248" s="340">
        <v>3000</v>
      </c>
      <c r="F248" s="341">
        <v>150</v>
      </c>
      <c r="G248" s="289">
        <v>11.8</v>
      </c>
      <c r="H248" s="246">
        <f t="shared" si="33"/>
        <v>35400</v>
      </c>
      <c r="I248" s="246" t="s">
        <v>908</v>
      </c>
      <c r="J248" s="246" t="s">
        <v>844</v>
      </c>
      <c r="K248" s="246" t="s">
        <v>14</v>
      </c>
      <c r="L248" s="248">
        <v>2984</v>
      </c>
      <c r="M248" s="341" t="s">
        <v>909</v>
      </c>
      <c r="N248" s="246"/>
      <c r="O248" s="246" t="s">
        <v>55</v>
      </c>
      <c r="P248" s="328">
        <v>45864</v>
      </c>
      <c r="Q248" s="329">
        <f t="shared" ca="1" si="34"/>
        <v>261</v>
      </c>
    </row>
    <row r="249" spans="1:17" hidden="1">
      <c r="A249" s="292">
        <f t="shared" si="36"/>
        <v>247</v>
      </c>
      <c r="B249" s="244">
        <v>45793</v>
      </c>
      <c r="C249" s="339" t="str">
        <f t="shared" si="35"/>
        <v>MP0247</v>
      </c>
      <c r="D249" s="245" t="s">
        <v>910</v>
      </c>
      <c r="E249" s="340">
        <v>3000</v>
      </c>
      <c r="F249" s="341">
        <v>115</v>
      </c>
      <c r="G249" s="289"/>
      <c r="H249" s="246" t="str">
        <f t="shared" si="33"/>
        <v/>
      </c>
      <c r="I249" s="246" t="s">
        <v>904</v>
      </c>
      <c r="J249" s="246" t="s">
        <v>844</v>
      </c>
      <c r="K249" s="246" t="s">
        <v>14</v>
      </c>
      <c r="L249" s="248">
        <v>2453</v>
      </c>
      <c r="M249" s="341" t="s">
        <v>906</v>
      </c>
      <c r="N249" s="246"/>
      <c r="O249" s="178" t="s">
        <v>55</v>
      </c>
      <c r="P249" s="328">
        <v>45864</v>
      </c>
      <c r="Q249" s="217">
        <f t="shared" ca="1" si="34"/>
        <v>261</v>
      </c>
    </row>
    <row r="250" spans="1:17" s="245" customFormat="1" hidden="1">
      <c r="A250" s="292">
        <f t="shared" si="36"/>
        <v>248</v>
      </c>
      <c r="B250" s="244">
        <v>45793</v>
      </c>
      <c r="C250" s="339" t="str">
        <f t="shared" si="35"/>
        <v>MP0248</v>
      </c>
      <c r="D250" s="246" t="s">
        <v>911</v>
      </c>
      <c r="E250" s="340">
        <v>3000</v>
      </c>
      <c r="F250" s="247">
        <v>120</v>
      </c>
      <c r="G250" s="289"/>
      <c r="H250" s="246" t="str">
        <f t="shared" si="33"/>
        <v/>
      </c>
      <c r="I250" s="246" t="s">
        <v>904</v>
      </c>
      <c r="J250" s="246" t="s">
        <v>844</v>
      </c>
      <c r="K250" s="246" t="s">
        <v>14</v>
      </c>
      <c r="L250" s="248" t="s">
        <v>905</v>
      </c>
      <c r="M250" s="341" t="s">
        <v>906</v>
      </c>
      <c r="N250" s="246"/>
      <c r="O250" s="246" t="s">
        <v>55</v>
      </c>
      <c r="P250" s="328">
        <v>45864</v>
      </c>
      <c r="Q250" s="329">
        <f t="shared" ca="1" si="34"/>
        <v>261</v>
      </c>
    </row>
    <row r="251" spans="1:17" s="245" customFormat="1" hidden="1">
      <c r="A251" s="292">
        <f t="shared" si="36"/>
        <v>249</v>
      </c>
      <c r="B251" s="244">
        <v>45793</v>
      </c>
      <c r="C251" s="245" t="str">
        <f t="shared" si="35"/>
        <v>MP0249</v>
      </c>
      <c r="D251" s="334" t="s">
        <v>912</v>
      </c>
      <c r="E251" s="340">
        <v>3000</v>
      </c>
      <c r="F251" s="247">
        <v>130</v>
      </c>
      <c r="G251" s="289"/>
      <c r="H251" s="246" t="str">
        <f t="shared" si="33"/>
        <v/>
      </c>
      <c r="I251" s="246" t="s">
        <v>904</v>
      </c>
      <c r="J251" s="246" t="s">
        <v>844</v>
      </c>
      <c r="K251" s="246" t="s">
        <v>14</v>
      </c>
      <c r="L251" s="248" t="s">
        <v>905</v>
      </c>
      <c r="M251" s="341" t="s">
        <v>906</v>
      </c>
      <c r="N251" s="246"/>
      <c r="O251" s="246" t="s">
        <v>55</v>
      </c>
      <c r="P251" s="328">
        <v>45864</v>
      </c>
      <c r="Q251" s="329">
        <f t="shared" ca="1" si="34"/>
        <v>261</v>
      </c>
    </row>
    <row r="252" spans="1:17" hidden="1">
      <c r="A252" s="293">
        <f t="shared" si="36"/>
        <v>250</v>
      </c>
      <c r="B252" s="226">
        <v>45793</v>
      </c>
      <c r="C252" s="261" t="str">
        <f t="shared" si="35"/>
        <v>MP0250</v>
      </c>
      <c r="D252" s="262" t="s">
        <v>913</v>
      </c>
      <c r="E252" s="274">
        <v>3000</v>
      </c>
      <c r="F252" s="232">
        <v>110</v>
      </c>
      <c r="G252" s="267">
        <v>8.8000000000000007</v>
      </c>
      <c r="H252" s="262">
        <v>0</v>
      </c>
      <c r="I252" s="262" t="s">
        <v>904</v>
      </c>
      <c r="J252" s="262" t="s">
        <v>844</v>
      </c>
      <c r="K252" s="262" t="s">
        <v>14</v>
      </c>
      <c r="L252" s="263" t="s">
        <v>905</v>
      </c>
      <c r="M252" s="263" t="s">
        <v>212</v>
      </c>
      <c r="N252" s="178"/>
      <c r="O252" s="178" t="s">
        <v>370</v>
      </c>
      <c r="P252" s="180">
        <v>45793</v>
      </c>
      <c r="Q252" s="217">
        <f t="shared" ca="1" si="34"/>
        <v>332</v>
      </c>
    </row>
    <row r="253" spans="1:17" hidden="1">
      <c r="A253" s="292">
        <f t="shared" si="36"/>
        <v>251</v>
      </c>
      <c r="B253" s="244">
        <v>45804</v>
      </c>
      <c r="C253" s="245" t="str">
        <f t="shared" si="35"/>
        <v>MP0251</v>
      </c>
      <c r="D253" s="246" t="s">
        <v>914</v>
      </c>
      <c r="E253" s="247">
        <v>1200</v>
      </c>
      <c r="F253" s="247">
        <v>75</v>
      </c>
      <c r="G253" s="278">
        <v>15.5</v>
      </c>
      <c r="H253" s="246">
        <f t="shared" si="33"/>
        <v>18600</v>
      </c>
      <c r="I253" s="277" t="s">
        <v>737</v>
      </c>
      <c r="J253" s="246" t="s">
        <v>762</v>
      </c>
      <c r="K253" s="246" t="s">
        <v>20</v>
      </c>
      <c r="L253" s="248">
        <v>1233</v>
      </c>
      <c r="M253" s="249" t="s">
        <v>915</v>
      </c>
      <c r="N253" s="178"/>
      <c r="O253" s="178" t="s">
        <v>55</v>
      </c>
      <c r="P253" s="180">
        <v>45831</v>
      </c>
      <c r="Q253" s="217">
        <f t="shared" ca="1" si="34"/>
        <v>294</v>
      </c>
    </row>
    <row r="254" spans="1:17" s="250" customFormat="1" hidden="1">
      <c r="A254" s="291">
        <f t="shared" si="36"/>
        <v>252</v>
      </c>
      <c r="B254" s="224">
        <v>45804</v>
      </c>
      <c r="C254" s="250" t="str">
        <f t="shared" si="35"/>
        <v>MP0252</v>
      </c>
      <c r="D254" s="252" t="s">
        <v>916</v>
      </c>
      <c r="E254" s="231">
        <v>300</v>
      </c>
      <c r="F254" s="231">
        <v>1090</v>
      </c>
      <c r="G254" s="268">
        <v>420</v>
      </c>
      <c r="H254" s="252">
        <v>0</v>
      </c>
      <c r="I254" s="252" t="s">
        <v>917</v>
      </c>
      <c r="J254" s="252" t="s">
        <v>609</v>
      </c>
      <c r="K254" s="252" t="s">
        <v>918</v>
      </c>
      <c r="L254" s="241"/>
      <c r="M254" s="255" t="s">
        <v>212</v>
      </c>
      <c r="N254" s="252"/>
      <c r="O254" s="252" t="s">
        <v>370</v>
      </c>
      <c r="P254" s="316">
        <v>45820.664537037039</v>
      </c>
      <c r="Q254" s="353">
        <f t="shared" ca="1" si="34"/>
        <v>304.33546296296117</v>
      </c>
    </row>
    <row r="255" spans="1:17" s="250" customFormat="1" hidden="1">
      <c r="A255" s="270">
        <f t="shared" si="36"/>
        <v>253</v>
      </c>
      <c r="B255" s="224">
        <v>45804</v>
      </c>
      <c r="C255" s="352" t="str">
        <f t="shared" si="35"/>
        <v>MP0253</v>
      </c>
      <c r="D255" s="205" t="s">
        <v>919</v>
      </c>
      <c r="E255" s="231">
        <v>300</v>
      </c>
      <c r="F255" s="231">
        <v>2650</v>
      </c>
      <c r="G255" s="268">
        <v>160</v>
      </c>
      <c r="H255" s="205">
        <v>0</v>
      </c>
      <c r="I255" s="206" t="s">
        <v>920</v>
      </c>
      <c r="J255" s="252" t="s">
        <v>609</v>
      </c>
      <c r="K255" s="252" t="s">
        <v>918</v>
      </c>
      <c r="L255" s="241"/>
      <c r="M255" s="260" t="s">
        <v>921</v>
      </c>
      <c r="N255" s="252"/>
      <c r="O255" s="252" t="s">
        <v>370</v>
      </c>
      <c r="P255" s="316">
        <v>45804</v>
      </c>
      <c r="Q255" s="353">
        <f t="shared" ca="1" si="34"/>
        <v>321</v>
      </c>
    </row>
    <row r="256" spans="1:17" s="245" customFormat="1" hidden="1">
      <c r="A256" s="292">
        <f t="shared" si="36"/>
        <v>254</v>
      </c>
      <c r="B256" s="244">
        <v>45793</v>
      </c>
      <c r="C256" s="245" t="str">
        <f t="shared" si="35"/>
        <v>MP0254</v>
      </c>
      <c r="D256" s="246" t="s">
        <v>922</v>
      </c>
      <c r="E256" s="247">
        <v>500</v>
      </c>
      <c r="F256" s="247">
        <v>350</v>
      </c>
      <c r="G256" s="278">
        <v>35</v>
      </c>
      <c r="H256" s="246">
        <f t="shared" si="33"/>
        <v>17500</v>
      </c>
      <c r="I256" s="246" t="s">
        <v>923</v>
      </c>
      <c r="J256" s="246" t="s">
        <v>609</v>
      </c>
      <c r="K256" s="246" t="s">
        <v>918</v>
      </c>
      <c r="L256" s="248"/>
      <c r="M256" s="249" t="s">
        <v>924</v>
      </c>
      <c r="N256" s="246"/>
      <c r="O256" s="246" t="s">
        <v>55</v>
      </c>
      <c r="P256" s="328">
        <v>45901</v>
      </c>
      <c r="Q256" s="329">
        <f t="shared" ca="1" si="34"/>
        <v>224</v>
      </c>
    </row>
    <row r="257" spans="1:17" s="245" customFormat="1" ht="15.75" hidden="1">
      <c r="A257" s="292">
        <f t="shared" si="36"/>
        <v>255</v>
      </c>
      <c r="B257" s="244">
        <v>45793</v>
      </c>
      <c r="C257" s="245" t="str">
        <f t="shared" si="35"/>
        <v>MP0255</v>
      </c>
      <c r="D257" s="304" t="s">
        <v>925</v>
      </c>
      <c r="E257" s="247">
        <v>3000</v>
      </c>
      <c r="F257" s="247">
        <v>125</v>
      </c>
      <c r="G257" s="278">
        <v>9.4</v>
      </c>
      <c r="H257" s="246">
        <f t="shared" si="33"/>
        <v>28200</v>
      </c>
      <c r="I257" s="246" t="s">
        <v>926</v>
      </c>
      <c r="J257" s="186" t="s">
        <v>144</v>
      </c>
      <c r="K257" s="246" t="s">
        <v>22</v>
      </c>
      <c r="L257" s="248">
        <v>2736</v>
      </c>
      <c r="M257" s="249"/>
      <c r="N257" s="246"/>
      <c r="O257" s="246" t="s">
        <v>55</v>
      </c>
      <c r="P257" s="328">
        <v>45861</v>
      </c>
      <c r="Q257" s="329">
        <f t="shared" ca="1" si="34"/>
        <v>264</v>
      </c>
    </row>
    <row r="258" spans="1:17" s="245" customFormat="1" hidden="1">
      <c r="A258" s="292">
        <f t="shared" si="36"/>
        <v>256</v>
      </c>
      <c r="B258" s="244">
        <v>45793</v>
      </c>
      <c r="C258" s="245" t="str">
        <f t="shared" si="35"/>
        <v>MP0256</v>
      </c>
      <c r="D258" s="246" t="s">
        <v>927</v>
      </c>
      <c r="E258" s="247">
        <v>300</v>
      </c>
      <c r="F258" s="247">
        <v>1250</v>
      </c>
      <c r="G258" s="278">
        <v>70</v>
      </c>
      <c r="H258" s="246">
        <f t="shared" si="33"/>
        <v>21000</v>
      </c>
      <c r="I258" s="246" t="s">
        <v>66</v>
      </c>
      <c r="J258" s="246" t="s">
        <v>609</v>
      </c>
      <c r="K258" s="246" t="s">
        <v>2</v>
      </c>
      <c r="L258" s="248">
        <v>312</v>
      </c>
      <c r="M258" s="249"/>
      <c r="N258" s="246"/>
      <c r="O258" s="246" t="s">
        <v>55</v>
      </c>
      <c r="P258" s="328">
        <v>45825</v>
      </c>
      <c r="Q258" s="329">
        <f t="shared" ca="1" si="34"/>
        <v>300</v>
      </c>
    </row>
    <row r="259" spans="1:17" s="245" customFormat="1" hidden="1">
      <c r="A259" s="292">
        <f t="shared" si="36"/>
        <v>257</v>
      </c>
      <c r="B259" s="244">
        <v>45800</v>
      </c>
      <c r="C259" s="245" t="str">
        <f t="shared" si="35"/>
        <v>MP0257</v>
      </c>
      <c r="D259" s="246" t="s">
        <v>928</v>
      </c>
      <c r="E259" s="247">
        <v>3000</v>
      </c>
      <c r="F259" s="247">
        <v>107</v>
      </c>
      <c r="G259" s="278">
        <v>10.5</v>
      </c>
      <c r="H259" s="246">
        <f t="shared" si="33"/>
        <v>31500</v>
      </c>
      <c r="I259" s="249" t="s">
        <v>929</v>
      </c>
      <c r="J259" s="246" t="s">
        <v>930</v>
      </c>
      <c r="K259" s="246" t="s">
        <v>678</v>
      </c>
      <c r="L259" s="248"/>
      <c r="M259" s="249" t="s">
        <v>931</v>
      </c>
      <c r="N259" s="246"/>
      <c r="O259" s="246" t="s">
        <v>55</v>
      </c>
      <c r="P259" s="328">
        <v>45874</v>
      </c>
      <c r="Q259" s="329">
        <f t="shared" ca="1" si="34"/>
        <v>251</v>
      </c>
    </row>
    <row r="260" spans="1:17" s="245" customFormat="1" hidden="1">
      <c r="A260" s="292">
        <f t="shared" si="36"/>
        <v>258</v>
      </c>
      <c r="B260" s="244">
        <v>45800</v>
      </c>
      <c r="C260" s="245" t="str">
        <f t="shared" si="35"/>
        <v>MP0258</v>
      </c>
      <c r="D260" s="246" t="s">
        <v>932</v>
      </c>
      <c r="E260" s="247">
        <v>3000</v>
      </c>
      <c r="F260" s="247">
        <v>210</v>
      </c>
      <c r="G260" s="278">
        <v>19</v>
      </c>
      <c r="H260" s="246">
        <f t="shared" si="33"/>
        <v>57000</v>
      </c>
      <c r="I260" s="246" t="s">
        <v>933</v>
      </c>
      <c r="J260" s="246" t="s">
        <v>144</v>
      </c>
      <c r="K260" s="246" t="s">
        <v>678</v>
      </c>
      <c r="L260" s="248"/>
      <c r="M260" s="249" t="s">
        <v>934</v>
      </c>
      <c r="N260" s="246"/>
      <c r="O260" s="246" t="s">
        <v>55</v>
      </c>
      <c r="P260" s="328">
        <v>45870</v>
      </c>
      <c r="Q260" s="329">
        <f t="shared" ca="1" si="34"/>
        <v>255</v>
      </c>
    </row>
    <row r="261" spans="1:17" s="245" customFormat="1" hidden="1">
      <c r="A261" s="292">
        <f t="shared" si="36"/>
        <v>259</v>
      </c>
      <c r="B261" s="244">
        <v>45800</v>
      </c>
      <c r="C261" s="245" t="str">
        <f t="shared" si="35"/>
        <v>MP0259</v>
      </c>
      <c r="D261" s="246" t="s">
        <v>935</v>
      </c>
      <c r="E261" s="247">
        <v>300</v>
      </c>
      <c r="F261" s="247">
        <v>1900</v>
      </c>
      <c r="G261" s="278">
        <v>205</v>
      </c>
      <c r="H261" s="246">
        <f t="shared" si="33"/>
        <v>61500</v>
      </c>
      <c r="I261" s="246" t="s">
        <v>936</v>
      </c>
      <c r="J261" s="246" t="s">
        <v>937</v>
      </c>
      <c r="K261" s="246" t="s">
        <v>4</v>
      </c>
      <c r="L261" s="248"/>
      <c r="M261" s="249" t="s">
        <v>878</v>
      </c>
      <c r="N261" s="246"/>
      <c r="O261" s="246" t="s">
        <v>55</v>
      </c>
      <c r="P261" s="328">
        <v>45807.62059027778</v>
      </c>
      <c r="Q261" s="329">
        <f t="shared" ca="1" si="34"/>
        <v>317.37940972221986</v>
      </c>
    </row>
    <row r="262" spans="1:17" s="245" customFormat="1" hidden="1">
      <c r="A262" s="292">
        <f t="shared" ref="A262:A325" si="37">IF(B262="","",ROW()-2)</f>
        <v>260</v>
      </c>
      <c r="B262" s="244">
        <v>45800</v>
      </c>
      <c r="C262" s="245" t="str">
        <f t="shared" ref="C262:C267" si="38">IF(B262="","",_xlfn.CONCAT("MP0",A262))</f>
        <v>MP0260</v>
      </c>
      <c r="D262" s="246" t="s">
        <v>938</v>
      </c>
      <c r="E262" s="247">
        <v>200</v>
      </c>
      <c r="F262" s="247">
        <v>3400</v>
      </c>
      <c r="G262" s="278">
        <v>360</v>
      </c>
      <c r="H262" s="246">
        <f t="shared" ref="H262:H325" si="39">IF(G262="","",E262*G262)</f>
        <v>72000</v>
      </c>
      <c r="I262" s="246" t="s">
        <v>939</v>
      </c>
      <c r="J262" s="246" t="s">
        <v>609</v>
      </c>
      <c r="K262" s="246" t="s">
        <v>4</v>
      </c>
      <c r="L262" s="248"/>
      <c r="M262" s="249" t="s">
        <v>940</v>
      </c>
      <c r="N262" s="246"/>
      <c r="O262" s="246" t="s">
        <v>55</v>
      </c>
      <c r="P262" s="328">
        <v>45870</v>
      </c>
      <c r="Q262" s="329">
        <f t="shared" ca="1" si="30"/>
        <v>255</v>
      </c>
    </row>
    <row r="263" spans="1:17" s="245" customFormat="1" hidden="1">
      <c r="A263" s="292">
        <f t="shared" si="37"/>
        <v>261</v>
      </c>
      <c r="B263" s="244">
        <v>45800</v>
      </c>
      <c r="C263" s="245" t="str">
        <f t="shared" si="38"/>
        <v>MP0261</v>
      </c>
      <c r="D263" s="246" t="s">
        <v>941</v>
      </c>
      <c r="E263" s="247">
        <v>200</v>
      </c>
      <c r="F263" s="247">
        <v>2160</v>
      </c>
      <c r="G263" s="278">
        <v>270</v>
      </c>
      <c r="H263" s="246">
        <f t="shared" si="39"/>
        <v>54000</v>
      </c>
      <c r="I263" s="246" t="s">
        <v>942</v>
      </c>
      <c r="J263" s="246" t="s">
        <v>609</v>
      </c>
      <c r="K263" s="246" t="s">
        <v>4</v>
      </c>
      <c r="L263" s="248">
        <v>203</v>
      </c>
      <c r="M263" s="249"/>
      <c r="N263" s="246"/>
      <c r="O263" s="246" t="s">
        <v>55</v>
      </c>
      <c r="P263" s="328">
        <v>45854</v>
      </c>
      <c r="Q263" s="329">
        <f t="shared" ca="1" si="30"/>
        <v>271</v>
      </c>
    </row>
    <row r="264" spans="1:17" s="245" customFormat="1" hidden="1">
      <c r="A264" s="292">
        <f t="shared" si="37"/>
        <v>262</v>
      </c>
      <c r="B264" s="244">
        <v>45800</v>
      </c>
      <c r="C264" s="245" t="str">
        <f t="shared" si="38"/>
        <v>MP0262</v>
      </c>
      <c r="D264" s="246" t="s">
        <v>943</v>
      </c>
      <c r="E264" s="247">
        <v>1000</v>
      </c>
      <c r="F264" s="247">
        <v>398</v>
      </c>
      <c r="G264" s="278">
        <v>50</v>
      </c>
      <c r="H264" s="246">
        <f t="shared" si="39"/>
        <v>50000</v>
      </c>
      <c r="I264" s="246" t="s">
        <v>944</v>
      </c>
      <c r="J264" s="246" t="s">
        <v>634</v>
      </c>
      <c r="K264" s="246" t="s">
        <v>7</v>
      </c>
      <c r="L264" s="248">
        <v>972</v>
      </c>
      <c r="M264" s="249"/>
      <c r="N264" s="246"/>
      <c r="O264" s="246" t="s">
        <v>55</v>
      </c>
      <c r="P264" s="328">
        <v>45862</v>
      </c>
      <c r="Q264" s="329">
        <f t="shared" ca="1" si="30"/>
        <v>263</v>
      </c>
    </row>
    <row r="265" spans="1:17" s="245" customFormat="1" hidden="1">
      <c r="A265" s="292">
        <f t="shared" si="37"/>
        <v>263</v>
      </c>
      <c r="B265" s="244">
        <v>45801</v>
      </c>
      <c r="C265" s="245" t="str">
        <f t="shared" si="38"/>
        <v>MP0263</v>
      </c>
      <c r="D265" s="246" t="s">
        <v>945</v>
      </c>
      <c r="E265" s="247">
        <v>3000</v>
      </c>
      <c r="F265" s="247" t="s">
        <v>946</v>
      </c>
      <c r="G265" s="278">
        <v>10</v>
      </c>
      <c r="H265" s="246">
        <f t="shared" si="39"/>
        <v>30000</v>
      </c>
      <c r="I265" s="246" t="s">
        <v>947</v>
      </c>
      <c r="J265" s="246" t="s">
        <v>634</v>
      </c>
      <c r="K265" s="246" t="s">
        <v>7</v>
      </c>
      <c r="L265" s="248"/>
      <c r="M265" s="249" t="s">
        <v>872</v>
      </c>
      <c r="N265" s="246"/>
      <c r="O265" s="246" t="s">
        <v>55</v>
      </c>
      <c r="P265" s="328">
        <v>45901</v>
      </c>
      <c r="Q265" s="329">
        <f t="shared" ca="1" si="30"/>
        <v>224</v>
      </c>
    </row>
    <row r="266" spans="1:17" s="245" customFormat="1" hidden="1">
      <c r="A266" s="247">
        <f t="shared" si="37"/>
        <v>264</v>
      </c>
      <c r="B266" s="244">
        <v>45800</v>
      </c>
      <c r="C266" s="245" t="str">
        <f t="shared" si="38"/>
        <v>MP0264</v>
      </c>
      <c r="D266" s="246" t="s">
        <v>948</v>
      </c>
      <c r="E266" s="247">
        <v>3000</v>
      </c>
      <c r="F266" s="247" t="s">
        <v>949</v>
      </c>
      <c r="G266" s="278">
        <v>22</v>
      </c>
      <c r="H266" s="246">
        <f t="shared" si="39"/>
        <v>66000</v>
      </c>
      <c r="I266" s="246" t="s">
        <v>947</v>
      </c>
      <c r="J266" s="246" t="s">
        <v>634</v>
      </c>
      <c r="K266" s="246" t="s">
        <v>7</v>
      </c>
      <c r="L266" s="248">
        <v>2907</v>
      </c>
      <c r="M266" s="249" t="s">
        <v>872</v>
      </c>
      <c r="N266" s="246"/>
      <c r="O266" s="246" t="s">
        <v>55</v>
      </c>
      <c r="P266" s="328">
        <v>45852</v>
      </c>
      <c r="Q266" s="329">
        <f t="shared" ca="1" si="30"/>
        <v>273</v>
      </c>
    </row>
    <row r="267" spans="1:17" s="245" customFormat="1" hidden="1">
      <c r="A267" s="247">
        <f t="shared" si="37"/>
        <v>265</v>
      </c>
      <c r="B267" s="244">
        <v>45800</v>
      </c>
      <c r="C267" s="245" t="str">
        <f t="shared" si="38"/>
        <v>MP0265</v>
      </c>
      <c r="D267" s="246" t="s">
        <v>950</v>
      </c>
      <c r="E267" s="247">
        <v>3000</v>
      </c>
      <c r="F267" s="247">
        <v>85</v>
      </c>
      <c r="G267" s="278">
        <v>7</v>
      </c>
      <c r="H267" s="246">
        <f t="shared" si="39"/>
        <v>21000</v>
      </c>
      <c r="I267" s="246" t="s">
        <v>951</v>
      </c>
      <c r="J267" s="246" t="s">
        <v>952</v>
      </c>
      <c r="K267" s="246" t="s">
        <v>2</v>
      </c>
      <c r="L267" s="248">
        <v>3024</v>
      </c>
      <c r="M267" s="295"/>
      <c r="N267" s="246"/>
      <c r="O267" s="246" t="s">
        <v>55</v>
      </c>
      <c r="P267" s="328">
        <v>45880</v>
      </c>
      <c r="Q267" s="329">
        <f t="shared" ca="1" si="30"/>
        <v>245</v>
      </c>
    </row>
    <row r="268" spans="1:17" s="245" customFormat="1" hidden="1">
      <c r="A268" s="247">
        <f t="shared" si="37"/>
        <v>266</v>
      </c>
      <c r="B268" s="244">
        <v>45800</v>
      </c>
      <c r="C268" s="245" t="str">
        <f t="shared" ref="C268:C299" si="40">IF(B268="","",_xlfn.CONCAT("MP0",A268))</f>
        <v>MP0266</v>
      </c>
      <c r="D268" s="246" t="s">
        <v>953</v>
      </c>
      <c r="E268" s="247">
        <v>300</v>
      </c>
      <c r="F268" s="247">
        <v>1350</v>
      </c>
      <c r="G268" s="278">
        <v>80</v>
      </c>
      <c r="H268" s="246">
        <f t="shared" si="39"/>
        <v>24000</v>
      </c>
      <c r="I268" s="246" t="s">
        <v>954</v>
      </c>
      <c r="J268" s="246" t="s">
        <v>937</v>
      </c>
      <c r="K268" s="246" t="s">
        <v>2</v>
      </c>
      <c r="L268" s="248">
        <v>342</v>
      </c>
      <c r="M268" s="279"/>
      <c r="N268" s="246"/>
      <c r="O268" s="246" t="s">
        <v>55</v>
      </c>
      <c r="P268" s="328">
        <v>45854</v>
      </c>
      <c r="Q268" s="329">
        <f t="shared" ref="Q268:Q278" ca="1" si="41">TODAY()-P268</f>
        <v>271</v>
      </c>
    </row>
    <row r="269" spans="1:17" s="245" customFormat="1" hidden="1">
      <c r="A269" s="247">
        <f t="shared" si="37"/>
        <v>267</v>
      </c>
      <c r="B269" s="244">
        <v>45800</v>
      </c>
      <c r="C269" s="245" t="str">
        <f t="shared" si="40"/>
        <v>MP0267</v>
      </c>
      <c r="D269" s="246" t="s">
        <v>108</v>
      </c>
      <c r="E269" s="247">
        <v>600</v>
      </c>
      <c r="F269" s="247">
        <v>270</v>
      </c>
      <c r="G269" s="278">
        <v>42.5</v>
      </c>
      <c r="H269" s="246">
        <f t="shared" si="39"/>
        <v>25500</v>
      </c>
      <c r="I269" s="246" t="s">
        <v>955</v>
      </c>
      <c r="J269" s="246" t="s">
        <v>956</v>
      </c>
      <c r="K269" s="246" t="s">
        <v>5</v>
      </c>
      <c r="L269" s="248">
        <v>640</v>
      </c>
      <c r="M269" s="249" t="s">
        <v>869</v>
      </c>
      <c r="N269" s="246"/>
      <c r="O269" s="246" t="s">
        <v>55</v>
      </c>
      <c r="P269" s="328">
        <v>45854</v>
      </c>
      <c r="Q269" s="329">
        <f t="shared" ca="1" si="41"/>
        <v>271</v>
      </c>
    </row>
    <row r="270" spans="1:17" hidden="1">
      <c r="A270" s="247">
        <f t="shared" si="37"/>
        <v>268</v>
      </c>
      <c r="B270" s="244">
        <v>45800</v>
      </c>
      <c r="C270" s="245" t="str">
        <f t="shared" si="40"/>
        <v>MP0268</v>
      </c>
      <c r="D270" s="246" t="s">
        <v>104</v>
      </c>
      <c r="E270" s="247">
        <v>600</v>
      </c>
      <c r="F270" s="247">
        <v>270</v>
      </c>
      <c r="G270" s="278">
        <v>44</v>
      </c>
      <c r="H270" s="246">
        <f t="shared" si="39"/>
        <v>26400</v>
      </c>
      <c r="I270" s="246" t="s">
        <v>957</v>
      </c>
      <c r="J270" s="246" t="s">
        <v>956</v>
      </c>
      <c r="K270" s="246" t="s">
        <v>5</v>
      </c>
      <c r="L270" s="248"/>
      <c r="M270" s="249" t="s">
        <v>958</v>
      </c>
      <c r="N270" s="246"/>
      <c r="O270" s="178" t="s">
        <v>55</v>
      </c>
      <c r="P270" s="180">
        <v>45819.691238425927</v>
      </c>
      <c r="Q270" s="217">
        <f t="shared" ca="1" si="41"/>
        <v>305.30876157407329</v>
      </c>
    </row>
    <row r="271" spans="1:17" hidden="1">
      <c r="A271" s="247">
        <f t="shared" si="37"/>
        <v>269</v>
      </c>
      <c r="B271" s="244">
        <v>45800</v>
      </c>
      <c r="C271" s="245" t="str">
        <f t="shared" si="40"/>
        <v>MP0269</v>
      </c>
      <c r="D271" s="190" t="s">
        <v>792</v>
      </c>
      <c r="E271" s="247">
        <v>500</v>
      </c>
      <c r="F271" s="247" t="s">
        <v>231</v>
      </c>
      <c r="G271" s="278">
        <v>430</v>
      </c>
      <c r="H271" s="246">
        <f t="shared" si="39"/>
        <v>215000</v>
      </c>
      <c r="I271" s="246" t="s">
        <v>66</v>
      </c>
      <c r="J271" s="246" t="s">
        <v>609</v>
      </c>
      <c r="K271" s="246" t="s">
        <v>7</v>
      </c>
      <c r="L271" s="248">
        <v>495</v>
      </c>
      <c r="M271" s="249"/>
      <c r="N271" s="246"/>
      <c r="O271" s="178" t="s">
        <v>55</v>
      </c>
      <c r="P271" s="180">
        <v>45840</v>
      </c>
      <c r="Q271" s="217">
        <f t="shared" ca="1" si="41"/>
        <v>285</v>
      </c>
    </row>
    <row r="272" spans="1:17" hidden="1">
      <c r="A272" s="247">
        <f t="shared" si="37"/>
        <v>270</v>
      </c>
      <c r="B272" s="244">
        <v>45803</v>
      </c>
      <c r="C272" s="245" t="str">
        <f t="shared" si="40"/>
        <v>MP0270</v>
      </c>
      <c r="D272" s="246" t="s">
        <v>959</v>
      </c>
      <c r="E272" s="247">
        <v>200</v>
      </c>
      <c r="F272" s="247">
        <v>3900</v>
      </c>
      <c r="G272" s="278">
        <v>600</v>
      </c>
      <c r="H272" s="246">
        <f t="shared" si="39"/>
        <v>120000</v>
      </c>
      <c r="I272" s="246" t="s">
        <v>656</v>
      </c>
      <c r="J272" s="246" t="s">
        <v>609</v>
      </c>
      <c r="K272" s="246" t="s">
        <v>678</v>
      </c>
      <c r="L272" s="248">
        <v>199</v>
      </c>
      <c r="M272" s="249" t="s">
        <v>872</v>
      </c>
      <c r="N272" s="246"/>
      <c r="O272" s="178" t="s">
        <v>55</v>
      </c>
      <c r="P272" s="180">
        <v>45836</v>
      </c>
      <c r="Q272" s="217">
        <f t="shared" ca="1" si="41"/>
        <v>289</v>
      </c>
    </row>
    <row r="273" spans="1:17" hidden="1">
      <c r="A273" s="247">
        <f t="shared" si="37"/>
        <v>271</v>
      </c>
      <c r="B273" s="244">
        <v>45803</v>
      </c>
      <c r="C273" s="245" t="str">
        <f t="shared" si="40"/>
        <v>MP0271</v>
      </c>
      <c r="D273" s="317" t="s">
        <v>960</v>
      </c>
      <c r="E273" s="318">
        <v>25000</v>
      </c>
      <c r="F273" s="247">
        <v>19.75</v>
      </c>
      <c r="G273" s="278">
        <v>3</v>
      </c>
      <c r="H273" s="246">
        <f t="shared" si="39"/>
        <v>75000</v>
      </c>
      <c r="I273" s="319" t="s">
        <v>961</v>
      </c>
      <c r="J273" s="246" t="s">
        <v>962</v>
      </c>
      <c r="K273" s="246" t="s">
        <v>10</v>
      </c>
      <c r="L273" s="248">
        <v>24175</v>
      </c>
      <c r="M273" s="249"/>
      <c r="N273" s="246"/>
      <c r="O273" s="178" t="s">
        <v>55</v>
      </c>
      <c r="P273" s="180">
        <v>45846</v>
      </c>
      <c r="Q273" s="217">
        <f t="shared" ca="1" si="41"/>
        <v>279</v>
      </c>
    </row>
    <row r="274" spans="1:17" hidden="1">
      <c r="A274" s="247">
        <f t="shared" si="37"/>
        <v>272</v>
      </c>
      <c r="B274" s="244">
        <v>45804</v>
      </c>
      <c r="C274" s="245" t="str">
        <f t="shared" si="40"/>
        <v>MP0272</v>
      </c>
      <c r="D274" s="246" t="s">
        <v>963</v>
      </c>
      <c r="E274" s="247">
        <v>1200</v>
      </c>
      <c r="F274" s="247">
        <v>55</v>
      </c>
      <c r="G274" s="278">
        <v>57</v>
      </c>
      <c r="H274" s="246">
        <f t="shared" si="39"/>
        <v>68400</v>
      </c>
      <c r="I274" s="246" t="s">
        <v>964</v>
      </c>
      <c r="J274" s="246" t="s">
        <v>782</v>
      </c>
      <c r="K274" s="246" t="s">
        <v>10</v>
      </c>
      <c r="L274" s="248">
        <v>1310</v>
      </c>
      <c r="M274" s="249" t="s">
        <v>878</v>
      </c>
      <c r="N274" s="215" t="s">
        <v>620</v>
      </c>
      <c r="O274" s="178" t="s">
        <v>55</v>
      </c>
      <c r="P274" s="180">
        <v>45801</v>
      </c>
      <c r="Q274" s="217">
        <f t="shared" ca="1" si="41"/>
        <v>324</v>
      </c>
    </row>
    <row r="275" spans="1:17" s="250" customFormat="1" hidden="1">
      <c r="A275" s="231">
        <f t="shared" si="37"/>
        <v>273</v>
      </c>
      <c r="B275" s="224">
        <v>45804</v>
      </c>
      <c r="C275" s="250" t="str">
        <f t="shared" si="40"/>
        <v>MP0273</v>
      </c>
      <c r="D275" s="252" t="s">
        <v>965</v>
      </c>
      <c r="E275" s="231">
        <v>500</v>
      </c>
      <c r="F275" s="231">
        <v>39</v>
      </c>
      <c r="G275" s="268">
        <v>80</v>
      </c>
      <c r="H275" s="252">
        <v>0</v>
      </c>
      <c r="I275" s="252" t="s">
        <v>966</v>
      </c>
      <c r="J275" s="252" t="s">
        <v>967</v>
      </c>
      <c r="K275" s="252" t="s">
        <v>968</v>
      </c>
      <c r="L275" s="241"/>
      <c r="M275" s="255" t="s">
        <v>969</v>
      </c>
      <c r="N275" s="252"/>
      <c r="O275" s="252" t="s">
        <v>370</v>
      </c>
      <c r="P275" s="316">
        <v>45820.667615740742</v>
      </c>
      <c r="Q275" s="353">
        <f t="shared" ca="1" si="41"/>
        <v>304.33238425925811</v>
      </c>
    </row>
    <row r="276" spans="1:17" s="245" customFormat="1" hidden="1">
      <c r="A276" s="247">
        <f t="shared" si="37"/>
        <v>274</v>
      </c>
      <c r="B276" s="244">
        <v>45804</v>
      </c>
      <c r="C276" s="245" t="str">
        <f t="shared" si="40"/>
        <v>MP0274</v>
      </c>
      <c r="D276" s="246" t="s">
        <v>970</v>
      </c>
      <c r="E276" s="247">
        <v>300</v>
      </c>
      <c r="F276" s="247">
        <v>1550</v>
      </c>
      <c r="G276" s="278">
        <v>115</v>
      </c>
      <c r="H276" s="246">
        <f t="shared" si="39"/>
        <v>34500</v>
      </c>
      <c r="I276" s="246" t="s">
        <v>971</v>
      </c>
      <c r="J276" s="246" t="s">
        <v>113</v>
      </c>
      <c r="K276" s="246" t="s">
        <v>2</v>
      </c>
      <c r="L276" s="248"/>
      <c r="N276" s="246"/>
      <c r="O276" s="246" t="s">
        <v>55</v>
      </c>
      <c r="P276" s="328">
        <v>45870</v>
      </c>
      <c r="Q276" s="329">
        <f t="shared" ca="1" si="41"/>
        <v>255</v>
      </c>
    </row>
    <row r="277" spans="1:17" hidden="1">
      <c r="A277" s="247">
        <f t="shared" si="37"/>
        <v>275</v>
      </c>
      <c r="B277" s="244">
        <v>45804</v>
      </c>
      <c r="C277" s="245" t="str">
        <f t="shared" si="40"/>
        <v>MP0275</v>
      </c>
      <c r="D277" s="246" t="s">
        <v>361</v>
      </c>
      <c r="E277" s="247">
        <v>300</v>
      </c>
      <c r="F277" s="247">
        <v>1470</v>
      </c>
      <c r="G277" s="278">
        <v>152</v>
      </c>
      <c r="H277" s="246">
        <v>45600</v>
      </c>
      <c r="I277" s="246" t="s">
        <v>125</v>
      </c>
      <c r="J277" s="246" t="s">
        <v>87</v>
      </c>
      <c r="K277" s="246" t="s">
        <v>2</v>
      </c>
      <c r="L277" s="248">
        <v>301</v>
      </c>
      <c r="M277" s="249" t="s">
        <v>972</v>
      </c>
      <c r="N277" s="246"/>
      <c r="O277" s="178" t="s">
        <v>55</v>
      </c>
      <c r="P277" s="180">
        <v>45845</v>
      </c>
      <c r="Q277" s="217">
        <f t="shared" ca="1" si="41"/>
        <v>280</v>
      </c>
    </row>
    <row r="278" spans="1:17" hidden="1">
      <c r="A278" s="247">
        <f t="shared" si="37"/>
        <v>276</v>
      </c>
      <c r="B278" s="244">
        <v>45805</v>
      </c>
      <c r="C278" s="245" t="str">
        <f t="shared" si="40"/>
        <v>MP0276</v>
      </c>
      <c r="D278" s="246" t="s">
        <v>902</v>
      </c>
      <c r="E278" s="247">
        <v>500</v>
      </c>
      <c r="F278" s="247">
        <v>750</v>
      </c>
      <c r="G278" s="278">
        <v>47</v>
      </c>
      <c r="H278" s="246">
        <v>23500</v>
      </c>
      <c r="I278" s="246" t="s">
        <v>66</v>
      </c>
      <c r="J278" s="246" t="s">
        <v>60</v>
      </c>
      <c r="K278" s="246" t="s">
        <v>15</v>
      </c>
      <c r="L278" s="248"/>
      <c r="M278" s="249"/>
      <c r="N278" s="246" t="s">
        <v>620</v>
      </c>
      <c r="O278" s="178" t="s">
        <v>55</v>
      </c>
      <c r="P278" s="180">
        <v>45840</v>
      </c>
      <c r="Q278" s="217">
        <f t="shared" ca="1" si="41"/>
        <v>285</v>
      </c>
    </row>
    <row r="279" spans="1:17" hidden="1">
      <c r="A279" s="247">
        <f t="shared" si="37"/>
        <v>277</v>
      </c>
      <c r="B279" s="244">
        <v>45808</v>
      </c>
      <c r="C279" s="245" t="str">
        <f t="shared" si="40"/>
        <v>MP0277</v>
      </c>
      <c r="D279" s="246" t="s">
        <v>973</v>
      </c>
      <c r="E279" s="247">
        <v>3000</v>
      </c>
      <c r="F279" s="247">
        <v>99</v>
      </c>
      <c r="G279" s="278">
        <v>8</v>
      </c>
      <c r="H279" s="246">
        <f t="shared" si="39"/>
        <v>24000</v>
      </c>
      <c r="I279" s="246" t="s">
        <v>51</v>
      </c>
      <c r="J279" s="246" t="s">
        <v>265</v>
      </c>
      <c r="K279" s="246" t="s">
        <v>20</v>
      </c>
      <c r="L279" s="248">
        <v>3076</v>
      </c>
      <c r="M279" s="249" t="s">
        <v>931</v>
      </c>
      <c r="N279" s="246" t="s">
        <v>620</v>
      </c>
      <c r="O279" s="178" t="s">
        <v>55</v>
      </c>
      <c r="P279" s="180">
        <v>45839</v>
      </c>
      <c r="Q279" s="217">
        <f t="shared" ref="Q279:Q307" ca="1" si="42">TODAY()-P279</f>
        <v>286</v>
      </c>
    </row>
    <row r="280" spans="1:17" s="245" customFormat="1" hidden="1">
      <c r="A280" s="247">
        <f t="shared" si="37"/>
        <v>278</v>
      </c>
      <c r="B280" s="244">
        <v>45811</v>
      </c>
      <c r="C280" s="245" t="str">
        <f t="shared" si="40"/>
        <v>MP0278</v>
      </c>
      <c r="D280" s="317" t="s">
        <v>974</v>
      </c>
      <c r="E280" s="247">
        <v>500</v>
      </c>
      <c r="F280" s="247" t="s">
        <v>975</v>
      </c>
      <c r="G280" s="278">
        <v>33</v>
      </c>
      <c r="H280" s="246">
        <f t="shared" si="39"/>
        <v>16500</v>
      </c>
      <c r="I280" s="246" t="s">
        <v>66</v>
      </c>
      <c r="J280" s="246" t="s">
        <v>609</v>
      </c>
      <c r="K280" s="246" t="s">
        <v>7</v>
      </c>
      <c r="L280" s="248"/>
      <c r="M280" s="249" t="s">
        <v>620</v>
      </c>
      <c r="N280" s="246"/>
      <c r="O280" s="246" t="s">
        <v>55</v>
      </c>
      <c r="P280" s="328">
        <v>45870</v>
      </c>
      <c r="Q280" s="329">
        <f t="shared" ca="1" si="42"/>
        <v>255</v>
      </c>
    </row>
    <row r="281" spans="1:17" s="245" customFormat="1" hidden="1">
      <c r="A281" s="247">
        <f t="shared" si="37"/>
        <v>279</v>
      </c>
      <c r="B281" s="244">
        <v>45808</v>
      </c>
      <c r="C281" s="245" t="str">
        <f t="shared" si="40"/>
        <v>MP0279</v>
      </c>
      <c r="D281" s="246" t="s">
        <v>65</v>
      </c>
      <c r="E281" s="247">
        <v>500</v>
      </c>
      <c r="F281" s="247">
        <v>1250</v>
      </c>
      <c r="G281" s="278">
        <v>80</v>
      </c>
      <c r="H281" s="246">
        <f t="shared" si="39"/>
        <v>40000</v>
      </c>
      <c r="I281" s="246" t="s">
        <v>66</v>
      </c>
      <c r="J281" s="246" t="s">
        <v>609</v>
      </c>
      <c r="K281" s="246" t="s">
        <v>15</v>
      </c>
      <c r="L281" s="248">
        <v>511</v>
      </c>
      <c r="M281" s="249" t="s">
        <v>976</v>
      </c>
      <c r="N281" s="246"/>
      <c r="O281" s="246" t="s">
        <v>55</v>
      </c>
      <c r="P281" s="328">
        <v>45854</v>
      </c>
      <c r="Q281" s="329">
        <f t="shared" ca="1" si="42"/>
        <v>271</v>
      </c>
    </row>
    <row r="282" spans="1:17" s="245" customFormat="1" hidden="1">
      <c r="A282" s="247">
        <f t="shared" si="37"/>
        <v>280</v>
      </c>
      <c r="B282" s="244">
        <v>45808</v>
      </c>
      <c r="C282" s="245" t="str">
        <f t="shared" si="40"/>
        <v>MP0280</v>
      </c>
      <c r="D282" s="246" t="s">
        <v>977</v>
      </c>
      <c r="E282" s="247">
        <v>500</v>
      </c>
      <c r="F282" s="247">
        <v>1024.7</v>
      </c>
      <c r="G282" s="278">
        <v>174</v>
      </c>
      <c r="H282" s="246">
        <f t="shared" si="39"/>
        <v>87000</v>
      </c>
      <c r="I282" s="246" t="s">
        <v>59</v>
      </c>
      <c r="J282" s="246" t="s">
        <v>609</v>
      </c>
      <c r="K282" s="246" t="s">
        <v>978</v>
      </c>
      <c r="L282" s="248">
        <v>433</v>
      </c>
      <c r="M282" s="249" t="s">
        <v>979</v>
      </c>
      <c r="N282" s="246"/>
      <c r="O282" s="246" t="s">
        <v>55</v>
      </c>
      <c r="P282" s="328">
        <v>45874</v>
      </c>
      <c r="Q282" s="329">
        <f t="shared" ca="1" si="42"/>
        <v>251</v>
      </c>
    </row>
    <row r="283" spans="1:17" hidden="1">
      <c r="A283" s="231">
        <f t="shared" si="37"/>
        <v>281</v>
      </c>
      <c r="B283" s="224">
        <v>45810</v>
      </c>
      <c r="C283" s="250" t="str">
        <f t="shared" si="40"/>
        <v>MP0281</v>
      </c>
      <c r="D283" s="252" t="s">
        <v>980</v>
      </c>
      <c r="E283" s="231">
        <v>2000</v>
      </c>
      <c r="F283" s="231">
        <v>132</v>
      </c>
      <c r="G283" s="268">
        <v>13.5</v>
      </c>
      <c r="H283" s="252">
        <v>0</v>
      </c>
      <c r="I283" s="252" t="s">
        <v>981</v>
      </c>
      <c r="J283" s="252" t="s">
        <v>265</v>
      </c>
      <c r="K283" s="252" t="s">
        <v>23</v>
      </c>
      <c r="L283" s="241"/>
      <c r="M283" s="255" t="s">
        <v>982</v>
      </c>
      <c r="N283" s="252"/>
      <c r="O283" s="178" t="s">
        <v>370</v>
      </c>
      <c r="P283" s="180">
        <v>45817.562268518515</v>
      </c>
      <c r="Q283" s="217">
        <f t="shared" ca="1" si="42"/>
        <v>307.43773148148466</v>
      </c>
    </row>
    <row r="284" spans="1:17" s="245" customFormat="1" hidden="1">
      <c r="A284" s="247">
        <f t="shared" si="37"/>
        <v>282</v>
      </c>
      <c r="B284" s="244">
        <v>45810</v>
      </c>
      <c r="C284" s="245" t="str">
        <f t="shared" si="40"/>
        <v>MP0282</v>
      </c>
      <c r="D284" s="246" t="s">
        <v>983</v>
      </c>
      <c r="E284" s="247">
        <v>1200</v>
      </c>
      <c r="F284" s="247">
        <v>146</v>
      </c>
      <c r="G284" s="278">
        <v>20</v>
      </c>
      <c r="H284" s="246">
        <f t="shared" si="39"/>
        <v>24000</v>
      </c>
      <c r="I284" s="246" t="s">
        <v>237</v>
      </c>
      <c r="J284" s="246" t="s">
        <v>265</v>
      </c>
      <c r="K284" s="246" t="s">
        <v>678</v>
      </c>
      <c r="L284" s="248">
        <v>1521</v>
      </c>
      <c r="M284" s="249"/>
      <c r="N284" s="246"/>
      <c r="O284" s="246" t="s">
        <v>55</v>
      </c>
      <c r="P284" s="328">
        <v>45864</v>
      </c>
      <c r="Q284" s="329">
        <f t="shared" ca="1" si="42"/>
        <v>261</v>
      </c>
    </row>
    <row r="285" spans="1:17" s="245" customFormat="1" hidden="1">
      <c r="A285" s="247">
        <f t="shared" si="37"/>
        <v>283</v>
      </c>
      <c r="B285" s="244">
        <v>45810</v>
      </c>
      <c r="C285" s="245" t="str">
        <f t="shared" si="40"/>
        <v>MP0283</v>
      </c>
      <c r="D285" s="246" t="s">
        <v>984</v>
      </c>
      <c r="E285" s="247">
        <v>1200</v>
      </c>
      <c r="F285" s="247" t="s">
        <v>231</v>
      </c>
      <c r="G285" s="278">
        <v>31.5</v>
      </c>
      <c r="H285" s="246">
        <f t="shared" si="39"/>
        <v>37800</v>
      </c>
      <c r="I285" s="246" t="s">
        <v>264</v>
      </c>
      <c r="J285" s="246" t="s">
        <v>265</v>
      </c>
      <c r="K285" s="246" t="s">
        <v>678</v>
      </c>
      <c r="L285" s="248">
        <v>1473</v>
      </c>
      <c r="M285" s="249"/>
      <c r="N285" s="246"/>
      <c r="O285" s="246" t="s">
        <v>55</v>
      </c>
      <c r="P285" s="328">
        <v>45874</v>
      </c>
      <c r="Q285" s="329">
        <f t="shared" ca="1" si="42"/>
        <v>251</v>
      </c>
    </row>
    <row r="286" spans="1:17" s="245" customFormat="1" hidden="1">
      <c r="A286" s="247">
        <f t="shared" si="37"/>
        <v>284</v>
      </c>
      <c r="B286" s="244">
        <v>45810</v>
      </c>
      <c r="C286" s="245" t="str">
        <f t="shared" si="40"/>
        <v>MP0284</v>
      </c>
      <c r="D286" s="317" t="s">
        <v>985</v>
      </c>
      <c r="E286" s="247">
        <v>300</v>
      </c>
      <c r="F286" s="247">
        <v>1160</v>
      </c>
      <c r="G286" s="278">
        <v>82</v>
      </c>
      <c r="H286" s="246">
        <f t="shared" si="39"/>
        <v>24600</v>
      </c>
      <c r="I286" s="246" t="s">
        <v>74</v>
      </c>
      <c r="J286" s="246" t="s">
        <v>60</v>
      </c>
      <c r="K286" s="246" t="s">
        <v>4</v>
      </c>
      <c r="L286" s="248"/>
      <c r="M286" s="249"/>
      <c r="N286" s="246"/>
      <c r="O286" s="246" t="s">
        <v>55</v>
      </c>
      <c r="P286" s="328">
        <v>45870</v>
      </c>
      <c r="Q286" s="329">
        <f t="shared" ca="1" si="42"/>
        <v>255</v>
      </c>
    </row>
    <row r="287" spans="1:17" s="245" customFormat="1" hidden="1">
      <c r="A287" s="247">
        <f t="shared" si="37"/>
        <v>285</v>
      </c>
      <c r="B287" s="244">
        <v>45810</v>
      </c>
      <c r="C287" s="245" t="str">
        <f t="shared" si="40"/>
        <v>MP0285</v>
      </c>
      <c r="D287" s="246" t="s">
        <v>986</v>
      </c>
      <c r="E287" s="247">
        <v>300</v>
      </c>
      <c r="F287" s="247">
        <v>1490</v>
      </c>
      <c r="G287" s="278">
        <v>84</v>
      </c>
      <c r="H287" s="246">
        <f t="shared" si="39"/>
        <v>25200</v>
      </c>
      <c r="I287" s="246" t="s">
        <v>74</v>
      </c>
      <c r="J287" s="246" t="s">
        <v>60</v>
      </c>
      <c r="K287" s="246" t="s">
        <v>4</v>
      </c>
      <c r="L287" s="248"/>
      <c r="M287" s="249" t="s">
        <v>987</v>
      </c>
      <c r="N287" s="246"/>
      <c r="O287" s="246" t="s">
        <v>55</v>
      </c>
      <c r="P287" s="328">
        <v>45870</v>
      </c>
      <c r="Q287" s="329">
        <f t="shared" ca="1" si="42"/>
        <v>255</v>
      </c>
    </row>
    <row r="288" spans="1:17" s="245" customFormat="1" hidden="1">
      <c r="A288" s="247">
        <f t="shared" si="37"/>
        <v>286</v>
      </c>
      <c r="B288" s="244">
        <v>45810</v>
      </c>
      <c r="C288" s="245" t="str">
        <f t="shared" si="40"/>
        <v>MP0286</v>
      </c>
      <c r="D288" s="330" t="s">
        <v>988</v>
      </c>
      <c r="E288" s="247">
        <v>300</v>
      </c>
      <c r="F288" s="247">
        <v>1350</v>
      </c>
      <c r="G288" s="278">
        <v>90</v>
      </c>
      <c r="H288" s="246">
        <f t="shared" si="39"/>
        <v>27000</v>
      </c>
      <c r="I288" s="246" t="s">
        <v>74</v>
      </c>
      <c r="J288" s="246" t="s">
        <v>60</v>
      </c>
      <c r="K288" s="246" t="s">
        <v>4</v>
      </c>
      <c r="L288" s="248">
        <v>296</v>
      </c>
      <c r="M288" s="249"/>
      <c r="N288" s="246"/>
      <c r="O288" s="246" t="s">
        <v>55</v>
      </c>
      <c r="P288" s="328">
        <v>45871</v>
      </c>
      <c r="Q288" s="329">
        <f t="shared" ca="1" si="42"/>
        <v>254</v>
      </c>
    </row>
    <row r="289" spans="1:17" s="245" customFormat="1" hidden="1">
      <c r="A289" s="247">
        <f t="shared" si="37"/>
        <v>287</v>
      </c>
      <c r="B289" s="244">
        <v>45810</v>
      </c>
      <c r="C289" s="339" t="str">
        <f t="shared" si="40"/>
        <v>MP0287</v>
      </c>
      <c r="D289" s="346" t="s">
        <v>989</v>
      </c>
      <c r="E289" s="340">
        <v>300</v>
      </c>
      <c r="F289" s="247">
        <v>1550</v>
      </c>
      <c r="G289" s="278">
        <v>90</v>
      </c>
      <c r="H289" s="246">
        <f t="shared" si="39"/>
        <v>27000</v>
      </c>
      <c r="I289" s="246" t="s">
        <v>74</v>
      </c>
      <c r="J289" s="246" t="s">
        <v>60</v>
      </c>
      <c r="K289" s="246" t="s">
        <v>4</v>
      </c>
      <c r="L289" s="248">
        <v>312</v>
      </c>
      <c r="M289" s="249"/>
      <c r="N289" s="246"/>
      <c r="O289" s="246" t="s">
        <v>55</v>
      </c>
      <c r="P289" s="328">
        <v>45875</v>
      </c>
      <c r="Q289" s="329">
        <f t="shared" ca="1" si="42"/>
        <v>250</v>
      </c>
    </row>
    <row r="290" spans="1:17" s="245" customFormat="1" hidden="1">
      <c r="A290" s="247">
        <f t="shared" si="37"/>
        <v>288</v>
      </c>
      <c r="B290" s="244">
        <v>45810</v>
      </c>
      <c r="C290" s="245" t="str">
        <f t="shared" si="40"/>
        <v>MP0288</v>
      </c>
      <c r="D290" s="347" t="s">
        <v>990</v>
      </c>
      <c r="E290" s="247">
        <v>300</v>
      </c>
      <c r="F290" s="247">
        <v>1650</v>
      </c>
      <c r="G290" s="278">
        <v>93</v>
      </c>
      <c r="H290" s="246">
        <f t="shared" si="39"/>
        <v>27900</v>
      </c>
      <c r="I290" s="246" t="s">
        <v>74</v>
      </c>
      <c r="J290" s="246" t="s">
        <v>60</v>
      </c>
      <c r="K290" s="246" t="s">
        <v>4</v>
      </c>
      <c r="L290" s="248">
        <v>312</v>
      </c>
      <c r="M290" s="249"/>
      <c r="N290" s="246"/>
      <c r="O290" s="246" t="s">
        <v>55</v>
      </c>
      <c r="P290" s="328">
        <v>45877</v>
      </c>
      <c r="Q290" s="329">
        <f t="shared" ca="1" si="42"/>
        <v>248</v>
      </c>
    </row>
    <row r="291" spans="1:17" hidden="1">
      <c r="A291" s="247">
        <f t="shared" si="37"/>
        <v>289</v>
      </c>
      <c r="B291" s="244">
        <v>45810</v>
      </c>
      <c r="C291" s="245" t="str">
        <f t="shared" si="40"/>
        <v>MP0289</v>
      </c>
      <c r="D291" s="334" t="s">
        <v>991</v>
      </c>
      <c r="E291" s="247">
        <v>300</v>
      </c>
      <c r="F291" s="247">
        <v>1700</v>
      </c>
      <c r="G291" s="278">
        <v>75</v>
      </c>
      <c r="H291" s="246">
        <f t="shared" si="39"/>
        <v>22500</v>
      </c>
      <c r="I291" s="246" t="s">
        <v>66</v>
      </c>
      <c r="J291" s="246" t="s">
        <v>60</v>
      </c>
      <c r="K291" s="246" t="s">
        <v>4</v>
      </c>
      <c r="L291" s="248"/>
      <c r="M291" s="249" t="s">
        <v>992</v>
      </c>
      <c r="N291" s="246"/>
      <c r="O291" s="246" t="s">
        <v>55</v>
      </c>
      <c r="P291" s="180">
        <v>45853</v>
      </c>
      <c r="Q291" s="217">
        <f t="shared" ca="1" si="42"/>
        <v>272</v>
      </c>
    </row>
    <row r="292" spans="1:17" hidden="1">
      <c r="A292" s="247">
        <f t="shared" si="37"/>
        <v>290</v>
      </c>
      <c r="B292" s="244">
        <v>45810</v>
      </c>
      <c r="C292" s="245" t="str">
        <f t="shared" si="40"/>
        <v>MP0290</v>
      </c>
      <c r="D292" s="246" t="s">
        <v>993</v>
      </c>
      <c r="E292" s="247">
        <v>300</v>
      </c>
      <c r="F292" s="247">
        <v>1950</v>
      </c>
      <c r="G292" s="278">
        <v>92</v>
      </c>
      <c r="H292" s="246">
        <f t="shared" si="39"/>
        <v>27600</v>
      </c>
      <c r="I292" s="246" t="s">
        <v>66</v>
      </c>
      <c r="J292" s="246" t="s">
        <v>60</v>
      </c>
      <c r="K292" s="246" t="s">
        <v>4</v>
      </c>
      <c r="L292" s="248"/>
      <c r="M292" s="249"/>
      <c r="N292" s="246"/>
      <c r="O292" s="246" t="s">
        <v>55</v>
      </c>
      <c r="P292" s="180">
        <v>45853</v>
      </c>
      <c r="Q292" s="217">
        <f t="shared" ca="1" si="42"/>
        <v>272</v>
      </c>
    </row>
    <row r="293" spans="1:17" hidden="1">
      <c r="A293" s="247">
        <f t="shared" si="37"/>
        <v>291</v>
      </c>
      <c r="B293" s="244">
        <v>45810</v>
      </c>
      <c r="C293" s="245" t="str">
        <f t="shared" si="40"/>
        <v>MP0291</v>
      </c>
      <c r="D293" s="246" t="s">
        <v>994</v>
      </c>
      <c r="E293" s="247">
        <v>300</v>
      </c>
      <c r="F293" s="247">
        <v>1950</v>
      </c>
      <c r="G293" s="278">
        <v>95</v>
      </c>
      <c r="H293" s="246">
        <f t="shared" si="39"/>
        <v>28500</v>
      </c>
      <c r="I293" s="246" t="s">
        <v>74</v>
      </c>
      <c r="J293" s="246" t="s">
        <v>60</v>
      </c>
      <c r="K293" s="246" t="s">
        <v>4</v>
      </c>
      <c r="L293" s="248"/>
      <c r="M293" s="249" t="s">
        <v>987</v>
      </c>
      <c r="N293" s="246"/>
      <c r="O293" s="246" t="s">
        <v>55</v>
      </c>
      <c r="P293" s="180">
        <v>45853</v>
      </c>
      <c r="Q293" s="217">
        <f t="shared" ca="1" si="42"/>
        <v>272</v>
      </c>
    </row>
    <row r="294" spans="1:17" hidden="1">
      <c r="A294" s="247">
        <f t="shared" si="37"/>
        <v>292</v>
      </c>
      <c r="B294" s="244">
        <v>45810</v>
      </c>
      <c r="C294" s="245" t="str">
        <f t="shared" si="40"/>
        <v>MP0292</v>
      </c>
      <c r="D294" s="246" t="s">
        <v>995</v>
      </c>
      <c r="E294" s="247">
        <v>300</v>
      </c>
      <c r="F294" s="247">
        <v>1050</v>
      </c>
      <c r="G294" s="278">
        <v>75</v>
      </c>
      <c r="H294" s="246">
        <f t="shared" si="39"/>
        <v>22500</v>
      </c>
      <c r="I294" s="246" t="s">
        <v>66</v>
      </c>
      <c r="J294" s="246" t="s">
        <v>60</v>
      </c>
      <c r="K294" s="246" t="s">
        <v>4</v>
      </c>
      <c r="L294" s="248"/>
      <c r="M294" s="249"/>
      <c r="N294" s="246"/>
      <c r="O294" s="246" t="s">
        <v>55</v>
      </c>
      <c r="P294" s="180">
        <v>45853</v>
      </c>
      <c r="Q294" s="217">
        <f t="shared" ca="1" si="42"/>
        <v>272</v>
      </c>
    </row>
    <row r="295" spans="1:17" s="245" customFormat="1" hidden="1">
      <c r="A295" s="247">
        <f t="shared" si="37"/>
        <v>293</v>
      </c>
      <c r="B295" s="244">
        <v>45810</v>
      </c>
      <c r="C295" s="245" t="str">
        <f t="shared" si="40"/>
        <v>MP0293</v>
      </c>
      <c r="D295" s="246" t="s">
        <v>996</v>
      </c>
      <c r="E295" s="247">
        <v>300</v>
      </c>
      <c r="F295" s="247">
        <v>1350</v>
      </c>
      <c r="G295" s="278">
        <v>75</v>
      </c>
      <c r="H295" s="246">
        <f t="shared" si="39"/>
        <v>22500</v>
      </c>
      <c r="I295" s="246" t="s">
        <v>66</v>
      </c>
      <c r="J295" s="246" t="s">
        <v>60</v>
      </c>
      <c r="K295" s="246" t="s">
        <v>4</v>
      </c>
      <c r="L295" s="248">
        <v>320</v>
      </c>
      <c r="M295" s="249" t="s">
        <v>987</v>
      </c>
      <c r="N295" s="246"/>
      <c r="O295" s="246" t="s">
        <v>55</v>
      </c>
      <c r="P295" s="328">
        <v>45875</v>
      </c>
      <c r="Q295" s="329">
        <f t="shared" ca="1" si="42"/>
        <v>250</v>
      </c>
    </row>
    <row r="296" spans="1:17" hidden="1">
      <c r="A296" s="247">
        <f t="shared" si="37"/>
        <v>294</v>
      </c>
      <c r="B296" s="244">
        <v>45812</v>
      </c>
      <c r="C296" s="245" t="str">
        <f t="shared" si="40"/>
        <v>MP0294</v>
      </c>
      <c r="D296" s="249" t="s">
        <v>997</v>
      </c>
      <c r="E296" s="247">
        <v>3000</v>
      </c>
      <c r="F296" s="247">
        <v>69</v>
      </c>
      <c r="G296" s="278">
        <v>10</v>
      </c>
      <c r="H296" s="246">
        <f t="shared" si="39"/>
        <v>30000</v>
      </c>
      <c r="I296" s="246" t="s">
        <v>51</v>
      </c>
      <c r="J296" s="246" t="s">
        <v>930</v>
      </c>
      <c r="K296" s="246" t="s">
        <v>20</v>
      </c>
      <c r="L296" s="248">
        <v>3075</v>
      </c>
      <c r="M296" s="249"/>
      <c r="N296" s="246"/>
      <c r="O296" s="178" t="s">
        <v>55</v>
      </c>
      <c r="P296" s="180">
        <v>45838</v>
      </c>
      <c r="Q296" s="217">
        <f t="shared" ca="1" si="42"/>
        <v>287</v>
      </c>
    </row>
    <row r="297" spans="1:17" hidden="1">
      <c r="A297" s="247">
        <f t="shared" si="37"/>
        <v>295</v>
      </c>
      <c r="B297" s="244">
        <v>45812</v>
      </c>
      <c r="C297" s="245" t="str">
        <f t="shared" si="40"/>
        <v>MP0295</v>
      </c>
      <c r="D297" s="246" t="s">
        <v>998</v>
      </c>
      <c r="E297" s="247">
        <v>300</v>
      </c>
      <c r="F297" s="247">
        <v>1190</v>
      </c>
      <c r="G297" s="278">
        <v>77</v>
      </c>
      <c r="H297" s="246">
        <f t="shared" si="39"/>
        <v>23100</v>
      </c>
      <c r="I297" s="246" t="s">
        <v>66</v>
      </c>
      <c r="J297" s="246" t="s">
        <v>609</v>
      </c>
      <c r="K297" s="246" t="s">
        <v>4</v>
      </c>
      <c r="L297" s="248">
        <v>331</v>
      </c>
      <c r="M297" s="249" t="s">
        <v>999</v>
      </c>
      <c r="N297" s="246"/>
      <c r="O297" s="178" t="s">
        <v>55</v>
      </c>
      <c r="P297" s="180">
        <v>45840</v>
      </c>
      <c r="Q297" s="217">
        <f t="shared" ca="1" si="42"/>
        <v>285</v>
      </c>
    </row>
    <row r="298" spans="1:17" s="245" customFormat="1" hidden="1">
      <c r="A298" s="289">
        <f t="shared" si="37"/>
        <v>296</v>
      </c>
      <c r="B298" s="284">
        <v>45812</v>
      </c>
      <c r="C298" s="245" t="str">
        <f t="shared" si="40"/>
        <v>MP0296</v>
      </c>
      <c r="D298" s="245" t="s">
        <v>1000</v>
      </c>
      <c r="E298" s="289">
        <v>300</v>
      </c>
      <c r="F298" s="289">
        <v>1240</v>
      </c>
      <c r="G298" s="378">
        <v>77</v>
      </c>
      <c r="H298" s="246">
        <f t="shared" si="39"/>
        <v>23100</v>
      </c>
      <c r="I298" s="245" t="s">
        <v>66</v>
      </c>
      <c r="J298" s="245" t="s">
        <v>609</v>
      </c>
      <c r="K298" s="245" t="s">
        <v>4</v>
      </c>
      <c r="L298" s="289"/>
      <c r="M298" s="279" t="s">
        <v>1001</v>
      </c>
      <c r="N298" s="277"/>
      <c r="O298" s="277" t="s">
        <v>55</v>
      </c>
      <c r="P298" s="331">
        <v>45870</v>
      </c>
      <c r="Q298" s="329">
        <f t="shared" ca="1" si="42"/>
        <v>255</v>
      </c>
    </row>
    <row r="299" spans="1:17" hidden="1">
      <c r="A299" s="270">
        <f t="shared" si="37"/>
        <v>297</v>
      </c>
      <c r="B299" s="296">
        <v>45812</v>
      </c>
      <c r="C299" s="250" t="str">
        <f t="shared" si="40"/>
        <v>MP0297</v>
      </c>
      <c r="D299" s="250" t="s">
        <v>1002</v>
      </c>
      <c r="E299" s="270">
        <v>300</v>
      </c>
      <c r="F299" s="270">
        <v>650</v>
      </c>
      <c r="G299" s="270">
        <v>92</v>
      </c>
      <c r="H299" s="252">
        <v>0</v>
      </c>
      <c r="I299" s="250" t="s">
        <v>66</v>
      </c>
      <c r="J299" s="250" t="s">
        <v>609</v>
      </c>
      <c r="K299" s="250" t="s">
        <v>4</v>
      </c>
      <c r="L299" s="270"/>
      <c r="M299" s="250" t="s">
        <v>1003</v>
      </c>
      <c r="N299" s="250"/>
      <c r="O299" s="181" t="s">
        <v>370</v>
      </c>
      <c r="P299" s="283">
        <v>45812</v>
      </c>
      <c r="Q299" s="217">
        <f t="shared" ca="1" si="42"/>
        <v>313</v>
      </c>
    </row>
    <row r="300" spans="1:17" s="245" customFormat="1" hidden="1">
      <c r="A300" s="289">
        <f t="shared" si="37"/>
        <v>298</v>
      </c>
      <c r="B300" s="284">
        <v>45812</v>
      </c>
      <c r="C300" s="245" t="str">
        <f t="shared" ref="C300:C363" si="43">IF(B300="","",_xlfn.CONCAT("MP0",A300))</f>
        <v>MP0298</v>
      </c>
      <c r="D300" s="245" t="s">
        <v>1004</v>
      </c>
      <c r="E300" s="289">
        <v>300</v>
      </c>
      <c r="F300" s="289">
        <v>3750</v>
      </c>
      <c r="G300" s="289">
        <v>570</v>
      </c>
      <c r="H300" s="246">
        <f t="shared" si="39"/>
        <v>171000</v>
      </c>
      <c r="I300" s="245" t="s">
        <v>152</v>
      </c>
      <c r="J300" s="245" t="s">
        <v>609</v>
      </c>
      <c r="K300" s="245" t="s">
        <v>7</v>
      </c>
      <c r="L300" s="289">
        <v>295</v>
      </c>
      <c r="M300" s="245" t="s">
        <v>881</v>
      </c>
      <c r="O300" s="178" t="s">
        <v>55</v>
      </c>
      <c r="P300" s="331">
        <v>45854</v>
      </c>
      <c r="Q300" s="329">
        <f t="shared" ca="1" si="42"/>
        <v>271</v>
      </c>
    </row>
    <row r="301" spans="1:17" s="245" customFormat="1" hidden="1">
      <c r="A301" s="289">
        <f t="shared" si="37"/>
        <v>299</v>
      </c>
      <c r="B301" s="284">
        <v>45812</v>
      </c>
      <c r="C301" s="245" t="str">
        <f t="shared" si="43"/>
        <v>MP0299</v>
      </c>
      <c r="D301" s="245" t="s">
        <v>1005</v>
      </c>
      <c r="E301" s="289">
        <v>300</v>
      </c>
      <c r="F301" s="289">
        <v>1500</v>
      </c>
      <c r="G301" s="289">
        <v>110</v>
      </c>
      <c r="H301" s="246">
        <f t="shared" si="39"/>
        <v>33000</v>
      </c>
      <c r="I301" s="245" t="s">
        <v>59</v>
      </c>
      <c r="J301" s="245" t="s">
        <v>937</v>
      </c>
      <c r="K301" s="245" t="s">
        <v>4</v>
      </c>
      <c r="L301" s="289"/>
      <c r="M301" s="245" t="s">
        <v>1006</v>
      </c>
      <c r="O301" s="245" t="s">
        <v>55</v>
      </c>
      <c r="P301" s="331">
        <v>45870</v>
      </c>
      <c r="Q301" s="329">
        <f t="shared" ca="1" si="42"/>
        <v>255</v>
      </c>
    </row>
    <row r="302" spans="1:17" s="245" customFormat="1" hidden="1">
      <c r="A302" s="289">
        <f t="shared" si="37"/>
        <v>300</v>
      </c>
      <c r="B302" s="284">
        <v>45813</v>
      </c>
      <c r="C302" s="245" t="str">
        <f t="shared" si="43"/>
        <v>MP0300</v>
      </c>
      <c r="D302" s="245" t="s">
        <v>346</v>
      </c>
      <c r="E302" s="289">
        <v>200</v>
      </c>
      <c r="F302" s="289">
        <v>2100</v>
      </c>
      <c r="G302" s="289">
        <v>180</v>
      </c>
      <c r="H302" s="246">
        <f t="shared" si="39"/>
        <v>36000</v>
      </c>
      <c r="I302" s="245" t="s">
        <v>347</v>
      </c>
      <c r="J302" s="245" t="s">
        <v>937</v>
      </c>
      <c r="K302" s="245" t="s">
        <v>9</v>
      </c>
      <c r="L302" s="289"/>
      <c r="M302" s="245" t="s">
        <v>1007</v>
      </c>
      <c r="O302" s="245" t="s">
        <v>55</v>
      </c>
      <c r="P302" s="326">
        <v>45815.540798611109</v>
      </c>
      <c r="Q302" s="329">
        <f t="shared" ca="1" si="42"/>
        <v>309.45920138889051</v>
      </c>
    </row>
    <row r="303" spans="1:17" s="245" customFormat="1" hidden="1">
      <c r="A303" s="289">
        <f t="shared" si="37"/>
        <v>301</v>
      </c>
      <c r="B303" s="284">
        <v>45813</v>
      </c>
      <c r="C303" s="245" t="str">
        <f t="shared" si="43"/>
        <v>MP0301</v>
      </c>
      <c r="D303" s="245" t="s">
        <v>1008</v>
      </c>
      <c r="E303" s="289">
        <v>500</v>
      </c>
      <c r="F303" s="289">
        <v>580</v>
      </c>
      <c r="G303" s="289">
        <v>38</v>
      </c>
      <c r="H303" s="246">
        <f t="shared" si="39"/>
        <v>19000</v>
      </c>
      <c r="I303" s="245" t="s">
        <v>59</v>
      </c>
      <c r="J303" s="245" t="s">
        <v>609</v>
      </c>
      <c r="K303" s="245" t="s">
        <v>22</v>
      </c>
      <c r="L303" s="289">
        <v>495</v>
      </c>
      <c r="M303" s="245" t="s">
        <v>976</v>
      </c>
      <c r="O303" s="245" t="s">
        <v>55</v>
      </c>
      <c r="P303" s="326">
        <v>45873</v>
      </c>
      <c r="Q303" s="329">
        <f t="shared" ca="1" si="42"/>
        <v>252</v>
      </c>
    </row>
    <row r="304" spans="1:17" hidden="1">
      <c r="A304" s="289">
        <f t="shared" si="37"/>
        <v>302</v>
      </c>
      <c r="B304" s="284">
        <v>45813</v>
      </c>
      <c r="C304" s="245" t="str">
        <f t="shared" si="43"/>
        <v>MP0302</v>
      </c>
      <c r="D304" s="245" t="s">
        <v>364</v>
      </c>
      <c r="E304" s="289">
        <v>250</v>
      </c>
      <c r="F304" s="289" t="s">
        <v>806</v>
      </c>
      <c r="G304" s="289">
        <v>85</v>
      </c>
      <c r="H304" s="246">
        <f t="shared" si="39"/>
        <v>21250</v>
      </c>
      <c r="I304" s="245" t="s">
        <v>365</v>
      </c>
      <c r="J304" s="277" t="s">
        <v>100</v>
      </c>
      <c r="K304" s="245" t="s">
        <v>2</v>
      </c>
      <c r="L304" s="289">
        <v>250</v>
      </c>
      <c r="M304" s="245" t="s">
        <v>1009</v>
      </c>
      <c r="N304" s="245" t="s">
        <v>200</v>
      </c>
      <c r="O304" s="181" t="s">
        <v>55</v>
      </c>
      <c r="P304" s="218">
        <v>45815.547812500001</v>
      </c>
      <c r="Q304" s="217">
        <f t="shared" ca="1" si="42"/>
        <v>309.45218749999913</v>
      </c>
    </row>
    <row r="305" spans="1:17" hidden="1">
      <c r="A305" s="289">
        <f t="shared" si="37"/>
        <v>303</v>
      </c>
      <c r="B305" s="284">
        <v>45813</v>
      </c>
      <c r="C305" s="245" t="str">
        <f t="shared" si="43"/>
        <v>MP0303</v>
      </c>
      <c r="D305" s="245" t="s">
        <v>1010</v>
      </c>
      <c r="E305" s="289">
        <v>300</v>
      </c>
      <c r="F305" s="289" t="s">
        <v>1011</v>
      </c>
      <c r="G305" s="289"/>
      <c r="H305" s="246" t="str">
        <f t="shared" si="39"/>
        <v/>
      </c>
      <c r="I305" s="245" t="s">
        <v>66</v>
      </c>
      <c r="J305" s="245" t="s">
        <v>609</v>
      </c>
      <c r="K305" s="245" t="s">
        <v>4</v>
      </c>
      <c r="L305" s="289"/>
      <c r="M305" s="279" t="s">
        <v>1001</v>
      </c>
      <c r="N305" s="277"/>
      <c r="O305" s="275" t="s">
        <v>55</v>
      </c>
      <c r="P305" s="218">
        <v>45846</v>
      </c>
      <c r="Q305" s="217">
        <f t="shared" ca="1" si="42"/>
        <v>279</v>
      </c>
    </row>
    <row r="306" spans="1:17" s="245" customFormat="1" hidden="1">
      <c r="A306" s="289">
        <f t="shared" si="37"/>
        <v>304</v>
      </c>
      <c r="B306" s="284">
        <v>45813</v>
      </c>
      <c r="C306" s="245" t="str">
        <f t="shared" si="43"/>
        <v>MP0304</v>
      </c>
      <c r="D306" s="245" t="s">
        <v>1012</v>
      </c>
      <c r="E306" s="289">
        <v>300</v>
      </c>
      <c r="F306" s="289" t="s">
        <v>231</v>
      </c>
      <c r="G306" s="289">
        <v>205</v>
      </c>
      <c r="H306" s="246">
        <f t="shared" si="39"/>
        <v>61500</v>
      </c>
      <c r="I306" s="245" t="s">
        <v>59</v>
      </c>
      <c r="J306" s="245" t="s">
        <v>937</v>
      </c>
      <c r="K306" s="245" t="s">
        <v>4</v>
      </c>
      <c r="L306" s="289"/>
      <c r="M306" s="279" t="s">
        <v>1001</v>
      </c>
      <c r="N306" s="277"/>
      <c r="O306" s="277" t="s">
        <v>55</v>
      </c>
      <c r="P306" s="326">
        <v>45820.752627314818</v>
      </c>
      <c r="Q306" s="329">
        <f t="shared" ca="1" si="42"/>
        <v>304.2473726851822</v>
      </c>
    </row>
    <row r="307" spans="1:17" s="245" customFormat="1" hidden="1">
      <c r="A307" s="289">
        <f t="shared" si="37"/>
        <v>305</v>
      </c>
      <c r="B307" s="284">
        <v>45813</v>
      </c>
      <c r="C307" s="245" t="str">
        <f t="shared" si="43"/>
        <v>MP0305</v>
      </c>
      <c r="D307" s="245" t="s">
        <v>1013</v>
      </c>
      <c r="E307" s="289">
        <v>300</v>
      </c>
      <c r="F307" s="289">
        <v>1450</v>
      </c>
      <c r="G307" s="289">
        <v>275</v>
      </c>
      <c r="H307" s="246">
        <f t="shared" si="39"/>
        <v>82500</v>
      </c>
      <c r="I307" s="245" t="s">
        <v>66</v>
      </c>
      <c r="J307" s="245" t="s">
        <v>609</v>
      </c>
      <c r="K307" s="245" t="s">
        <v>4</v>
      </c>
      <c r="L307" s="289"/>
      <c r="M307" s="245" t="s">
        <v>1014</v>
      </c>
      <c r="O307" s="245" t="s">
        <v>55</v>
      </c>
      <c r="P307" s="326">
        <v>45839</v>
      </c>
      <c r="Q307" s="329">
        <f t="shared" ca="1" si="42"/>
        <v>286</v>
      </c>
    </row>
    <row r="308" spans="1:17" hidden="1">
      <c r="A308" s="289">
        <f t="shared" si="37"/>
        <v>306</v>
      </c>
      <c r="B308" s="284">
        <v>45814</v>
      </c>
      <c r="C308" s="245" t="str">
        <f t="shared" si="43"/>
        <v>MP0306</v>
      </c>
      <c r="D308" s="245" t="s">
        <v>1015</v>
      </c>
      <c r="E308" s="289">
        <v>250</v>
      </c>
      <c r="F308" s="289">
        <v>1950</v>
      </c>
      <c r="G308" s="289">
        <v>360</v>
      </c>
      <c r="H308" s="246">
        <f t="shared" si="39"/>
        <v>90000</v>
      </c>
      <c r="I308" s="245" t="s">
        <v>66</v>
      </c>
      <c r="J308" s="245" t="s">
        <v>609</v>
      </c>
      <c r="K308" s="245" t="s">
        <v>4</v>
      </c>
      <c r="L308" s="289"/>
      <c r="M308" s="249" t="s">
        <v>881</v>
      </c>
      <c r="N308" s="277"/>
      <c r="O308" s="178" t="s">
        <v>55</v>
      </c>
      <c r="P308" s="218">
        <v>45835</v>
      </c>
      <c r="Q308" s="217">
        <f t="shared" ref="Q308:Q324" ca="1" si="44">TODAY()-P308</f>
        <v>290</v>
      </c>
    </row>
    <row r="309" spans="1:17" s="245" customFormat="1" hidden="1">
      <c r="A309" s="289">
        <f t="shared" si="37"/>
        <v>307</v>
      </c>
      <c r="B309" s="284">
        <v>45815</v>
      </c>
      <c r="C309" s="245" t="str">
        <f t="shared" si="43"/>
        <v>MP0307</v>
      </c>
      <c r="D309" s="245" t="s">
        <v>1016</v>
      </c>
      <c r="E309" s="289">
        <v>1000</v>
      </c>
      <c r="F309" s="289">
        <v>110</v>
      </c>
      <c r="G309" s="289">
        <v>13.2</v>
      </c>
      <c r="H309" s="246">
        <f t="shared" si="39"/>
        <v>13200</v>
      </c>
      <c r="I309" s="245" t="s">
        <v>1017</v>
      </c>
      <c r="J309" s="245" t="s">
        <v>782</v>
      </c>
      <c r="K309" s="245" t="s">
        <v>23</v>
      </c>
      <c r="L309" s="289"/>
      <c r="M309" s="245" t="s">
        <v>1018</v>
      </c>
      <c r="O309" s="245" t="s">
        <v>55</v>
      </c>
      <c r="P309" s="326">
        <v>45870</v>
      </c>
      <c r="Q309" s="329">
        <f t="shared" ca="1" si="44"/>
        <v>255</v>
      </c>
    </row>
    <row r="310" spans="1:17" s="245" customFormat="1" hidden="1">
      <c r="A310" s="289">
        <f t="shared" si="37"/>
        <v>308</v>
      </c>
      <c r="B310" s="284">
        <v>45815</v>
      </c>
      <c r="C310" s="245" t="str">
        <f t="shared" si="43"/>
        <v>MP0308</v>
      </c>
      <c r="D310" s="245" t="s">
        <v>1019</v>
      </c>
      <c r="E310" s="289">
        <v>2500</v>
      </c>
      <c r="F310" s="289">
        <v>320</v>
      </c>
      <c r="G310" s="289">
        <v>30</v>
      </c>
      <c r="H310" s="246">
        <f t="shared" si="39"/>
        <v>75000</v>
      </c>
      <c r="I310" s="245" t="s">
        <v>1020</v>
      </c>
      <c r="J310" s="245" t="s">
        <v>782</v>
      </c>
      <c r="K310" s="245" t="s">
        <v>24</v>
      </c>
      <c r="L310" s="289"/>
      <c r="O310" s="245" t="s">
        <v>55</v>
      </c>
      <c r="P310" s="326">
        <v>45860</v>
      </c>
      <c r="Q310" s="329">
        <f t="shared" ca="1" si="44"/>
        <v>265</v>
      </c>
    </row>
    <row r="311" spans="1:17" s="245" customFormat="1" hidden="1">
      <c r="A311" s="289">
        <v>309</v>
      </c>
      <c r="B311" s="284">
        <v>45815</v>
      </c>
      <c r="C311" s="245" t="str">
        <f t="shared" si="43"/>
        <v>MP0309</v>
      </c>
      <c r="D311" s="245" t="s">
        <v>1021</v>
      </c>
      <c r="E311" s="289">
        <v>1000</v>
      </c>
      <c r="F311" s="289">
        <v>130</v>
      </c>
      <c r="G311" s="289">
        <v>13.5</v>
      </c>
      <c r="H311" s="246">
        <f t="shared" si="39"/>
        <v>13500</v>
      </c>
      <c r="I311" s="245" t="s">
        <v>981</v>
      </c>
      <c r="J311" s="245" t="s">
        <v>782</v>
      </c>
      <c r="K311" s="245" t="s">
        <v>23</v>
      </c>
      <c r="L311" s="289">
        <v>2000</v>
      </c>
      <c r="M311" s="245" t="s">
        <v>1022</v>
      </c>
      <c r="O311" s="246" t="s">
        <v>55</v>
      </c>
      <c r="P311" s="326">
        <v>45874</v>
      </c>
      <c r="Q311" s="329">
        <f t="shared" ca="1" si="44"/>
        <v>251</v>
      </c>
    </row>
    <row r="312" spans="1:17" s="245" customFormat="1" hidden="1">
      <c r="A312" s="289">
        <v>310</v>
      </c>
      <c r="B312" s="284">
        <v>45815</v>
      </c>
      <c r="C312" s="245" t="str">
        <f t="shared" si="43"/>
        <v>MP0310</v>
      </c>
      <c r="D312" s="245" t="s">
        <v>1023</v>
      </c>
      <c r="E312" s="289">
        <v>1000</v>
      </c>
      <c r="F312" s="289">
        <v>145</v>
      </c>
      <c r="G312" s="289">
        <v>13.6</v>
      </c>
      <c r="H312" s="246">
        <f t="shared" si="39"/>
        <v>13600</v>
      </c>
      <c r="I312" s="245" t="s">
        <v>981</v>
      </c>
      <c r="J312" s="245" t="s">
        <v>782</v>
      </c>
      <c r="K312" s="245" t="s">
        <v>23</v>
      </c>
      <c r="L312" s="289">
        <v>2000</v>
      </c>
      <c r="M312" s="245" t="s">
        <v>1018</v>
      </c>
      <c r="O312" s="246" t="s">
        <v>55</v>
      </c>
      <c r="P312" s="326">
        <v>45874</v>
      </c>
      <c r="Q312" s="329">
        <f t="shared" ca="1" si="44"/>
        <v>251</v>
      </c>
    </row>
    <row r="313" spans="1:17" s="245" customFormat="1" hidden="1">
      <c r="A313" s="247">
        <f t="shared" ref="A313" si="45">IF(B313="","",ROW()-2)</f>
        <v>311</v>
      </c>
      <c r="B313" s="244">
        <v>45817</v>
      </c>
      <c r="C313" s="245" t="str">
        <f t="shared" si="43"/>
        <v>MP0311</v>
      </c>
      <c r="D313" s="246" t="s">
        <v>815</v>
      </c>
      <c r="E313" s="247">
        <v>1500</v>
      </c>
      <c r="F313" s="247">
        <v>132</v>
      </c>
      <c r="G313" s="278">
        <v>14.5</v>
      </c>
      <c r="H313" s="246">
        <f t="shared" si="39"/>
        <v>21750</v>
      </c>
      <c r="I313" s="246" t="s">
        <v>264</v>
      </c>
      <c r="J313" s="246" t="s">
        <v>265</v>
      </c>
      <c r="K313" s="246" t="s">
        <v>20</v>
      </c>
      <c r="L313" s="248">
        <v>1649</v>
      </c>
      <c r="M313" s="249" t="s">
        <v>1024</v>
      </c>
      <c r="N313" s="246" t="s">
        <v>133</v>
      </c>
      <c r="O313" s="246" t="s">
        <v>55</v>
      </c>
      <c r="P313" s="328">
        <v>45825</v>
      </c>
      <c r="Q313" s="327">
        <f t="shared" ca="1" si="44"/>
        <v>300</v>
      </c>
    </row>
    <row r="314" spans="1:17" s="245" customFormat="1" hidden="1">
      <c r="A314" s="289">
        <v>312</v>
      </c>
      <c r="B314" s="284">
        <v>45817</v>
      </c>
      <c r="C314" s="245" t="str">
        <f t="shared" si="43"/>
        <v>MP0312</v>
      </c>
      <c r="D314" s="245" t="s">
        <v>1025</v>
      </c>
      <c r="E314" s="289">
        <v>500</v>
      </c>
      <c r="F314" s="289">
        <v>1700</v>
      </c>
      <c r="G314" s="289">
        <v>55</v>
      </c>
      <c r="H314" s="246">
        <f t="shared" si="39"/>
        <v>27500</v>
      </c>
      <c r="I314" s="245" t="s">
        <v>66</v>
      </c>
      <c r="J314" s="245" t="s">
        <v>609</v>
      </c>
      <c r="K314" s="245" t="s">
        <v>1026</v>
      </c>
      <c r="L314" s="289">
        <v>481</v>
      </c>
      <c r="M314" s="245" t="s">
        <v>1027</v>
      </c>
      <c r="O314" s="245" t="s">
        <v>55</v>
      </c>
      <c r="P314" s="326">
        <v>45870</v>
      </c>
      <c r="Q314" s="327">
        <f t="shared" ca="1" si="44"/>
        <v>255</v>
      </c>
    </row>
    <row r="315" spans="1:17" s="245" customFormat="1" hidden="1">
      <c r="A315" s="289">
        <v>313</v>
      </c>
      <c r="B315" s="284">
        <v>45817</v>
      </c>
      <c r="C315" s="245" t="str">
        <f t="shared" si="43"/>
        <v>MP0313</v>
      </c>
      <c r="D315" s="245" t="s">
        <v>1028</v>
      </c>
      <c r="E315" s="289">
        <v>2000</v>
      </c>
      <c r="F315" s="289">
        <v>195</v>
      </c>
      <c r="G315" s="289">
        <v>18</v>
      </c>
      <c r="H315" s="246">
        <f t="shared" si="39"/>
        <v>36000</v>
      </c>
      <c r="I315" s="245" t="s">
        <v>1029</v>
      </c>
      <c r="J315" s="245" t="s">
        <v>609</v>
      </c>
      <c r="K315" s="245" t="s">
        <v>1026</v>
      </c>
      <c r="L315" s="289">
        <v>2033</v>
      </c>
      <c r="M315" s="245" t="s">
        <v>1027</v>
      </c>
      <c r="O315" s="245" t="s">
        <v>55</v>
      </c>
      <c r="P315" s="326">
        <v>45870</v>
      </c>
      <c r="Q315" s="327">
        <f t="shared" ca="1" si="44"/>
        <v>255</v>
      </c>
    </row>
    <row r="316" spans="1:17" s="245" customFormat="1" hidden="1">
      <c r="A316" s="289">
        <v>314</v>
      </c>
      <c r="B316" s="284">
        <v>45817</v>
      </c>
      <c r="C316" s="245" t="str">
        <f t="shared" si="43"/>
        <v>MP0314</v>
      </c>
      <c r="D316" s="245" t="s">
        <v>1030</v>
      </c>
      <c r="E316" s="289">
        <v>300</v>
      </c>
      <c r="F316" s="289">
        <v>2500</v>
      </c>
      <c r="G316" s="289">
        <v>215</v>
      </c>
      <c r="H316" s="246">
        <f t="shared" si="39"/>
        <v>64500</v>
      </c>
      <c r="I316" s="245" t="s">
        <v>125</v>
      </c>
      <c r="J316" s="245" t="s">
        <v>113</v>
      </c>
      <c r="K316" s="245" t="s">
        <v>1031</v>
      </c>
      <c r="L316" s="289"/>
      <c r="M316" s="366"/>
      <c r="O316" s="245" t="s">
        <v>55</v>
      </c>
      <c r="P316" s="326">
        <v>45887</v>
      </c>
      <c r="Q316" s="327">
        <f t="shared" ca="1" si="44"/>
        <v>238</v>
      </c>
    </row>
    <row r="317" spans="1:17" hidden="1">
      <c r="A317" s="289">
        <v>315</v>
      </c>
      <c r="B317" s="284">
        <v>45818</v>
      </c>
      <c r="C317" s="245" t="str">
        <f t="shared" si="43"/>
        <v>MP0315</v>
      </c>
      <c r="D317" s="245" t="s">
        <v>467</v>
      </c>
      <c r="E317" s="289">
        <v>1200</v>
      </c>
      <c r="F317" s="289">
        <v>645</v>
      </c>
      <c r="G317" s="289">
        <v>118</v>
      </c>
      <c r="H317" s="246">
        <f t="shared" si="39"/>
        <v>141600</v>
      </c>
      <c r="I317" s="245" t="s">
        <v>264</v>
      </c>
      <c r="J317" s="245" t="s">
        <v>265</v>
      </c>
      <c r="K317" s="245" t="s">
        <v>10</v>
      </c>
      <c r="L317" s="289">
        <v>1240</v>
      </c>
      <c r="M317" s="245" t="s">
        <v>1032</v>
      </c>
      <c r="N317" s="245"/>
      <c r="O317" s="245" t="s">
        <v>55</v>
      </c>
      <c r="P317" s="326">
        <v>45854</v>
      </c>
      <c r="Q317" s="327">
        <f t="shared" ca="1" si="44"/>
        <v>271</v>
      </c>
    </row>
    <row r="318" spans="1:17" s="245" customFormat="1" hidden="1">
      <c r="A318" s="289">
        <v>316</v>
      </c>
      <c r="B318" s="284">
        <v>45818</v>
      </c>
      <c r="C318" s="245" t="str">
        <f t="shared" si="43"/>
        <v>MP0316</v>
      </c>
      <c r="D318" s="245" t="s">
        <v>1033</v>
      </c>
      <c r="E318" s="289">
        <v>1000</v>
      </c>
      <c r="F318" s="289">
        <v>199</v>
      </c>
      <c r="G318" s="289">
        <v>20.5</v>
      </c>
      <c r="H318" s="246">
        <f t="shared" si="39"/>
        <v>20500</v>
      </c>
      <c r="I318" s="245" t="s">
        <v>264</v>
      </c>
      <c r="J318" s="245" t="s">
        <v>265</v>
      </c>
      <c r="K318" s="245" t="s">
        <v>23</v>
      </c>
      <c r="L318" s="289">
        <v>995</v>
      </c>
      <c r="O318" s="245" t="s">
        <v>55</v>
      </c>
      <c r="P318" s="326">
        <v>45870</v>
      </c>
      <c r="Q318" s="327">
        <f t="shared" ca="1" si="44"/>
        <v>255</v>
      </c>
    </row>
    <row r="319" spans="1:17" s="245" customFormat="1" hidden="1">
      <c r="A319" s="247">
        <f t="shared" ref="A319" si="46">IF(B319="","",ROW()-2)</f>
        <v>317</v>
      </c>
      <c r="B319" s="244">
        <v>45821</v>
      </c>
      <c r="C319" s="246" t="s">
        <v>1034</v>
      </c>
      <c r="D319" s="246" t="s">
        <v>184</v>
      </c>
      <c r="E319" s="247">
        <v>1000</v>
      </c>
      <c r="F319" s="247">
        <v>480</v>
      </c>
      <c r="G319" s="247">
        <v>26</v>
      </c>
      <c r="H319" s="246">
        <f t="shared" ref="H319" si="47">IF(G319="","",E319*G319)</f>
        <v>26000</v>
      </c>
      <c r="I319" s="246" t="s">
        <v>66</v>
      </c>
      <c r="J319" s="246" t="s">
        <v>60</v>
      </c>
      <c r="K319" s="246" t="s">
        <v>22</v>
      </c>
      <c r="L319" s="248"/>
      <c r="M319" s="249"/>
      <c r="N319" s="246" t="s">
        <v>186</v>
      </c>
      <c r="O319" s="246" t="s">
        <v>55</v>
      </c>
      <c r="P319" s="328">
        <v>45854</v>
      </c>
      <c r="Q319" s="327">
        <f t="shared" ca="1" si="44"/>
        <v>271</v>
      </c>
    </row>
    <row r="320" spans="1:17" s="245" customFormat="1" ht="15.75" hidden="1">
      <c r="A320" s="289">
        <f t="shared" si="37"/>
        <v>318</v>
      </c>
      <c r="B320" s="284">
        <v>45824</v>
      </c>
      <c r="C320" s="245" t="str">
        <f t="shared" si="43"/>
        <v>MP0318</v>
      </c>
      <c r="D320" s="304" t="s">
        <v>1035</v>
      </c>
      <c r="E320" s="289">
        <v>500</v>
      </c>
      <c r="F320" s="289">
        <v>1650</v>
      </c>
      <c r="G320" s="289">
        <v>112</v>
      </c>
      <c r="H320" s="246">
        <f t="shared" si="39"/>
        <v>56000</v>
      </c>
      <c r="I320" s="304" t="s">
        <v>1036</v>
      </c>
      <c r="J320" s="304" t="s">
        <v>937</v>
      </c>
      <c r="K320" s="245" t="s">
        <v>1037</v>
      </c>
      <c r="L320" s="289"/>
      <c r="O320" s="245" t="s">
        <v>55</v>
      </c>
      <c r="P320" s="326">
        <v>45969</v>
      </c>
      <c r="Q320" s="327">
        <f t="shared" ca="1" si="44"/>
        <v>156</v>
      </c>
    </row>
    <row r="321" spans="1:17" s="245" customFormat="1" hidden="1">
      <c r="A321" s="289">
        <f t="shared" si="37"/>
        <v>319</v>
      </c>
      <c r="B321" s="284">
        <v>45824</v>
      </c>
      <c r="C321" s="245" t="str">
        <f t="shared" si="43"/>
        <v>MP0319</v>
      </c>
      <c r="D321" s="245" t="s">
        <v>1038</v>
      </c>
      <c r="E321" s="289">
        <v>1500</v>
      </c>
      <c r="F321" s="289">
        <v>250</v>
      </c>
      <c r="G321" s="289">
        <v>23</v>
      </c>
      <c r="H321" s="246">
        <f t="shared" si="39"/>
        <v>34500</v>
      </c>
      <c r="I321" s="245" t="s">
        <v>1039</v>
      </c>
      <c r="J321" s="245" t="s">
        <v>609</v>
      </c>
      <c r="K321" s="245" t="s">
        <v>1037</v>
      </c>
      <c r="L321" s="289"/>
      <c r="O321" s="245" t="s">
        <v>55</v>
      </c>
      <c r="P321" s="326">
        <v>45901</v>
      </c>
      <c r="Q321" s="327">
        <f t="shared" ca="1" si="44"/>
        <v>224</v>
      </c>
    </row>
    <row r="322" spans="1:17" s="245" customFormat="1" ht="15.75" hidden="1">
      <c r="A322" s="289">
        <f t="shared" si="37"/>
        <v>320</v>
      </c>
      <c r="B322" s="284">
        <v>45824</v>
      </c>
      <c r="C322" s="245" t="str">
        <f t="shared" si="43"/>
        <v>MP0320</v>
      </c>
      <c r="D322" s="304" t="s">
        <v>1040</v>
      </c>
      <c r="E322" s="289">
        <v>500</v>
      </c>
      <c r="F322" s="289">
        <v>650</v>
      </c>
      <c r="G322" s="289">
        <v>65</v>
      </c>
      <c r="H322" s="246">
        <f t="shared" si="39"/>
        <v>32500</v>
      </c>
      <c r="I322" s="305" t="s">
        <v>1041</v>
      </c>
      <c r="J322" s="245" t="s">
        <v>609</v>
      </c>
      <c r="K322" s="245" t="s">
        <v>1042</v>
      </c>
      <c r="L322" s="289"/>
      <c r="O322" s="245" t="s">
        <v>55</v>
      </c>
      <c r="P322" s="326">
        <v>45870</v>
      </c>
      <c r="Q322" s="327">
        <f t="shared" ca="1" si="44"/>
        <v>255</v>
      </c>
    </row>
    <row r="323" spans="1:17" s="245" customFormat="1" hidden="1">
      <c r="A323" s="289">
        <f t="shared" si="37"/>
        <v>321</v>
      </c>
      <c r="B323" s="284">
        <v>45825</v>
      </c>
      <c r="C323" s="245" t="str">
        <f t="shared" si="43"/>
        <v>MP0321</v>
      </c>
      <c r="D323" s="245" t="s">
        <v>1043</v>
      </c>
      <c r="E323" s="289">
        <v>500</v>
      </c>
      <c r="F323" s="289">
        <v>176.2</v>
      </c>
      <c r="G323" s="289">
        <v>80</v>
      </c>
      <c r="H323" s="246">
        <f t="shared" si="39"/>
        <v>40000</v>
      </c>
      <c r="I323" s="245" t="s">
        <v>1044</v>
      </c>
      <c r="J323" s="245" t="s">
        <v>609</v>
      </c>
      <c r="K323" s="245" t="s">
        <v>4</v>
      </c>
      <c r="L323" s="289">
        <v>468</v>
      </c>
      <c r="O323" s="245" t="s">
        <v>55</v>
      </c>
      <c r="P323" s="326">
        <v>45875</v>
      </c>
      <c r="Q323" s="327">
        <f t="shared" ca="1" si="44"/>
        <v>250</v>
      </c>
    </row>
    <row r="324" spans="1:17" s="245" customFormat="1" hidden="1">
      <c r="A324" s="289">
        <f t="shared" si="37"/>
        <v>322</v>
      </c>
      <c r="B324" s="284">
        <v>45825</v>
      </c>
      <c r="C324" s="245" t="str">
        <f t="shared" si="43"/>
        <v>MP0322</v>
      </c>
      <c r="D324" s="342" t="s">
        <v>1045</v>
      </c>
      <c r="E324" s="289">
        <v>300</v>
      </c>
      <c r="F324" s="289">
        <v>145</v>
      </c>
      <c r="G324" s="289">
        <v>97</v>
      </c>
      <c r="H324" s="246">
        <f t="shared" si="39"/>
        <v>29100</v>
      </c>
      <c r="I324" s="245" t="s">
        <v>656</v>
      </c>
      <c r="J324" s="245" t="s">
        <v>609</v>
      </c>
      <c r="K324" s="245" t="s">
        <v>1042</v>
      </c>
      <c r="L324" s="289"/>
      <c r="O324" s="246" t="s">
        <v>55</v>
      </c>
      <c r="P324" s="326">
        <v>45835</v>
      </c>
      <c r="Q324" s="327">
        <f t="shared" ca="1" si="44"/>
        <v>290</v>
      </c>
    </row>
    <row r="325" spans="1:17" s="245" customFormat="1" hidden="1">
      <c r="A325" s="289">
        <f t="shared" si="37"/>
        <v>323</v>
      </c>
      <c r="B325" s="284">
        <v>45825</v>
      </c>
      <c r="C325" s="245" t="str">
        <f t="shared" si="43"/>
        <v>MP0323</v>
      </c>
      <c r="D325" s="342" t="s">
        <v>1046</v>
      </c>
      <c r="E325" s="289">
        <v>500</v>
      </c>
      <c r="F325" s="289">
        <v>119.3</v>
      </c>
      <c r="G325" s="289">
        <v>75</v>
      </c>
      <c r="H325" s="246">
        <f t="shared" si="39"/>
        <v>37500</v>
      </c>
      <c r="I325" s="245" t="s">
        <v>656</v>
      </c>
      <c r="J325" s="245" t="s">
        <v>937</v>
      </c>
      <c r="K325" s="245" t="s">
        <v>1042</v>
      </c>
      <c r="L325" s="289">
        <v>495</v>
      </c>
      <c r="O325" s="245" t="s">
        <v>55</v>
      </c>
      <c r="P325" s="326">
        <v>45870</v>
      </c>
      <c r="Q325" s="329">
        <f ca="1">TODAY()-P325</f>
        <v>255</v>
      </c>
    </row>
    <row r="326" spans="1:17" s="245" customFormat="1" hidden="1">
      <c r="A326" s="289">
        <f t="shared" ref="A326:A388" si="48">IF(B326="","",ROW()-2)</f>
        <v>324</v>
      </c>
      <c r="B326" s="284">
        <v>45825</v>
      </c>
      <c r="C326" s="245" t="str">
        <f t="shared" si="43"/>
        <v>MP0324</v>
      </c>
      <c r="D326" s="342" t="s">
        <v>1047</v>
      </c>
      <c r="E326" s="289">
        <v>500</v>
      </c>
      <c r="F326" s="289" t="s">
        <v>1048</v>
      </c>
      <c r="G326" s="289">
        <v>58</v>
      </c>
      <c r="H326" s="246">
        <f t="shared" ref="H326:H389" si="49">IF(G326="","",E326*G326)</f>
        <v>29000</v>
      </c>
      <c r="I326" s="342" t="s">
        <v>1049</v>
      </c>
      <c r="J326" s="245" t="s">
        <v>609</v>
      </c>
      <c r="K326" s="245" t="s">
        <v>1042</v>
      </c>
      <c r="L326" s="289"/>
      <c r="M326" s="245" t="s">
        <v>1050</v>
      </c>
      <c r="O326" s="245" t="s">
        <v>55</v>
      </c>
      <c r="P326" s="326">
        <v>45864</v>
      </c>
      <c r="Q326" s="329">
        <f ca="1">TODAY()-P326</f>
        <v>261</v>
      </c>
    </row>
    <row r="327" spans="1:17" s="245" customFormat="1" hidden="1">
      <c r="A327" s="289">
        <f t="shared" si="48"/>
        <v>325</v>
      </c>
      <c r="B327" s="284">
        <v>45825</v>
      </c>
      <c r="C327" s="245" t="str">
        <f t="shared" si="43"/>
        <v>MP0325</v>
      </c>
      <c r="D327" s="245" t="s">
        <v>142</v>
      </c>
      <c r="E327" s="289">
        <v>3000</v>
      </c>
      <c r="F327" s="289">
        <v>110</v>
      </c>
      <c r="G327" s="289">
        <v>9.4</v>
      </c>
      <c r="H327" s="246">
        <f t="shared" si="49"/>
        <v>28200</v>
      </c>
      <c r="I327" s="245" t="s">
        <v>143</v>
      </c>
      <c r="J327" s="245" t="s">
        <v>144</v>
      </c>
      <c r="K327" s="245" t="s">
        <v>22</v>
      </c>
      <c r="L327" s="289">
        <v>2988</v>
      </c>
      <c r="N327" s="245" t="s">
        <v>54</v>
      </c>
      <c r="O327" s="245" t="s">
        <v>55</v>
      </c>
      <c r="P327" s="326">
        <v>45860</v>
      </c>
      <c r="Q327" s="329">
        <f ca="1">TODAY()-P327</f>
        <v>265</v>
      </c>
    </row>
    <row r="328" spans="1:17" s="245" customFormat="1" hidden="1">
      <c r="A328" s="289">
        <f t="shared" si="48"/>
        <v>326</v>
      </c>
      <c r="B328" s="284">
        <v>45825</v>
      </c>
      <c r="C328" s="245" t="str">
        <f t="shared" si="43"/>
        <v>MP0326</v>
      </c>
      <c r="D328" s="246" t="s">
        <v>403</v>
      </c>
      <c r="E328" s="247">
        <v>2000</v>
      </c>
      <c r="F328" s="247" t="s">
        <v>231</v>
      </c>
      <c r="G328" s="247">
        <v>14</v>
      </c>
      <c r="H328" s="246">
        <f t="shared" si="49"/>
        <v>28000</v>
      </c>
      <c r="I328" s="246" t="s">
        <v>227</v>
      </c>
      <c r="J328" s="246" t="s">
        <v>228</v>
      </c>
      <c r="K328" s="246" t="s">
        <v>22</v>
      </c>
      <c r="L328" s="248"/>
      <c r="M328" s="245" t="s">
        <v>976</v>
      </c>
      <c r="N328" s="246" t="s">
        <v>398</v>
      </c>
      <c r="O328" s="245" t="s">
        <v>55</v>
      </c>
      <c r="P328" s="326">
        <v>45825</v>
      </c>
      <c r="Q328" s="329">
        <f ca="1">TODAY()-P328</f>
        <v>300</v>
      </c>
    </row>
    <row r="329" spans="1:17" s="245" customFormat="1" hidden="1">
      <c r="A329" s="289">
        <f t="shared" si="48"/>
        <v>327</v>
      </c>
      <c r="B329" s="284">
        <v>45825</v>
      </c>
      <c r="C329" s="245" t="str">
        <f t="shared" si="43"/>
        <v>MP0327</v>
      </c>
      <c r="D329" s="249" t="s">
        <v>817</v>
      </c>
      <c r="E329" s="247">
        <v>300</v>
      </c>
      <c r="F329" s="247">
        <v>2100</v>
      </c>
      <c r="G329" s="247">
        <v>110</v>
      </c>
      <c r="H329" s="246">
        <f t="shared" si="49"/>
        <v>33000</v>
      </c>
      <c r="I329" s="246" t="s">
        <v>455</v>
      </c>
      <c r="J329" s="246" t="s">
        <v>60</v>
      </c>
      <c r="K329" s="246" t="s">
        <v>26</v>
      </c>
      <c r="L329" s="248">
        <v>292</v>
      </c>
      <c r="M329" s="245" t="s">
        <v>976</v>
      </c>
      <c r="N329" s="246" t="s">
        <v>200</v>
      </c>
      <c r="O329" s="245" t="s">
        <v>55</v>
      </c>
      <c r="P329" s="326">
        <v>45862</v>
      </c>
      <c r="Q329" s="327">
        <f t="shared" ref="Q329:Q370" ca="1" si="50">TODAY()-P329</f>
        <v>263</v>
      </c>
    </row>
    <row r="330" spans="1:17" s="245" customFormat="1" hidden="1">
      <c r="A330" s="289">
        <f t="shared" si="48"/>
        <v>328</v>
      </c>
      <c r="B330" s="284">
        <v>45825</v>
      </c>
      <c r="C330" s="245" t="str">
        <f t="shared" si="43"/>
        <v>MP0328</v>
      </c>
      <c r="D330" s="249" t="s">
        <v>499</v>
      </c>
      <c r="E330" s="247">
        <v>1200</v>
      </c>
      <c r="F330" s="247">
        <v>160</v>
      </c>
      <c r="G330" s="247">
        <v>16</v>
      </c>
      <c r="H330" s="246">
        <f t="shared" si="49"/>
        <v>19200</v>
      </c>
      <c r="I330" s="246" t="s">
        <v>264</v>
      </c>
      <c r="J330" s="246" t="s">
        <v>265</v>
      </c>
      <c r="K330" s="246" t="s">
        <v>20</v>
      </c>
      <c r="L330" s="248"/>
      <c r="N330" s="246" t="s">
        <v>133</v>
      </c>
      <c r="O330" s="246" t="s">
        <v>55</v>
      </c>
      <c r="P330" s="326">
        <v>45854</v>
      </c>
      <c r="Q330" s="327">
        <f t="shared" ca="1" si="50"/>
        <v>271</v>
      </c>
    </row>
    <row r="331" spans="1:17" s="245" customFormat="1" hidden="1">
      <c r="A331" s="289">
        <f t="shared" si="48"/>
        <v>329</v>
      </c>
      <c r="B331" s="284">
        <v>45825</v>
      </c>
      <c r="C331" s="245" t="str">
        <f t="shared" si="43"/>
        <v>MP0329</v>
      </c>
      <c r="D331" s="245" t="s">
        <v>1051</v>
      </c>
      <c r="E331" s="289">
        <v>3000</v>
      </c>
      <c r="F331" s="289">
        <v>295</v>
      </c>
      <c r="G331" s="289">
        <v>20</v>
      </c>
      <c r="H331" s="246">
        <f t="shared" si="49"/>
        <v>60000</v>
      </c>
      <c r="I331" s="245" t="s">
        <v>1052</v>
      </c>
      <c r="J331" s="245" t="s">
        <v>775</v>
      </c>
      <c r="K331" s="245" t="s">
        <v>10</v>
      </c>
      <c r="L331" s="289">
        <v>2950</v>
      </c>
      <c r="O331" s="245" t="s">
        <v>55</v>
      </c>
      <c r="P331" s="326">
        <v>45867</v>
      </c>
      <c r="Q331" s="327">
        <f t="shared" ca="1" si="50"/>
        <v>258</v>
      </c>
    </row>
    <row r="332" spans="1:17" s="245" customFormat="1" hidden="1">
      <c r="A332" s="289">
        <f t="shared" si="48"/>
        <v>330</v>
      </c>
      <c r="B332" s="284">
        <v>45825</v>
      </c>
      <c r="C332" s="245" t="str">
        <f t="shared" si="43"/>
        <v>MP0330</v>
      </c>
      <c r="D332" s="186" t="s">
        <v>413</v>
      </c>
      <c r="E332" s="289">
        <v>300</v>
      </c>
      <c r="F332" s="289">
        <v>224</v>
      </c>
      <c r="G332" s="289">
        <v>295</v>
      </c>
      <c r="H332" s="246">
        <f t="shared" si="49"/>
        <v>88500</v>
      </c>
      <c r="I332" s="245" t="s">
        <v>66</v>
      </c>
      <c r="J332" s="245" t="s">
        <v>60</v>
      </c>
      <c r="K332" s="245" t="s">
        <v>7</v>
      </c>
      <c r="L332" s="289"/>
      <c r="M332" s="245" t="s">
        <v>566</v>
      </c>
      <c r="O332" s="246" t="s">
        <v>55</v>
      </c>
      <c r="P332" s="326">
        <v>45854</v>
      </c>
      <c r="Q332" s="327">
        <f t="shared" ca="1" si="50"/>
        <v>271</v>
      </c>
    </row>
    <row r="333" spans="1:17" s="245" customFormat="1" hidden="1">
      <c r="A333" s="289">
        <f t="shared" si="48"/>
        <v>331</v>
      </c>
      <c r="B333" s="284">
        <v>45827</v>
      </c>
      <c r="C333" s="245" t="str">
        <f t="shared" si="43"/>
        <v>MP0331</v>
      </c>
      <c r="D333" s="245" t="s">
        <v>1053</v>
      </c>
      <c r="E333" s="289">
        <v>150</v>
      </c>
      <c r="F333" s="289">
        <v>8500</v>
      </c>
      <c r="G333" s="289">
        <v>1230</v>
      </c>
      <c r="H333" s="246">
        <f t="shared" si="49"/>
        <v>184500</v>
      </c>
      <c r="I333" s="245" t="s">
        <v>942</v>
      </c>
      <c r="J333" s="245" t="s">
        <v>609</v>
      </c>
      <c r="K333" s="245" t="s">
        <v>12</v>
      </c>
      <c r="L333" s="289"/>
      <c r="O333" s="245" t="s">
        <v>55</v>
      </c>
      <c r="P333" s="326">
        <v>45870</v>
      </c>
      <c r="Q333" s="327">
        <f t="shared" ca="1" si="50"/>
        <v>255</v>
      </c>
    </row>
    <row r="334" spans="1:17" s="245" customFormat="1" hidden="1">
      <c r="A334" s="289">
        <f t="shared" si="48"/>
        <v>332</v>
      </c>
      <c r="B334" s="284">
        <v>45827</v>
      </c>
      <c r="C334" s="245" t="str">
        <f t="shared" si="43"/>
        <v>MP0332</v>
      </c>
      <c r="D334" s="245" t="s">
        <v>1054</v>
      </c>
      <c r="E334" s="289">
        <v>200</v>
      </c>
      <c r="F334" s="289">
        <v>3950</v>
      </c>
      <c r="G334" s="289">
        <v>305</v>
      </c>
      <c r="H334" s="246">
        <f t="shared" si="49"/>
        <v>61000</v>
      </c>
      <c r="I334" s="245" t="s">
        <v>531</v>
      </c>
      <c r="J334" s="245" t="s">
        <v>609</v>
      </c>
      <c r="K334" s="245" t="s">
        <v>9</v>
      </c>
      <c r="L334" s="289"/>
      <c r="M334" s="245" t="s">
        <v>1055</v>
      </c>
      <c r="O334" s="245" t="s">
        <v>55</v>
      </c>
      <c r="P334" s="326">
        <v>45874</v>
      </c>
      <c r="Q334" s="327">
        <f t="shared" ca="1" si="50"/>
        <v>251</v>
      </c>
    </row>
    <row r="335" spans="1:17" s="245" customFormat="1" hidden="1">
      <c r="A335" s="289">
        <f t="shared" si="48"/>
        <v>333</v>
      </c>
      <c r="B335" s="284">
        <v>45827</v>
      </c>
      <c r="C335" s="245" t="str">
        <f t="shared" si="43"/>
        <v>MP0333</v>
      </c>
      <c r="D335" s="245" t="s">
        <v>1056</v>
      </c>
      <c r="E335" s="289">
        <v>300</v>
      </c>
      <c r="F335" s="289">
        <v>2450</v>
      </c>
      <c r="G335" s="289">
        <v>350</v>
      </c>
      <c r="H335" s="246">
        <f t="shared" si="49"/>
        <v>105000</v>
      </c>
      <c r="I335" s="245" t="s">
        <v>656</v>
      </c>
      <c r="J335" s="245" t="s">
        <v>609</v>
      </c>
      <c r="K335" s="245" t="s">
        <v>7</v>
      </c>
      <c r="L335" s="289"/>
      <c r="M335" s="245" t="s">
        <v>1057</v>
      </c>
      <c r="O335" s="245" t="s">
        <v>55</v>
      </c>
      <c r="P335" s="326">
        <v>45870</v>
      </c>
      <c r="Q335" s="327">
        <f t="shared" ca="1" si="50"/>
        <v>255</v>
      </c>
    </row>
    <row r="336" spans="1:17" hidden="1">
      <c r="A336" s="270">
        <f t="shared" si="48"/>
        <v>334</v>
      </c>
      <c r="B336" s="296">
        <v>45827</v>
      </c>
      <c r="C336" s="250" t="str">
        <f t="shared" si="43"/>
        <v>MP0334</v>
      </c>
      <c r="D336" s="250" t="s">
        <v>1058</v>
      </c>
      <c r="E336" s="270">
        <v>250</v>
      </c>
      <c r="F336" s="270">
        <v>60</v>
      </c>
      <c r="G336" s="270">
        <v>130</v>
      </c>
      <c r="H336" s="252">
        <v>0</v>
      </c>
      <c r="I336" s="250" t="s">
        <v>1059</v>
      </c>
      <c r="J336" s="250" t="s">
        <v>967</v>
      </c>
      <c r="K336" s="250" t="s">
        <v>2</v>
      </c>
      <c r="L336" s="270"/>
      <c r="M336" s="250" t="s">
        <v>1060</v>
      </c>
      <c r="N336" s="250"/>
      <c r="O336" s="250" t="s">
        <v>370</v>
      </c>
      <c r="P336" s="218">
        <v>45827</v>
      </c>
      <c r="Q336" s="188">
        <f t="shared" ca="1" si="50"/>
        <v>298</v>
      </c>
    </row>
    <row r="337" spans="1:17" s="245" customFormat="1" hidden="1">
      <c r="A337" s="289">
        <f t="shared" si="48"/>
        <v>335</v>
      </c>
      <c r="B337" s="284">
        <v>45827</v>
      </c>
      <c r="C337" s="245" t="str">
        <f t="shared" si="43"/>
        <v>MP0335</v>
      </c>
      <c r="D337" s="245" t="s">
        <v>1061</v>
      </c>
      <c r="E337" s="289">
        <v>300</v>
      </c>
      <c r="F337" s="289">
        <v>100</v>
      </c>
      <c r="G337" s="289">
        <v>84</v>
      </c>
      <c r="H337" s="246">
        <f t="shared" si="49"/>
        <v>25200</v>
      </c>
      <c r="I337" s="245" t="s">
        <v>1062</v>
      </c>
      <c r="J337" s="245" t="s">
        <v>609</v>
      </c>
      <c r="K337" s="245" t="s">
        <v>4</v>
      </c>
      <c r="L337" s="289"/>
      <c r="O337" s="245" t="s">
        <v>55</v>
      </c>
      <c r="P337" s="326">
        <v>45870</v>
      </c>
      <c r="Q337" s="327">
        <f t="shared" ca="1" si="50"/>
        <v>255</v>
      </c>
    </row>
    <row r="338" spans="1:17" s="245" customFormat="1" hidden="1">
      <c r="A338" s="289">
        <f t="shared" si="48"/>
        <v>336</v>
      </c>
      <c r="B338" s="284">
        <v>45827</v>
      </c>
      <c r="C338" s="245" t="str">
        <f t="shared" si="43"/>
        <v>MP0336</v>
      </c>
      <c r="D338" s="245" t="s">
        <v>1063</v>
      </c>
      <c r="E338" s="289">
        <v>300</v>
      </c>
      <c r="F338" s="289">
        <v>95</v>
      </c>
      <c r="G338" s="289">
        <v>56</v>
      </c>
      <c r="H338" s="246">
        <f t="shared" si="49"/>
        <v>16800</v>
      </c>
      <c r="I338" s="245" t="s">
        <v>656</v>
      </c>
      <c r="J338" s="245" t="s">
        <v>609</v>
      </c>
      <c r="K338" s="245" t="s">
        <v>4</v>
      </c>
      <c r="L338" s="289">
        <v>296</v>
      </c>
      <c r="O338" s="245" t="s">
        <v>55</v>
      </c>
      <c r="P338" s="326">
        <v>45871</v>
      </c>
      <c r="Q338" s="327">
        <f t="shared" ca="1" si="50"/>
        <v>254</v>
      </c>
    </row>
    <row r="339" spans="1:17" s="245" customFormat="1" hidden="1">
      <c r="A339" s="289">
        <f t="shared" si="48"/>
        <v>337</v>
      </c>
      <c r="B339" s="284">
        <v>45831</v>
      </c>
      <c r="C339" s="245" t="str">
        <f t="shared" si="43"/>
        <v>MP0337</v>
      </c>
      <c r="D339" s="245" t="s">
        <v>299</v>
      </c>
      <c r="E339" s="289">
        <v>500</v>
      </c>
      <c r="F339" s="289">
        <v>574</v>
      </c>
      <c r="G339" s="289">
        <v>33</v>
      </c>
      <c r="H339" s="246">
        <f t="shared" si="49"/>
        <v>16500</v>
      </c>
      <c r="I339" s="245" t="s">
        <v>300</v>
      </c>
      <c r="J339" s="245" t="s">
        <v>60</v>
      </c>
      <c r="K339" s="245" t="s">
        <v>7</v>
      </c>
      <c r="L339" s="289">
        <v>490</v>
      </c>
      <c r="O339" s="245" t="s">
        <v>55</v>
      </c>
      <c r="P339" s="326">
        <v>45877</v>
      </c>
      <c r="Q339" s="327">
        <f t="shared" ca="1" si="50"/>
        <v>248</v>
      </c>
    </row>
    <row r="340" spans="1:17" s="245" customFormat="1">
      <c r="A340" s="289">
        <f t="shared" si="48"/>
        <v>338</v>
      </c>
      <c r="B340" s="284">
        <v>45833</v>
      </c>
      <c r="C340" s="245" t="str">
        <f t="shared" si="43"/>
        <v>MP0338</v>
      </c>
      <c r="D340" s="245" t="s">
        <v>1064</v>
      </c>
      <c r="E340" s="289">
        <v>1000</v>
      </c>
      <c r="F340" s="289">
        <v>425</v>
      </c>
      <c r="G340" s="289">
        <v>52</v>
      </c>
      <c r="H340" s="246">
        <f t="shared" si="49"/>
        <v>52000</v>
      </c>
      <c r="I340" s="245" t="s">
        <v>1065</v>
      </c>
      <c r="J340" s="245" t="s">
        <v>609</v>
      </c>
      <c r="K340" s="245" t="s">
        <v>918</v>
      </c>
      <c r="L340" s="289"/>
      <c r="M340" s="245" t="s">
        <v>1066</v>
      </c>
      <c r="O340" s="245" t="s">
        <v>55</v>
      </c>
      <c r="P340" s="326">
        <v>45959</v>
      </c>
      <c r="Q340" s="327">
        <f t="shared" ca="1" si="50"/>
        <v>166</v>
      </c>
    </row>
    <row r="341" spans="1:17" s="245" customFormat="1" hidden="1">
      <c r="A341" s="289">
        <f t="shared" si="48"/>
        <v>339</v>
      </c>
      <c r="B341" s="284">
        <v>45833</v>
      </c>
      <c r="C341" s="245" t="str">
        <f t="shared" si="43"/>
        <v>MP0339</v>
      </c>
      <c r="D341" s="245" t="s">
        <v>510</v>
      </c>
      <c r="E341" s="289">
        <v>300</v>
      </c>
      <c r="F341" s="289">
        <v>2600</v>
      </c>
      <c r="G341" s="289">
        <v>110</v>
      </c>
      <c r="H341" s="246">
        <v>33000</v>
      </c>
      <c r="I341" s="245" t="s">
        <v>66</v>
      </c>
      <c r="J341" s="245" t="s">
        <v>87</v>
      </c>
      <c r="K341" s="245" t="s">
        <v>4</v>
      </c>
      <c r="L341" s="289">
        <v>303</v>
      </c>
      <c r="O341" s="245" t="s">
        <v>55</v>
      </c>
      <c r="P341" s="326">
        <v>45864</v>
      </c>
      <c r="Q341" s="327">
        <f t="shared" ca="1" si="50"/>
        <v>261</v>
      </c>
    </row>
    <row r="342" spans="1:17" s="245" customFormat="1" hidden="1">
      <c r="A342" s="289">
        <f t="shared" si="48"/>
        <v>340</v>
      </c>
      <c r="B342" s="284">
        <v>45833</v>
      </c>
      <c r="C342" s="245" t="str">
        <f t="shared" si="43"/>
        <v>MP0340</v>
      </c>
      <c r="D342" s="245" t="s">
        <v>1067</v>
      </c>
      <c r="E342" s="289">
        <v>300</v>
      </c>
      <c r="F342" s="289">
        <v>185</v>
      </c>
      <c r="G342" s="289">
        <v>145</v>
      </c>
      <c r="H342" s="246">
        <f t="shared" si="49"/>
        <v>43500</v>
      </c>
      <c r="I342" s="245" t="s">
        <v>1068</v>
      </c>
      <c r="J342" s="245" t="s">
        <v>609</v>
      </c>
      <c r="K342" s="245" t="s">
        <v>26</v>
      </c>
      <c r="L342" s="289" t="s">
        <v>1069</v>
      </c>
      <c r="M342" s="245" t="s">
        <v>1070</v>
      </c>
      <c r="N342" s="277" t="s">
        <v>620</v>
      </c>
      <c r="O342" s="245" t="s">
        <v>55</v>
      </c>
      <c r="P342" s="326">
        <v>45870</v>
      </c>
      <c r="Q342" s="327">
        <f t="shared" ca="1" si="50"/>
        <v>255</v>
      </c>
    </row>
    <row r="343" spans="1:17" s="245" customFormat="1" hidden="1">
      <c r="A343" s="289">
        <f t="shared" si="48"/>
        <v>341</v>
      </c>
      <c r="B343" s="284">
        <v>45833</v>
      </c>
      <c r="C343" s="245" t="str">
        <f t="shared" si="43"/>
        <v>MP0341</v>
      </c>
      <c r="D343" s="245" t="s">
        <v>1071</v>
      </c>
      <c r="E343" s="289">
        <v>300</v>
      </c>
      <c r="F343" s="289">
        <v>164</v>
      </c>
      <c r="G343" s="289">
        <v>135</v>
      </c>
      <c r="H343" s="246">
        <f t="shared" si="49"/>
        <v>40500</v>
      </c>
      <c r="I343" s="245" t="s">
        <v>66</v>
      </c>
      <c r="J343" s="245" t="s">
        <v>609</v>
      </c>
      <c r="K343" s="245" t="s">
        <v>4</v>
      </c>
      <c r="L343" s="289"/>
      <c r="O343" s="245" t="s">
        <v>55</v>
      </c>
      <c r="P343" s="326">
        <v>45882</v>
      </c>
      <c r="Q343" s="327">
        <f t="shared" ca="1" si="50"/>
        <v>243</v>
      </c>
    </row>
    <row r="344" spans="1:17" s="245" customFormat="1" hidden="1">
      <c r="A344" s="289">
        <f t="shared" si="48"/>
        <v>342</v>
      </c>
      <c r="B344" s="284">
        <v>45833</v>
      </c>
      <c r="C344" s="245" t="str">
        <f t="shared" si="43"/>
        <v>MP0342</v>
      </c>
      <c r="D344" s="245" t="s">
        <v>1072</v>
      </c>
      <c r="E344" s="289">
        <v>300</v>
      </c>
      <c r="F344" s="289">
        <v>210</v>
      </c>
      <c r="G344" s="289">
        <v>142</v>
      </c>
      <c r="H344" s="246">
        <f t="shared" si="49"/>
        <v>42600</v>
      </c>
      <c r="I344" s="245" t="s">
        <v>66</v>
      </c>
      <c r="J344" s="245" t="s">
        <v>609</v>
      </c>
      <c r="K344" s="245" t="s">
        <v>4</v>
      </c>
      <c r="L344" s="289"/>
      <c r="M344" s="245" t="s">
        <v>1073</v>
      </c>
      <c r="O344" s="245" t="s">
        <v>55</v>
      </c>
      <c r="P344" s="326">
        <v>45870</v>
      </c>
      <c r="Q344" s="327">
        <f t="shared" ca="1" si="50"/>
        <v>255</v>
      </c>
    </row>
    <row r="345" spans="1:17" s="245" customFormat="1" hidden="1">
      <c r="A345" s="289">
        <f t="shared" si="48"/>
        <v>343</v>
      </c>
      <c r="B345" s="284">
        <v>45833</v>
      </c>
      <c r="C345" s="245" t="str">
        <f t="shared" si="43"/>
        <v>MP0343</v>
      </c>
      <c r="D345" s="245" t="s">
        <v>1074</v>
      </c>
      <c r="E345" s="289">
        <v>2400</v>
      </c>
      <c r="F345" s="289">
        <v>86</v>
      </c>
      <c r="G345" s="289">
        <v>8.5</v>
      </c>
      <c r="H345" s="246">
        <f t="shared" si="49"/>
        <v>20400</v>
      </c>
      <c r="I345" s="245" t="s">
        <v>1075</v>
      </c>
      <c r="J345" s="245" t="s">
        <v>844</v>
      </c>
      <c r="K345" s="245" t="s">
        <v>20</v>
      </c>
      <c r="L345" s="289"/>
      <c r="O345" s="245" t="s">
        <v>55</v>
      </c>
      <c r="P345" s="326">
        <v>45843</v>
      </c>
      <c r="Q345" s="327">
        <f t="shared" ca="1" si="50"/>
        <v>282</v>
      </c>
    </row>
    <row r="346" spans="1:17" s="245" customFormat="1" hidden="1">
      <c r="A346" s="289">
        <f t="shared" si="48"/>
        <v>344</v>
      </c>
      <c r="B346" s="284">
        <v>45834</v>
      </c>
      <c r="C346" s="245" t="str">
        <f t="shared" si="43"/>
        <v>MP0344</v>
      </c>
      <c r="D346" s="245" t="s">
        <v>1076</v>
      </c>
      <c r="E346" s="289">
        <v>2400</v>
      </c>
      <c r="F346" s="289" t="s">
        <v>231</v>
      </c>
      <c r="G346" s="289">
        <v>7.5</v>
      </c>
      <c r="H346" s="246">
        <f t="shared" si="49"/>
        <v>18000</v>
      </c>
      <c r="I346" s="245" t="s">
        <v>1077</v>
      </c>
      <c r="J346" s="245" t="s">
        <v>844</v>
      </c>
      <c r="K346" s="245" t="s">
        <v>20</v>
      </c>
      <c r="L346" s="289"/>
      <c r="M346" s="245" t="s">
        <v>1078</v>
      </c>
      <c r="O346" s="245" t="s">
        <v>55</v>
      </c>
      <c r="P346" s="326">
        <v>45847</v>
      </c>
      <c r="Q346" s="327">
        <f t="shared" ca="1" si="50"/>
        <v>278</v>
      </c>
    </row>
    <row r="347" spans="1:17" s="245" customFormat="1" hidden="1">
      <c r="A347" s="289">
        <f t="shared" si="48"/>
        <v>345</v>
      </c>
      <c r="B347" s="284">
        <v>45834</v>
      </c>
      <c r="C347" s="245" t="str">
        <f t="shared" si="43"/>
        <v>MP0345</v>
      </c>
      <c r="D347" s="245" t="s">
        <v>1079</v>
      </c>
      <c r="E347" s="289">
        <v>2400</v>
      </c>
      <c r="F347" s="289">
        <v>65</v>
      </c>
      <c r="G347" s="289">
        <v>8</v>
      </c>
      <c r="H347" s="246">
        <f t="shared" si="49"/>
        <v>19200</v>
      </c>
      <c r="I347" s="245" t="s">
        <v>1077</v>
      </c>
      <c r="J347" s="245" t="s">
        <v>844</v>
      </c>
      <c r="K347" s="245" t="s">
        <v>20</v>
      </c>
      <c r="L347" s="289"/>
      <c r="O347" s="245" t="s">
        <v>55</v>
      </c>
      <c r="P347" s="326">
        <v>45841</v>
      </c>
      <c r="Q347" s="327">
        <f t="shared" ca="1" si="50"/>
        <v>284</v>
      </c>
    </row>
    <row r="348" spans="1:17" s="245" customFormat="1" hidden="1">
      <c r="A348" s="289">
        <f t="shared" si="48"/>
        <v>346</v>
      </c>
      <c r="B348" s="284">
        <v>45834</v>
      </c>
      <c r="C348" s="245" t="str">
        <f t="shared" si="43"/>
        <v>MP0346</v>
      </c>
      <c r="D348" s="245" t="s">
        <v>1080</v>
      </c>
      <c r="E348" s="289">
        <v>2400</v>
      </c>
      <c r="F348" s="289">
        <v>95</v>
      </c>
      <c r="G348" s="289">
        <v>8</v>
      </c>
      <c r="H348" s="246">
        <f t="shared" si="49"/>
        <v>19200</v>
      </c>
      <c r="I348" s="245" t="s">
        <v>1081</v>
      </c>
      <c r="J348" s="245" t="s">
        <v>844</v>
      </c>
      <c r="K348" s="245" t="s">
        <v>20</v>
      </c>
      <c r="L348" s="289"/>
      <c r="O348" s="245" t="s">
        <v>55</v>
      </c>
      <c r="P348" s="326">
        <v>45841</v>
      </c>
      <c r="Q348" s="327">
        <f t="shared" ca="1" si="50"/>
        <v>284</v>
      </c>
    </row>
    <row r="349" spans="1:17" s="245" customFormat="1" hidden="1">
      <c r="A349" s="289">
        <f t="shared" si="48"/>
        <v>347</v>
      </c>
      <c r="B349" s="284">
        <v>45834</v>
      </c>
      <c r="C349" s="245" t="str">
        <f t="shared" si="43"/>
        <v>MP0347</v>
      </c>
      <c r="D349" s="245" t="s">
        <v>1082</v>
      </c>
      <c r="E349" s="289">
        <v>2400</v>
      </c>
      <c r="F349" s="289">
        <v>65</v>
      </c>
      <c r="G349" s="289">
        <v>7</v>
      </c>
      <c r="H349" s="246">
        <f t="shared" si="49"/>
        <v>16800</v>
      </c>
      <c r="I349" s="245" t="s">
        <v>1081</v>
      </c>
      <c r="J349" s="245" t="s">
        <v>844</v>
      </c>
      <c r="K349" s="245" t="s">
        <v>20</v>
      </c>
      <c r="L349" s="289"/>
      <c r="O349" s="245" t="s">
        <v>55</v>
      </c>
      <c r="P349" s="326">
        <v>45841</v>
      </c>
      <c r="Q349" s="327">
        <f t="shared" ca="1" si="50"/>
        <v>284</v>
      </c>
    </row>
    <row r="350" spans="1:17" s="245" customFormat="1" hidden="1">
      <c r="A350" s="289">
        <f t="shared" si="48"/>
        <v>348</v>
      </c>
      <c r="B350" s="284">
        <v>45834</v>
      </c>
      <c r="C350" s="245" t="str">
        <f t="shared" si="43"/>
        <v>MP0348</v>
      </c>
      <c r="D350" s="245" t="s">
        <v>1083</v>
      </c>
      <c r="E350" s="289">
        <v>2400</v>
      </c>
      <c r="F350" s="289">
        <v>69</v>
      </c>
      <c r="G350" s="289">
        <v>8</v>
      </c>
      <c r="H350" s="246">
        <f t="shared" si="49"/>
        <v>19200</v>
      </c>
      <c r="I350" s="245" t="s">
        <v>1081</v>
      </c>
      <c r="J350" s="245" t="s">
        <v>844</v>
      </c>
      <c r="K350" s="245" t="s">
        <v>20</v>
      </c>
      <c r="L350" s="289">
        <v>3000</v>
      </c>
      <c r="O350" s="245" t="s">
        <v>55</v>
      </c>
      <c r="P350" s="326">
        <v>45901</v>
      </c>
      <c r="Q350" s="327">
        <f t="shared" ca="1" si="50"/>
        <v>224</v>
      </c>
    </row>
    <row r="351" spans="1:17" s="245" customFormat="1" hidden="1">
      <c r="A351" s="289">
        <f t="shared" si="48"/>
        <v>349</v>
      </c>
      <c r="B351" s="284">
        <v>45834</v>
      </c>
      <c r="C351" s="245" t="str">
        <f t="shared" si="43"/>
        <v>MP0349</v>
      </c>
      <c r="D351" s="245" t="s">
        <v>1084</v>
      </c>
      <c r="E351" s="289">
        <v>2400</v>
      </c>
      <c r="F351" s="289">
        <v>75</v>
      </c>
      <c r="G351" s="289">
        <v>7</v>
      </c>
      <c r="H351" s="246">
        <f t="shared" si="49"/>
        <v>16800</v>
      </c>
      <c r="I351" s="245" t="s">
        <v>1077</v>
      </c>
      <c r="J351" s="245" t="s">
        <v>844</v>
      </c>
      <c r="K351" s="245" t="s">
        <v>20</v>
      </c>
      <c r="L351" s="289"/>
      <c r="O351" s="245" t="s">
        <v>55</v>
      </c>
      <c r="P351" s="326">
        <v>45901</v>
      </c>
      <c r="Q351" s="327">
        <f t="shared" ca="1" si="50"/>
        <v>224</v>
      </c>
    </row>
    <row r="352" spans="1:17" s="245" customFormat="1" hidden="1">
      <c r="A352" s="289">
        <f t="shared" si="48"/>
        <v>350</v>
      </c>
      <c r="B352" s="284">
        <v>45834</v>
      </c>
      <c r="C352" s="245" t="str">
        <f t="shared" si="43"/>
        <v>MP0350</v>
      </c>
      <c r="D352" s="245" t="s">
        <v>1085</v>
      </c>
      <c r="E352" s="289">
        <v>3000</v>
      </c>
      <c r="F352" s="289">
        <v>105</v>
      </c>
      <c r="G352" s="289">
        <v>11</v>
      </c>
      <c r="H352" s="246">
        <f t="shared" si="49"/>
        <v>33000</v>
      </c>
      <c r="I352" s="370" t="s">
        <v>1086</v>
      </c>
      <c r="J352" s="245" t="s">
        <v>844</v>
      </c>
      <c r="K352" s="245" t="s">
        <v>24</v>
      </c>
      <c r="L352" s="289"/>
      <c r="M352" s="245" t="s">
        <v>1087</v>
      </c>
      <c r="O352" s="245" t="s">
        <v>55</v>
      </c>
      <c r="P352" s="326">
        <v>45870</v>
      </c>
      <c r="Q352" s="327">
        <f ca="1">TODAY()-P352</f>
        <v>255</v>
      </c>
    </row>
    <row r="353" spans="1:19" s="245" customFormat="1" hidden="1">
      <c r="A353" s="289">
        <f t="shared" si="48"/>
        <v>351</v>
      </c>
      <c r="B353" s="284">
        <v>45834</v>
      </c>
      <c r="C353" s="245" t="str">
        <f t="shared" si="43"/>
        <v>MP0351</v>
      </c>
      <c r="D353" s="245" t="s">
        <v>1088</v>
      </c>
      <c r="E353" s="289">
        <v>2400</v>
      </c>
      <c r="F353" s="289" t="s">
        <v>231</v>
      </c>
      <c r="G353" s="289">
        <v>7</v>
      </c>
      <c r="H353" s="246">
        <f t="shared" si="49"/>
        <v>16800</v>
      </c>
      <c r="I353" s="245" t="s">
        <v>1081</v>
      </c>
      <c r="J353" s="245" t="s">
        <v>844</v>
      </c>
      <c r="K353" s="245" t="s">
        <v>20</v>
      </c>
      <c r="L353" s="289"/>
      <c r="O353" s="245" t="s">
        <v>55</v>
      </c>
      <c r="P353" s="326">
        <v>45870</v>
      </c>
      <c r="Q353" s="327">
        <f ca="1">TODAY()-P353</f>
        <v>255</v>
      </c>
    </row>
    <row r="354" spans="1:19" hidden="1">
      <c r="A354" s="270">
        <f t="shared" si="48"/>
        <v>352</v>
      </c>
      <c r="B354" s="296">
        <v>45834</v>
      </c>
      <c r="C354" s="250" t="str">
        <f t="shared" si="43"/>
        <v>MP0352</v>
      </c>
      <c r="D354" s="250" t="s">
        <v>1089</v>
      </c>
      <c r="E354" s="270">
        <v>2000</v>
      </c>
      <c r="F354" s="270">
        <v>480</v>
      </c>
      <c r="G354" s="270">
        <v>45</v>
      </c>
      <c r="H354" s="252">
        <v>0</v>
      </c>
      <c r="I354" s="250" t="s">
        <v>947</v>
      </c>
      <c r="J354" s="250" t="s">
        <v>634</v>
      </c>
      <c r="K354" s="250" t="s">
        <v>1090</v>
      </c>
      <c r="L354" s="270"/>
      <c r="M354" s="250" t="s">
        <v>370</v>
      </c>
      <c r="N354" s="250"/>
      <c r="O354" s="250" t="s">
        <v>370</v>
      </c>
      <c r="P354" s="308">
        <v>45834</v>
      </c>
      <c r="Q354" s="309">
        <f t="shared" ca="1" si="50"/>
        <v>291</v>
      </c>
    </row>
    <row r="355" spans="1:19" s="245" customFormat="1" hidden="1">
      <c r="A355" s="289">
        <f t="shared" si="48"/>
        <v>353</v>
      </c>
      <c r="B355" s="284">
        <v>45834</v>
      </c>
      <c r="C355" s="245" t="str">
        <f t="shared" si="43"/>
        <v>MP0353</v>
      </c>
      <c r="D355" s="245" t="s">
        <v>1091</v>
      </c>
      <c r="E355" s="289">
        <v>300</v>
      </c>
      <c r="F355" s="289">
        <v>3000</v>
      </c>
      <c r="G355" s="289">
        <v>90</v>
      </c>
      <c r="H355" s="246">
        <f t="shared" si="49"/>
        <v>27000</v>
      </c>
      <c r="I355" s="245" t="s">
        <v>152</v>
      </c>
      <c r="J355" s="245" t="s">
        <v>1092</v>
      </c>
      <c r="K355" s="245" t="s">
        <v>918</v>
      </c>
      <c r="L355" s="289"/>
      <c r="O355" s="245" t="s">
        <v>55</v>
      </c>
      <c r="P355" s="326">
        <v>45901</v>
      </c>
      <c r="Q355" s="327">
        <f t="shared" ca="1" si="50"/>
        <v>224</v>
      </c>
    </row>
    <row r="356" spans="1:19" s="245" customFormat="1" hidden="1">
      <c r="A356" s="289">
        <f t="shared" si="48"/>
        <v>354</v>
      </c>
      <c r="B356" s="284">
        <v>45834</v>
      </c>
      <c r="C356" s="245" t="str">
        <f t="shared" si="43"/>
        <v>MP0354</v>
      </c>
      <c r="D356" s="245" t="s">
        <v>1093</v>
      </c>
      <c r="E356" s="289">
        <v>300</v>
      </c>
      <c r="F356" s="289">
        <v>1800</v>
      </c>
      <c r="G356" s="289">
        <v>120</v>
      </c>
      <c r="H356" s="246">
        <f t="shared" si="49"/>
        <v>36000</v>
      </c>
      <c r="I356" s="245" t="s">
        <v>1094</v>
      </c>
      <c r="J356" s="245" t="s">
        <v>1092</v>
      </c>
      <c r="K356" s="245" t="s">
        <v>918</v>
      </c>
      <c r="L356" s="289"/>
      <c r="O356" s="245" t="s">
        <v>55</v>
      </c>
      <c r="P356" s="326">
        <v>45901</v>
      </c>
      <c r="Q356" s="327">
        <f t="shared" ca="1" si="50"/>
        <v>224</v>
      </c>
    </row>
    <row r="357" spans="1:19" s="245" customFormat="1" hidden="1">
      <c r="A357" s="289">
        <f t="shared" si="48"/>
        <v>355</v>
      </c>
      <c r="B357" s="284">
        <v>45834</v>
      </c>
      <c r="C357" s="245" t="str">
        <f t="shared" si="43"/>
        <v>MP0355</v>
      </c>
      <c r="D357" s="245" t="s">
        <v>1095</v>
      </c>
      <c r="E357" s="289">
        <v>150</v>
      </c>
      <c r="F357" s="289">
        <v>6800</v>
      </c>
      <c r="G357" s="289">
        <v>1000</v>
      </c>
      <c r="H357" s="246">
        <f t="shared" si="49"/>
        <v>150000</v>
      </c>
      <c r="I357" s="245" t="s">
        <v>1096</v>
      </c>
      <c r="J357" s="245" t="s">
        <v>1092</v>
      </c>
      <c r="K357" s="245" t="s">
        <v>12</v>
      </c>
      <c r="L357" s="289"/>
      <c r="M357" s="245" t="s">
        <v>1097</v>
      </c>
      <c r="O357" s="245" t="s">
        <v>55</v>
      </c>
      <c r="P357" s="326">
        <v>45840</v>
      </c>
      <c r="Q357" s="327">
        <f t="shared" ca="1" si="50"/>
        <v>285</v>
      </c>
    </row>
    <row r="358" spans="1:19" s="245" customFormat="1" hidden="1">
      <c r="A358" s="289">
        <f t="shared" si="48"/>
        <v>356</v>
      </c>
      <c r="B358" s="284">
        <v>45834</v>
      </c>
      <c r="C358" s="245" t="str">
        <f t="shared" si="43"/>
        <v>MP0356</v>
      </c>
      <c r="D358" s="245" t="s">
        <v>209</v>
      </c>
      <c r="E358" s="289">
        <v>300</v>
      </c>
      <c r="F358" s="289">
        <v>760</v>
      </c>
      <c r="G358" s="289">
        <v>90</v>
      </c>
      <c r="H358" s="246">
        <f t="shared" si="49"/>
        <v>27000</v>
      </c>
      <c r="I358" s="245" t="s">
        <v>1098</v>
      </c>
      <c r="J358" s="245" t="s">
        <v>1092</v>
      </c>
      <c r="K358" s="245" t="s">
        <v>4</v>
      </c>
      <c r="L358" s="289"/>
      <c r="O358" s="245" t="s">
        <v>55</v>
      </c>
      <c r="P358" s="326">
        <v>45901</v>
      </c>
      <c r="Q358" s="327">
        <f t="shared" ca="1" si="50"/>
        <v>224</v>
      </c>
    </row>
    <row r="359" spans="1:19" s="245" customFormat="1" hidden="1">
      <c r="A359" s="289">
        <f t="shared" si="48"/>
        <v>357</v>
      </c>
      <c r="B359" s="284">
        <v>45834</v>
      </c>
      <c r="C359" s="245" t="str">
        <f t="shared" si="43"/>
        <v>MP0357</v>
      </c>
      <c r="D359" s="245" t="s">
        <v>215</v>
      </c>
      <c r="E359" s="289">
        <v>300</v>
      </c>
      <c r="F359" s="289">
        <v>1330</v>
      </c>
      <c r="G359" s="289">
        <v>149</v>
      </c>
      <c r="H359" s="246">
        <f t="shared" si="49"/>
        <v>44700</v>
      </c>
      <c r="I359" s="245" t="s">
        <v>1098</v>
      </c>
      <c r="J359" s="245" t="s">
        <v>1092</v>
      </c>
      <c r="K359" s="245" t="s">
        <v>4</v>
      </c>
      <c r="L359" s="289"/>
      <c r="O359" s="245" t="s">
        <v>55</v>
      </c>
      <c r="P359" s="326">
        <v>45901</v>
      </c>
      <c r="Q359" s="327">
        <f t="shared" ca="1" si="50"/>
        <v>224</v>
      </c>
    </row>
    <row r="360" spans="1:19" s="245" customFormat="1" hidden="1">
      <c r="A360" s="289">
        <f t="shared" si="48"/>
        <v>358</v>
      </c>
      <c r="B360" s="284">
        <v>45834</v>
      </c>
      <c r="C360" s="245" t="str">
        <f t="shared" si="43"/>
        <v>MP0358</v>
      </c>
      <c r="D360" s="245" t="s">
        <v>1099</v>
      </c>
      <c r="E360" s="289">
        <v>1000</v>
      </c>
      <c r="F360" s="289">
        <v>3250</v>
      </c>
      <c r="G360" s="289">
        <v>80</v>
      </c>
      <c r="H360" s="246">
        <f t="shared" si="49"/>
        <v>80000</v>
      </c>
      <c r="I360" s="245" t="s">
        <v>1100</v>
      </c>
      <c r="J360" s="245" t="s">
        <v>1101</v>
      </c>
      <c r="K360" s="245" t="s">
        <v>10</v>
      </c>
      <c r="L360" s="289"/>
      <c r="M360" s="245" t="s">
        <v>1102</v>
      </c>
      <c r="O360" s="245" t="s">
        <v>55</v>
      </c>
      <c r="P360" s="326">
        <v>45870</v>
      </c>
      <c r="Q360" s="327">
        <f t="shared" ca="1" si="50"/>
        <v>255</v>
      </c>
    </row>
    <row r="361" spans="1:19" s="250" customFormat="1" hidden="1">
      <c r="A361" s="270">
        <f t="shared" si="48"/>
        <v>359</v>
      </c>
      <c r="B361" s="296">
        <v>45835</v>
      </c>
      <c r="C361" s="250" t="str">
        <f t="shared" si="43"/>
        <v>MP0359</v>
      </c>
      <c r="D361" s="250" t="s">
        <v>1089</v>
      </c>
      <c r="E361" s="270">
        <v>2000</v>
      </c>
      <c r="F361" s="270">
        <v>480</v>
      </c>
      <c r="G361" s="270">
        <v>44</v>
      </c>
      <c r="H361" s="252">
        <v>0</v>
      </c>
      <c r="I361" s="250" t="s">
        <v>947</v>
      </c>
      <c r="J361" s="250" t="s">
        <v>634</v>
      </c>
      <c r="K361" s="250" t="s">
        <v>1103</v>
      </c>
      <c r="L361" s="270"/>
      <c r="O361" s="250" t="s">
        <v>370</v>
      </c>
      <c r="P361" s="308">
        <v>45835</v>
      </c>
      <c r="Q361" s="309">
        <f t="shared" ca="1" si="50"/>
        <v>290</v>
      </c>
    </row>
    <row r="362" spans="1:19" s="250" customFormat="1" hidden="1">
      <c r="A362" s="270">
        <f t="shared" si="48"/>
        <v>360</v>
      </c>
      <c r="B362" s="296">
        <v>45835</v>
      </c>
      <c r="C362" s="250" t="str">
        <f t="shared" si="43"/>
        <v>MP0360</v>
      </c>
      <c r="D362" s="250" t="s">
        <v>913</v>
      </c>
      <c r="E362" s="270">
        <v>3000</v>
      </c>
      <c r="F362" s="270">
        <v>110</v>
      </c>
      <c r="G362" s="270">
        <v>7.5</v>
      </c>
      <c r="H362" s="252">
        <v>0</v>
      </c>
      <c r="I362" s="250" t="s">
        <v>1104</v>
      </c>
      <c r="J362" s="250" t="s">
        <v>844</v>
      </c>
      <c r="K362" s="250" t="s">
        <v>1103</v>
      </c>
      <c r="L362" s="270"/>
      <c r="O362" s="250" t="s">
        <v>370</v>
      </c>
      <c r="P362" s="308">
        <v>45835</v>
      </c>
      <c r="Q362" s="309">
        <f t="shared" ca="1" si="50"/>
        <v>290</v>
      </c>
    </row>
    <row r="363" spans="1:19" s="250" customFormat="1" hidden="1">
      <c r="A363" s="270">
        <f t="shared" si="48"/>
        <v>361</v>
      </c>
      <c r="B363" s="296">
        <v>45843</v>
      </c>
      <c r="C363" s="250" t="str">
        <f t="shared" si="43"/>
        <v>MP0361</v>
      </c>
      <c r="D363" s="250" t="s">
        <v>1105</v>
      </c>
      <c r="E363" s="270">
        <v>5000</v>
      </c>
      <c r="F363" s="270">
        <v>97</v>
      </c>
      <c r="G363" s="270">
        <v>6.1</v>
      </c>
      <c r="H363" s="252">
        <v>0</v>
      </c>
      <c r="I363" s="250" t="s">
        <v>1106</v>
      </c>
      <c r="J363" s="250" t="s">
        <v>634</v>
      </c>
      <c r="K363" s="250" t="s">
        <v>635</v>
      </c>
      <c r="L363" s="270"/>
      <c r="M363" s="250" t="s">
        <v>1107</v>
      </c>
      <c r="O363" s="252" t="s">
        <v>370</v>
      </c>
      <c r="P363" s="308">
        <v>45843</v>
      </c>
      <c r="Q363" s="309">
        <f t="shared" ca="1" si="50"/>
        <v>282</v>
      </c>
    </row>
    <row r="364" spans="1:19" s="245" customFormat="1" hidden="1">
      <c r="A364" s="289">
        <f t="shared" si="48"/>
        <v>362</v>
      </c>
      <c r="B364" s="284">
        <v>45835</v>
      </c>
      <c r="C364" s="245" t="str">
        <f t="shared" ref="C364:C427" si="51">IF(B364="","",_xlfn.CONCAT("MP0",A364))</f>
        <v>MP0362</v>
      </c>
      <c r="D364" s="245" t="s">
        <v>1108</v>
      </c>
      <c r="E364" s="289">
        <v>300</v>
      </c>
      <c r="F364" s="289">
        <v>1400</v>
      </c>
      <c r="G364" s="289">
        <v>76</v>
      </c>
      <c r="H364" s="246">
        <f t="shared" si="49"/>
        <v>22800</v>
      </c>
      <c r="I364" s="245" t="s">
        <v>1109</v>
      </c>
      <c r="J364" s="245" t="s">
        <v>1092</v>
      </c>
      <c r="K364" s="245" t="s">
        <v>4</v>
      </c>
      <c r="L364" s="289"/>
      <c r="M364" s="245" t="s">
        <v>1110</v>
      </c>
      <c r="O364" s="245" t="s">
        <v>55</v>
      </c>
      <c r="P364" s="326">
        <v>45843</v>
      </c>
      <c r="Q364" s="327">
        <f t="shared" ca="1" si="50"/>
        <v>282</v>
      </c>
    </row>
    <row r="365" spans="1:19" s="245" customFormat="1" hidden="1">
      <c r="A365" s="289">
        <f t="shared" si="48"/>
        <v>363</v>
      </c>
      <c r="B365" s="284">
        <v>45835</v>
      </c>
      <c r="C365" s="245" t="str">
        <f t="shared" si="51"/>
        <v>MP0363</v>
      </c>
      <c r="D365" s="245" t="s">
        <v>1111</v>
      </c>
      <c r="E365" s="289">
        <v>300</v>
      </c>
      <c r="F365" s="289">
        <v>1380</v>
      </c>
      <c r="G365" s="289">
        <v>114</v>
      </c>
      <c r="H365" s="246">
        <f t="shared" si="49"/>
        <v>34200</v>
      </c>
      <c r="I365" s="245" t="s">
        <v>1112</v>
      </c>
      <c r="J365" s="245" t="s">
        <v>1092</v>
      </c>
      <c r="K365" s="245" t="s">
        <v>15</v>
      </c>
      <c r="L365" s="289"/>
      <c r="O365" s="245" t="s">
        <v>55</v>
      </c>
      <c r="P365" s="326">
        <v>45874</v>
      </c>
      <c r="Q365" s="327">
        <f t="shared" ca="1" si="50"/>
        <v>251</v>
      </c>
    </row>
    <row r="366" spans="1:19" s="289" customFormat="1" hidden="1">
      <c r="A366" s="289">
        <f t="shared" si="48"/>
        <v>364</v>
      </c>
      <c r="B366" s="284">
        <v>45839</v>
      </c>
      <c r="C366" s="245" t="str">
        <f t="shared" si="51"/>
        <v>MP0364</v>
      </c>
      <c r="D366" s="245" t="s">
        <v>449</v>
      </c>
      <c r="E366" s="289">
        <v>300</v>
      </c>
      <c r="F366" s="289">
        <v>1450</v>
      </c>
      <c r="G366" s="289">
        <v>150</v>
      </c>
      <c r="H366" s="246">
        <f t="shared" si="49"/>
        <v>45000</v>
      </c>
      <c r="I366" s="245" t="s">
        <v>59</v>
      </c>
      <c r="J366" s="245" t="s">
        <v>60</v>
      </c>
      <c r="K366" s="245" t="s">
        <v>4</v>
      </c>
      <c r="M366" s="245" t="s">
        <v>1113</v>
      </c>
      <c r="N366" s="245"/>
      <c r="O366" s="245" t="s">
        <v>55</v>
      </c>
      <c r="P366" s="326">
        <v>45871</v>
      </c>
      <c r="Q366" s="327">
        <f t="shared" ca="1" si="50"/>
        <v>254</v>
      </c>
      <c r="S366" s="314"/>
    </row>
    <row r="367" spans="1:19" s="245" customFormat="1" hidden="1">
      <c r="A367" s="289">
        <f t="shared" si="48"/>
        <v>365</v>
      </c>
      <c r="B367" s="284">
        <v>45839</v>
      </c>
      <c r="C367" s="245" t="str">
        <f t="shared" si="51"/>
        <v>MP0365</v>
      </c>
      <c r="D367" s="245" t="s">
        <v>463</v>
      </c>
      <c r="E367" s="289">
        <v>200</v>
      </c>
      <c r="F367" s="289">
        <v>2100</v>
      </c>
      <c r="G367" s="289">
        <v>290</v>
      </c>
      <c r="H367" s="246">
        <f t="shared" si="49"/>
        <v>58000</v>
      </c>
      <c r="I367" s="245" t="s">
        <v>66</v>
      </c>
      <c r="J367" s="245" t="s">
        <v>60</v>
      </c>
      <c r="K367" s="245" t="s">
        <v>4</v>
      </c>
      <c r="L367" s="289"/>
      <c r="O367" s="245" t="s">
        <v>55</v>
      </c>
      <c r="P367" s="326">
        <v>45871</v>
      </c>
      <c r="Q367" s="327">
        <f t="shared" ca="1" si="50"/>
        <v>254</v>
      </c>
      <c r="R367" s="289"/>
    </row>
    <row r="368" spans="1:19" s="245" customFormat="1" hidden="1">
      <c r="A368" s="289">
        <f t="shared" si="48"/>
        <v>366</v>
      </c>
      <c r="B368" s="284">
        <v>45839</v>
      </c>
      <c r="C368" s="245" t="str">
        <f t="shared" si="51"/>
        <v>MP0366</v>
      </c>
      <c r="D368" s="246" t="s">
        <v>381</v>
      </c>
      <c r="E368" s="247">
        <v>300</v>
      </c>
      <c r="F368" s="247">
        <v>1250</v>
      </c>
      <c r="G368" s="247">
        <v>72</v>
      </c>
      <c r="H368" s="246">
        <f t="shared" si="49"/>
        <v>21600</v>
      </c>
      <c r="I368" s="246" t="s">
        <v>125</v>
      </c>
      <c r="J368" s="246" t="s">
        <v>113</v>
      </c>
      <c r="K368" s="246" t="s">
        <v>19</v>
      </c>
      <c r="L368" s="248"/>
      <c r="N368" s="246"/>
      <c r="O368" s="245" t="s">
        <v>55</v>
      </c>
      <c r="P368" s="328">
        <v>45861</v>
      </c>
      <c r="Q368" s="327">
        <f t="shared" ca="1" si="50"/>
        <v>264</v>
      </c>
    </row>
    <row r="369" spans="1:17" s="245" customFormat="1" hidden="1">
      <c r="A369" s="289">
        <f t="shared" si="48"/>
        <v>367</v>
      </c>
      <c r="B369" s="284">
        <v>45839</v>
      </c>
      <c r="C369" s="245" t="str">
        <f t="shared" si="51"/>
        <v>MP0367</v>
      </c>
      <c r="D369" s="246" t="s">
        <v>78</v>
      </c>
      <c r="E369" s="247">
        <v>300</v>
      </c>
      <c r="F369" s="247">
        <v>1800</v>
      </c>
      <c r="G369" s="247">
        <v>60</v>
      </c>
      <c r="H369" s="246">
        <f t="shared" si="49"/>
        <v>18000</v>
      </c>
      <c r="I369" s="246" t="s">
        <v>74</v>
      </c>
      <c r="J369" s="246" t="s">
        <v>60</v>
      </c>
      <c r="K369" s="246" t="s">
        <v>4</v>
      </c>
      <c r="L369" s="248">
        <v>305</v>
      </c>
      <c r="N369" s="246"/>
      <c r="O369" s="245" t="s">
        <v>55</v>
      </c>
      <c r="P369" s="328">
        <v>45875</v>
      </c>
      <c r="Q369" s="327">
        <f t="shared" ca="1" si="50"/>
        <v>250</v>
      </c>
    </row>
    <row r="370" spans="1:17" s="245" customFormat="1" hidden="1">
      <c r="A370" s="289">
        <f t="shared" si="48"/>
        <v>368</v>
      </c>
      <c r="B370" s="284">
        <v>45839</v>
      </c>
      <c r="C370" s="245" t="str">
        <f t="shared" si="51"/>
        <v>MP0368</v>
      </c>
      <c r="D370" s="246" t="s">
        <v>477</v>
      </c>
      <c r="E370" s="247">
        <v>300</v>
      </c>
      <c r="F370" s="247">
        <v>2250</v>
      </c>
      <c r="G370" s="247">
        <v>108</v>
      </c>
      <c r="H370" s="246">
        <f t="shared" si="49"/>
        <v>32400</v>
      </c>
      <c r="I370" s="246" t="s">
        <v>152</v>
      </c>
      <c r="J370" s="246" t="s">
        <v>60</v>
      </c>
      <c r="K370" s="246" t="s">
        <v>18</v>
      </c>
      <c r="L370" s="248">
        <v>253</v>
      </c>
      <c r="N370" s="246"/>
      <c r="O370" s="245" t="s">
        <v>55</v>
      </c>
      <c r="P370" s="328">
        <v>45870</v>
      </c>
      <c r="Q370" s="327">
        <f t="shared" ca="1" si="50"/>
        <v>255</v>
      </c>
    </row>
    <row r="371" spans="1:17" s="245" customFormat="1" hidden="1">
      <c r="A371" s="289">
        <f t="shared" si="48"/>
        <v>369</v>
      </c>
      <c r="B371" s="284">
        <v>45839</v>
      </c>
      <c r="C371" s="245" t="str">
        <f t="shared" si="51"/>
        <v>MP0369</v>
      </c>
      <c r="D371" s="277" t="s">
        <v>527</v>
      </c>
      <c r="E371" s="337">
        <v>3000</v>
      </c>
      <c r="F371" s="337">
        <v>299</v>
      </c>
      <c r="G371" s="337">
        <v>25.5</v>
      </c>
      <c r="H371" s="277">
        <f>IF(G371="","",E371*G371)</f>
        <v>76500</v>
      </c>
      <c r="I371" s="277" t="s">
        <v>528</v>
      </c>
      <c r="J371" s="277" t="s">
        <v>308</v>
      </c>
      <c r="K371" s="277" t="s">
        <v>7</v>
      </c>
      <c r="L371" s="338">
        <v>2952</v>
      </c>
      <c r="N371" s="277" t="s">
        <v>133</v>
      </c>
      <c r="O371" s="245" t="s">
        <v>55</v>
      </c>
      <c r="P371" s="328">
        <v>45864</v>
      </c>
      <c r="Q371" s="329">
        <f ca="1">TODAY()-P371</f>
        <v>261</v>
      </c>
    </row>
    <row r="372" spans="1:17" s="245" customFormat="1" hidden="1">
      <c r="A372" s="289">
        <f t="shared" si="48"/>
        <v>370</v>
      </c>
      <c r="B372" s="284">
        <v>45839</v>
      </c>
      <c r="C372" s="245" t="str">
        <f t="shared" si="51"/>
        <v>MP0370</v>
      </c>
      <c r="D372" s="277" t="s">
        <v>687</v>
      </c>
      <c r="E372" s="337">
        <v>1000</v>
      </c>
      <c r="F372" s="337">
        <v>198</v>
      </c>
      <c r="G372" s="337">
        <v>32</v>
      </c>
      <c r="H372" s="277">
        <f t="shared" ref="H372:H373" si="52">IF(G372="","",E372*G372)</f>
        <v>32000</v>
      </c>
      <c r="I372" s="277" t="s">
        <v>688</v>
      </c>
      <c r="J372" s="277" t="s">
        <v>265</v>
      </c>
      <c r="K372" s="277" t="s">
        <v>23</v>
      </c>
      <c r="L372" s="338"/>
      <c r="N372" s="277"/>
      <c r="O372" s="277" t="s">
        <v>55</v>
      </c>
      <c r="P372" s="328">
        <v>45901</v>
      </c>
      <c r="Q372" s="329">
        <f t="shared" ref="Q372:Q374" ca="1" si="53">TODAY()-P372</f>
        <v>224</v>
      </c>
    </row>
    <row r="373" spans="1:17" s="245" customFormat="1" hidden="1">
      <c r="A373" s="289">
        <f t="shared" si="48"/>
        <v>371</v>
      </c>
      <c r="B373" s="284">
        <v>45839</v>
      </c>
      <c r="C373" s="245" t="str">
        <f t="shared" si="51"/>
        <v>MP0371</v>
      </c>
      <c r="D373" s="277" t="s">
        <v>790</v>
      </c>
      <c r="E373" s="337">
        <v>300</v>
      </c>
      <c r="F373" s="337">
        <v>1950</v>
      </c>
      <c r="G373" s="337">
        <v>106</v>
      </c>
      <c r="H373" s="277">
        <f t="shared" si="52"/>
        <v>31800</v>
      </c>
      <c r="I373" s="277" t="s">
        <v>74</v>
      </c>
      <c r="J373" s="277" t="s">
        <v>60</v>
      </c>
      <c r="K373" s="277" t="s">
        <v>22</v>
      </c>
      <c r="L373" s="338"/>
      <c r="N373" s="277"/>
      <c r="O373" s="277" t="s">
        <v>55</v>
      </c>
      <c r="P373" s="328">
        <v>45901</v>
      </c>
      <c r="Q373" s="329">
        <f t="shared" ca="1" si="53"/>
        <v>224</v>
      </c>
    </row>
    <row r="374" spans="1:17" s="245" customFormat="1" hidden="1">
      <c r="A374" s="289">
        <f t="shared" si="48"/>
        <v>372</v>
      </c>
      <c r="B374" s="284">
        <v>45840</v>
      </c>
      <c r="C374" s="245" t="str">
        <f t="shared" si="51"/>
        <v>MP0372</v>
      </c>
      <c r="D374" s="245" t="s">
        <v>1114</v>
      </c>
      <c r="E374" s="289">
        <v>250</v>
      </c>
      <c r="F374" s="289">
        <v>3950</v>
      </c>
      <c r="G374" s="289">
        <v>300</v>
      </c>
      <c r="H374" s="246">
        <f t="shared" si="49"/>
        <v>75000</v>
      </c>
      <c r="I374" s="245" t="s">
        <v>1115</v>
      </c>
      <c r="J374" s="245" t="s">
        <v>609</v>
      </c>
      <c r="K374" s="245" t="s">
        <v>1031</v>
      </c>
      <c r="L374" s="289"/>
      <c r="M374" s="245" t="s">
        <v>1116</v>
      </c>
      <c r="O374" s="245" t="s">
        <v>55</v>
      </c>
      <c r="P374" s="326">
        <v>45901</v>
      </c>
      <c r="Q374" s="327">
        <f t="shared" ca="1" si="53"/>
        <v>224</v>
      </c>
    </row>
    <row r="375" spans="1:17" s="245" customFormat="1" ht="15.75" hidden="1">
      <c r="A375" s="289">
        <f t="shared" si="48"/>
        <v>373</v>
      </c>
      <c r="B375" s="284">
        <v>45840</v>
      </c>
      <c r="C375" s="245" t="str">
        <f t="shared" si="51"/>
        <v>MP0373</v>
      </c>
      <c r="D375" s="246" t="s">
        <v>824</v>
      </c>
      <c r="E375" s="247">
        <v>1200</v>
      </c>
      <c r="F375" s="247">
        <v>170</v>
      </c>
      <c r="G375" s="278">
        <v>13.75</v>
      </c>
      <c r="H375" s="246">
        <f t="shared" si="49"/>
        <v>16500</v>
      </c>
      <c r="I375" s="304" t="s">
        <v>1117</v>
      </c>
      <c r="J375" s="246" t="s">
        <v>265</v>
      </c>
      <c r="K375" s="246" t="s">
        <v>20</v>
      </c>
      <c r="L375" s="248"/>
      <c r="M375" s="249" t="s">
        <v>1078</v>
      </c>
      <c r="N375" s="246" t="s">
        <v>133</v>
      </c>
      <c r="O375" s="245" t="s">
        <v>55</v>
      </c>
      <c r="P375" s="328">
        <v>45847</v>
      </c>
      <c r="Q375" s="327">
        <f t="shared" ref="Q375:Q379" ca="1" si="54">TODAY()-P375</f>
        <v>278</v>
      </c>
    </row>
    <row r="376" spans="1:17" s="250" customFormat="1" hidden="1">
      <c r="A376" s="270">
        <f t="shared" si="48"/>
        <v>374</v>
      </c>
      <c r="B376" s="296">
        <v>45871</v>
      </c>
      <c r="C376" s="250" t="str">
        <f t="shared" si="51"/>
        <v>MP0374</v>
      </c>
      <c r="D376" s="250" t="s">
        <v>1118</v>
      </c>
      <c r="E376" s="270">
        <v>200</v>
      </c>
      <c r="F376" s="270">
        <v>140</v>
      </c>
      <c r="G376" s="270">
        <v>260</v>
      </c>
      <c r="H376" s="252">
        <v>0</v>
      </c>
      <c r="I376" s="250" t="s">
        <v>1119</v>
      </c>
      <c r="J376" s="250" t="s">
        <v>609</v>
      </c>
      <c r="K376" s="250" t="s">
        <v>1103</v>
      </c>
      <c r="L376" s="270"/>
      <c r="O376" s="252" t="s">
        <v>370</v>
      </c>
      <c r="P376" s="316">
        <v>45871</v>
      </c>
      <c r="Q376" s="309">
        <f t="shared" ca="1" si="54"/>
        <v>254</v>
      </c>
    </row>
    <row r="377" spans="1:17" s="245" customFormat="1" hidden="1">
      <c r="A377" s="289">
        <f t="shared" si="48"/>
        <v>375</v>
      </c>
      <c r="B377" s="284">
        <v>45843</v>
      </c>
      <c r="C377" s="245" t="str">
        <f t="shared" si="51"/>
        <v>MP0375</v>
      </c>
      <c r="D377" s="246" t="s">
        <v>684</v>
      </c>
      <c r="E377" s="247">
        <v>1200</v>
      </c>
      <c r="F377" s="247">
        <v>170</v>
      </c>
      <c r="G377" s="247">
        <v>13.5</v>
      </c>
      <c r="H377" s="246">
        <f t="shared" si="49"/>
        <v>16200</v>
      </c>
      <c r="I377" s="246" t="s">
        <v>269</v>
      </c>
      <c r="J377" s="246" t="s">
        <v>265</v>
      </c>
      <c r="K377" s="246" t="s">
        <v>683</v>
      </c>
      <c r="L377" s="248"/>
      <c r="M377" s="249"/>
      <c r="N377" s="246"/>
      <c r="O377" s="246" t="s">
        <v>55</v>
      </c>
      <c r="P377" s="328">
        <v>45870</v>
      </c>
      <c r="Q377" s="327">
        <f t="shared" ca="1" si="54"/>
        <v>255</v>
      </c>
    </row>
    <row r="378" spans="1:17" s="245" customFormat="1" hidden="1">
      <c r="A378" s="289">
        <f t="shared" si="48"/>
        <v>376</v>
      </c>
      <c r="B378" s="284">
        <v>45843</v>
      </c>
      <c r="C378" s="245" t="str">
        <f t="shared" si="51"/>
        <v>MP0376</v>
      </c>
      <c r="D378" s="246" t="s">
        <v>847</v>
      </c>
      <c r="E378" s="247">
        <v>1200</v>
      </c>
      <c r="F378" s="247">
        <v>140</v>
      </c>
      <c r="G378" s="247">
        <v>13.5</v>
      </c>
      <c r="H378" s="246">
        <f t="shared" si="49"/>
        <v>16200</v>
      </c>
      <c r="I378" s="246" t="s">
        <v>269</v>
      </c>
      <c r="J378" s="246" t="s">
        <v>265</v>
      </c>
      <c r="K378" s="246" t="s">
        <v>683</v>
      </c>
      <c r="L378" s="248">
        <v>840</v>
      </c>
      <c r="M378" s="249"/>
      <c r="N378" s="246"/>
      <c r="O378" s="246" t="s">
        <v>55</v>
      </c>
      <c r="P378" s="328">
        <v>45870</v>
      </c>
      <c r="Q378" s="327">
        <f t="shared" ca="1" si="54"/>
        <v>255</v>
      </c>
    </row>
    <row r="379" spans="1:17" s="245" customFormat="1" hidden="1">
      <c r="A379" s="289">
        <f t="shared" si="48"/>
        <v>377</v>
      </c>
      <c r="B379" s="284">
        <v>45843</v>
      </c>
      <c r="C379" s="245" t="str">
        <f t="shared" si="51"/>
        <v>MP0377</v>
      </c>
      <c r="D379" s="246" t="s">
        <v>685</v>
      </c>
      <c r="E379" s="247">
        <v>1200</v>
      </c>
      <c r="F379" s="247">
        <v>165</v>
      </c>
      <c r="G379" s="247">
        <v>13.5</v>
      </c>
      <c r="H379" s="246">
        <f t="shared" si="49"/>
        <v>16200</v>
      </c>
      <c r="I379" s="246" t="s">
        <v>269</v>
      </c>
      <c r="J379" s="246" t="s">
        <v>265</v>
      </c>
      <c r="K379" s="246" t="s">
        <v>683</v>
      </c>
      <c r="L379" s="248"/>
      <c r="M379" s="249"/>
      <c r="N379" s="246"/>
      <c r="O379" s="246" t="s">
        <v>55</v>
      </c>
      <c r="P379" s="328">
        <v>45870</v>
      </c>
      <c r="Q379" s="327">
        <f t="shared" ca="1" si="54"/>
        <v>255</v>
      </c>
    </row>
    <row r="380" spans="1:17" s="245" customFormat="1" hidden="1">
      <c r="A380" s="289">
        <f t="shared" si="48"/>
        <v>378</v>
      </c>
      <c r="B380" s="284">
        <v>45843</v>
      </c>
      <c r="C380" s="245" t="str">
        <f t="shared" si="51"/>
        <v>MP0378</v>
      </c>
      <c r="D380" s="277" t="s">
        <v>361</v>
      </c>
      <c r="E380" s="337">
        <v>500</v>
      </c>
      <c r="F380" s="337">
        <v>1470</v>
      </c>
      <c r="G380" s="348">
        <v>152</v>
      </c>
      <c r="H380" s="277">
        <f>IF(G380="","",E380*G380)</f>
        <v>76000</v>
      </c>
      <c r="I380" s="277" t="s">
        <v>125</v>
      </c>
      <c r="J380" s="277" t="s">
        <v>87</v>
      </c>
      <c r="K380" s="277" t="s">
        <v>2</v>
      </c>
      <c r="L380" s="338">
        <v>485</v>
      </c>
      <c r="M380" s="279"/>
      <c r="N380" s="246"/>
      <c r="O380" s="246" t="s">
        <v>55</v>
      </c>
      <c r="P380" s="328">
        <v>45877</v>
      </c>
      <c r="Q380" s="327">
        <f t="shared" ref="Q380:Q386" ca="1" si="55">TODAY()-P380</f>
        <v>248</v>
      </c>
    </row>
    <row r="381" spans="1:17" s="245" customFormat="1" hidden="1">
      <c r="A381" s="289">
        <f t="shared" si="48"/>
        <v>379</v>
      </c>
      <c r="B381" s="284">
        <v>45843</v>
      </c>
      <c r="C381" s="245" t="str">
        <f t="shared" si="51"/>
        <v>MP0379</v>
      </c>
      <c r="D381" s="245" t="s">
        <v>1120</v>
      </c>
      <c r="E381" s="289">
        <v>300</v>
      </c>
      <c r="F381" s="289">
        <v>680</v>
      </c>
      <c r="G381" s="289">
        <v>200</v>
      </c>
      <c r="H381" s="246">
        <f t="shared" si="49"/>
        <v>60000</v>
      </c>
      <c r="I381" s="245" t="s">
        <v>1121</v>
      </c>
      <c r="K381" s="245" t="s">
        <v>1122</v>
      </c>
      <c r="L381" s="289"/>
      <c r="M381" s="245" t="s">
        <v>1123</v>
      </c>
      <c r="O381" s="245" t="s">
        <v>55</v>
      </c>
      <c r="P381" s="328">
        <v>45926</v>
      </c>
      <c r="Q381" s="327">
        <f t="shared" ca="1" si="55"/>
        <v>199</v>
      </c>
    </row>
    <row r="382" spans="1:17" s="245" customFormat="1" hidden="1">
      <c r="A382" s="289">
        <f t="shared" si="48"/>
        <v>380</v>
      </c>
      <c r="B382" s="284">
        <v>45843</v>
      </c>
      <c r="C382" s="245" t="str">
        <f t="shared" si="51"/>
        <v>MP0380</v>
      </c>
      <c r="D382" s="245" t="s">
        <v>1124</v>
      </c>
      <c r="E382" s="289">
        <v>3000</v>
      </c>
      <c r="F382" s="289">
        <v>126</v>
      </c>
      <c r="G382" s="289">
        <v>9.5</v>
      </c>
      <c r="H382" s="246">
        <f t="shared" si="49"/>
        <v>28500</v>
      </c>
      <c r="I382" s="245" t="s">
        <v>1125</v>
      </c>
      <c r="J382" s="245" t="s">
        <v>1126</v>
      </c>
      <c r="K382" s="245" t="s">
        <v>20</v>
      </c>
      <c r="L382" s="289"/>
      <c r="M382" s="245" t="s">
        <v>1127</v>
      </c>
      <c r="O382" s="245" t="s">
        <v>55</v>
      </c>
      <c r="P382" s="328">
        <v>45847</v>
      </c>
      <c r="Q382" s="327">
        <f t="shared" ca="1" si="55"/>
        <v>278</v>
      </c>
    </row>
    <row r="383" spans="1:17" s="245" customFormat="1" hidden="1">
      <c r="A383" s="289">
        <f t="shared" si="48"/>
        <v>381</v>
      </c>
      <c r="B383" s="284">
        <v>45843</v>
      </c>
      <c r="C383" s="245" t="str">
        <f t="shared" si="51"/>
        <v>MP0381</v>
      </c>
      <c r="D383" s="245" t="s">
        <v>1128</v>
      </c>
      <c r="E383" s="289">
        <v>500</v>
      </c>
      <c r="F383" s="289">
        <v>2000</v>
      </c>
      <c r="G383" s="289">
        <v>410</v>
      </c>
      <c r="H383" s="246">
        <f t="shared" si="49"/>
        <v>205000</v>
      </c>
      <c r="I383" s="245" t="s">
        <v>1129</v>
      </c>
      <c r="K383" s="245" t="s">
        <v>7</v>
      </c>
      <c r="L383" s="289"/>
      <c r="M383" s="245" t="s">
        <v>1130</v>
      </c>
      <c r="N383" s="214" t="s">
        <v>620</v>
      </c>
      <c r="O383" s="245" t="s">
        <v>55</v>
      </c>
      <c r="P383" s="328">
        <v>45888</v>
      </c>
      <c r="Q383" s="327">
        <f t="shared" ca="1" si="55"/>
        <v>237</v>
      </c>
    </row>
    <row r="384" spans="1:17" s="245" customFormat="1" hidden="1">
      <c r="A384" s="289">
        <f t="shared" si="48"/>
        <v>382</v>
      </c>
      <c r="B384" s="284">
        <v>45843</v>
      </c>
      <c r="C384" s="245" t="str">
        <f t="shared" si="51"/>
        <v>MP0382</v>
      </c>
      <c r="D384" s="245" t="s">
        <v>1131</v>
      </c>
      <c r="E384" s="289">
        <v>500</v>
      </c>
      <c r="F384" s="289">
        <v>89</v>
      </c>
      <c r="G384" s="289">
        <v>70</v>
      </c>
      <c r="H384" s="246">
        <f t="shared" si="49"/>
        <v>35000</v>
      </c>
      <c r="I384" s="245" t="s">
        <v>1132</v>
      </c>
      <c r="K384" s="245" t="s">
        <v>4</v>
      </c>
      <c r="L384" s="289"/>
      <c r="M384" s="245" t="s">
        <v>1133</v>
      </c>
      <c r="O384" s="245" t="s">
        <v>55</v>
      </c>
      <c r="P384" s="328">
        <v>45901</v>
      </c>
      <c r="Q384" s="327">
        <f t="shared" ca="1" si="55"/>
        <v>224</v>
      </c>
    </row>
    <row r="385" spans="1:17" s="245" customFormat="1" hidden="1">
      <c r="A385" s="289">
        <f t="shared" si="48"/>
        <v>383</v>
      </c>
      <c r="B385" s="284">
        <v>45843</v>
      </c>
      <c r="C385" s="245" t="str">
        <f t="shared" si="51"/>
        <v>MP0383</v>
      </c>
      <c r="D385" s="245" t="s">
        <v>1089</v>
      </c>
      <c r="E385" s="289">
        <v>2000</v>
      </c>
      <c r="F385" s="289">
        <v>480</v>
      </c>
      <c r="G385" s="289">
        <v>45</v>
      </c>
      <c r="H385" s="246">
        <f t="shared" ref="H385:H386" si="56">IF(G385="","",E385*G385)</f>
        <v>90000</v>
      </c>
      <c r="I385" s="245" t="s">
        <v>947</v>
      </c>
      <c r="J385" s="245" t="s">
        <v>634</v>
      </c>
      <c r="K385" s="245" t="s">
        <v>1134</v>
      </c>
      <c r="L385" s="289">
        <v>2025</v>
      </c>
      <c r="M385" s="245" t="s">
        <v>1135</v>
      </c>
      <c r="O385" s="245" t="s">
        <v>55</v>
      </c>
      <c r="P385" s="328">
        <v>45874</v>
      </c>
      <c r="Q385" s="327">
        <f t="shared" ca="1" si="55"/>
        <v>251</v>
      </c>
    </row>
    <row r="386" spans="1:17" s="245" customFormat="1" hidden="1">
      <c r="A386" s="289">
        <f t="shared" si="48"/>
        <v>384</v>
      </c>
      <c r="B386" s="284">
        <v>45843</v>
      </c>
      <c r="C386" s="245" t="str">
        <f t="shared" si="51"/>
        <v>MP0384</v>
      </c>
      <c r="D386" s="245" t="s">
        <v>913</v>
      </c>
      <c r="E386" s="289">
        <v>3000</v>
      </c>
      <c r="F386" s="289">
        <v>110</v>
      </c>
      <c r="G386" s="289">
        <v>9</v>
      </c>
      <c r="H386" s="246">
        <f t="shared" si="56"/>
        <v>27000</v>
      </c>
      <c r="I386" s="245" t="s">
        <v>1104</v>
      </c>
      <c r="J386" s="245" t="s">
        <v>844</v>
      </c>
      <c r="K386" s="245" t="s">
        <v>1134</v>
      </c>
      <c r="L386" s="289"/>
      <c r="O386" s="245" t="s">
        <v>55</v>
      </c>
      <c r="P386" s="328">
        <v>45966</v>
      </c>
      <c r="Q386" s="327">
        <f t="shared" ca="1" si="55"/>
        <v>159</v>
      </c>
    </row>
    <row r="387" spans="1:17" s="245" customFormat="1" hidden="1">
      <c r="A387" s="289">
        <f t="shared" ref="A387" si="57">IF(B387="","",ROW()-2)</f>
        <v>385</v>
      </c>
      <c r="B387" s="284">
        <v>45843</v>
      </c>
      <c r="C387" s="245" t="str">
        <f t="shared" ref="C387" si="58">IF(B387="","",_xlfn.CONCAT("MP0",A387))</f>
        <v>MP0385</v>
      </c>
      <c r="D387" s="245" t="s">
        <v>1136</v>
      </c>
      <c r="E387" s="289">
        <v>3000</v>
      </c>
      <c r="F387" s="289">
        <v>126</v>
      </c>
      <c r="G387" s="289">
        <v>9.5</v>
      </c>
      <c r="H387" s="246">
        <f t="shared" ref="H387:H388" si="59">IF(G387="","",E387*G387)</f>
        <v>28500</v>
      </c>
      <c r="I387" s="245" t="s">
        <v>1125</v>
      </c>
      <c r="J387" s="245" t="s">
        <v>844</v>
      </c>
      <c r="K387" s="245" t="s">
        <v>20</v>
      </c>
      <c r="L387" s="289"/>
      <c r="M387" s="245" t="s">
        <v>1135</v>
      </c>
      <c r="O387" s="245" t="s">
        <v>55</v>
      </c>
      <c r="P387" s="328">
        <v>45901</v>
      </c>
      <c r="Q387" s="327">
        <f t="shared" ref="Q387:Q450" ca="1" si="60">TODAY()-P387</f>
        <v>224</v>
      </c>
    </row>
    <row r="388" spans="1:17" s="245" customFormat="1" hidden="1">
      <c r="A388" s="289">
        <f t="shared" si="48"/>
        <v>386</v>
      </c>
      <c r="B388" s="284">
        <v>45846</v>
      </c>
      <c r="C388" s="245" t="str">
        <f t="shared" si="51"/>
        <v>MP0386</v>
      </c>
      <c r="D388" s="246" t="s">
        <v>124</v>
      </c>
      <c r="E388" s="247">
        <v>500</v>
      </c>
      <c r="F388" s="247">
        <v>2500</v>
      </c>
      <c r="G388" s="247">
        <v>150</v>
      </c>
      <c r="H388" s="246">
        <f t="shared" si="59"/>
        <v>75000</v>
      </c>
      <c r="I388" s="246" t="s">
        <v>125</v>
      </c>
      <c r="J388" s="246" t="s">
        <v>113</v>
      </c>
      <c r="K388" s="246" t="s">
        <v>9</v>
      </c>
      <c r="L388" s="248">
        <v>366</v>
      </c>
      <c r="M388" s="249" t="s">
        <v>1137</v>
      </c>
      <c r="N388" s="246" t="s">
        <v>54</v>
      </c>
      <c r="O388" s="246" t="s">
        <v>55</v>
      </c>
      <c r="P388" s="328">
        <v>45846</v>
      </c>
      <c r="Q388" s="327">
        <f t="shared" ca="1" si="60"/>
        <v>279</v>
      </c>
    </row>
    <row r="389" spans="1:17" s="245" customFormat="1" hidden="1">
      <c r="A389" s="289">
        <f t="shared" ref="A389:A452" si="61">IF(B389="","",ROW()-2)</f>
        <v>387</v>
      </c>
      <c r="B389" s="284">
        <v>45846</v>
      </c>
      <c r="C389" s="245" t="str">
        <f t="shared" si="51"/>
        <v>MP0387</v>
      </c>
      <c r="D389" s="317" t="s">
        <v>1138</v>
      </c>
      <c r="E389" s="289">
        <v>250</v>
      </c>
      <c r="F389" s="289">
        <v>2650</v>
      </c>
      <c r="G389" s="289">
        <v>155</v>
      </c>
      <c r="H389" s="246">
        <f t="shared" si="49"/>
        <v>38750</v>
      </c>
      <c r="I389" s="246" t="s">
        <v>125</v>
      </c>
      <c r="J389" s="246" t="s">
        <v>113</v>
      </c>
      <c r="K389" s="246" t="s">
        <v>9</v>
      </c>
      <c r="L389" s="289"/>
      <c r="M389" s="245" t="s">
        <v>1139</v>
      </c>
      <c r="O389" s="246" t="s">
        <v>55</v>
      </c>
      <c r="P389" s="328">
        <v>45901</v>
      </c>
      <c r="Q389" s="327">
        <f t="shared" ca="1" si="60"/>
        <v>224</v>
      </c>
    </row>
    <row r="390" spans="1:17" s="245" customFormat="1" hidden="1">
      <c r="A390" s="289">
        <f t="shared" si="61"/>
        <v>388</v>
      </c>
      <c r="B390" s="284">
        <v>45846</v>
      </c>
      <c r="C390" s="245" t="str">
        <f t="shared" si="51"/>
        <v>MP0388</v>
      </c>
      <c r="D390" s="317" t="s">
        <v>1140</v>
      </c>
      <c r="E390" s="289">
        <v>300</v>
      </c>
      <c r="F390" s="289" t="s">
        <v>1141</v>
      </c>
      <c r="G390" s="289">
        <v>135</v>
      </c>
      <c r="H390" s="246">
        <f t="shared" ref="H390:H416" si="62">IF(G390="","",E390*G390)</f>
        <v>40500</v>
      </c>
      <c r="I390" s="245" t="s">
        <v>1132</v>
      </c>
      <c r="K390" s="246" t="s">
        <v>9</v>
      </c>
      <c r="L390" s="289"/>
      <c r="O390" s="246" t="s">
        <v>55</v>
      </c>
      <c r="P390" s="328">
        <v>46011</v>
      </c>
      <c r="Q390" s="327">
        <f t="shared" ca="1" si="60"/>
        <v>114</v>
      </c>
    </row>
    <row r="391" spans="1:17" s="245" customFormat="1" hidden="1">
      <c r="A391" s="289">
        <f t="shared" si="61"/>
        <v>389</v>
      </c>
      <c r="B391" s="284">
        <v>45846</v>
      </c>
      <c r="C391" s="245" t="str">
        <f t="shared" si="51"/>
        <v>MP0389</v>
      </c>
      <c r="D391" s="317" t="s">
        <v>1142</v>
      </c>
      <c r="E391" s="289">
        <v>300</v>
      </c>
      <c r="F391" s="289" t="s">
        <v>1143</v>
      </c>
      <c r="G391" s="289">
        <v>80</v>
      </c>
      <c r="H391" s="246">
        <f t="shared" si="62"/>
        <v>24000</v>
      </c>
      <c r="I391" s="245" t="s">
        <v>1132</v>
      </c>
      <c r="K391" s="246" t="s">
        <v>9</v>
      </c>
      <c r="L391" s="289"/>
      <c r="M391" s="245" t="s">
        <v>1135</v>
      </c>
      <c r="O391" s="246" t="s">
        <v>55</v>
      </c>
      <c r="P391" s="328">
        <v>45855</v>
      </c>
      <c r="Q391" s="327">
        <f t="shared" ca="1" si="60"/>
        <v>270</v>
      </c>
    </row>
    <row r="392" spans="1:17" s="245" customFormat="1" hidden="1">
      <c r="A392" s="289">
        <f t="shared" si="61"/>
        <v>390</v>
      </c>
      <c r="B392" s="284">
        <v>45846</v>
      </c>
      <c r="C392" s="245" t="str">
        <f t="shared" si="51"/>
        <v>MP0390</v>
      </c>
      <c r="D392" s="317" t="s">
        <v>1144</v>
      </c>
      <c r="E392" s="289">
        <v>200</v>
      </c>
      <c r="F392" s="289" t="s">
        <v>1145</v>
      </c>
      <c r="G392" s="289">
        <v>220</v>
      </c>
      <c r="H392" s="246">
        <f t="shared" si="62"/>
        <v>44000</v>
      </c>
      <c r="I392" s="245" t="s">
        <v>1146</v>
      </c>
      <c r="K392" s="246" t="s">
        <v>9</v>
      </c>
      <c r="L392" s="289"/>
      <c r="M392" s="245" t="s">
        <v>1135</v>
      </c>
      <c r="O392" s="246" t="s">
        <v>55</v>
      </c>
      <c r="P392" s="328">
        <v>45901</v>
      </c>
      <c r="Q392" s="327">
        <f t="shared" ca="1" si="60"/>
        <v>224</v>
      </c>
    </row>
    <row r="393" spans="1:17" s="250" customFormat="1" hidden="1">
      <c r="A393" s="270">
        <f t="shared" si="61"/>
        <v>391</v>
      </c>
      <c r="B393" s="296">
        <v>45846</v>
      </c>
      <c r="C393" s="250" t="str">
        <f t="shared" si="51"/>
        <v>MP0391</v>
      </c>
      <c r="D393" s="250" t="s">
        <v>1147</v>
      </c>
      <c r="E393" s="270"/>
      <c r="F393" s="270"/>
      <c r="G393" s="270"/>
      <c r="H393" s="252">
        <v>0</v>
      </c>
      <c r="K393" s="252"/>
      <c r="L393" s="270"/>
      <c r="M393" s="250" t="s">
        <v>1148</v>
      </c>
      <c r="O393" s="250" t="s">
        <v>370</v>
      </c>
      <c r="P393" s="316">
        <v>45846</v>
      </c>
      <c r="Q393" s="309">
        <f t="shared" ca="1" si="60"/>
        <v>279</v>
      </c>
    </row>
    <row r="394" spans="1:17" s="245" customFormat="1" hidden="1">
      <c r="A394" s="289">
        <f t="shared" si="61"/>
        <v>392</v>
      </c>
      <c r="B394" s="284">
        <v>45846</v>
      </c>
      <c r="C394" s="245" t="str">
        <f t="shared" si="51"/>
        <v>MP0392</v>
      </c>
      <c r="D394" s="245" t="s">
        <v>1149</v>
      </c>
      <c r="E394" s="289">
        <v>500</v>
      </c>
      <c r="F394" s="289" t="s">
        <v>1150</v>
      </c>
      <c r="G394" s="289">
        <v>55</v>
      </c>
      <c r="H394" s="246">
        <f t="shared" si="62"/>
        <v>27500</v>
      </c>
      <c r="I394" s="245" t="s">
        <v>617</v>
      </c>
      <c r="K394" s="246" t="s">
        <v>1042</v>
      </c>
      <c r="L394" s="289"/>
      <c r="O394" s="245" t="s">
        <v>55</v>
      </c>
      <c r="P394" s="328">
        <v>45870</v>
      </c>
      <c r="Q394" s="327">
        <f t="shared" ca="1" si="60"/>
        <v>255</v>
      </c>
    </row>
    <row r="395" spans="1:17" s="245" customFormat="1">
      <c r="A395" s="289">
        <f t="shared" si="61"/>
        <v>393</v>
      </c>
      <c r="B395" s="284">
        <v>45846</v>
      </c>
      <c r="C395" s="245" t="str">
        <f t="shared" si="51"/>
        <v>MP0393</v>
      </c>
      <c r="D395" s="245" t="s">
        <v>1151</v>
      </c>
      <c r="E395" s="289">
        <v>200</v>
      </c>
      <c r="F395" s="289">
        <v>195</v>
      </c>
      <c r="G395" s="289">
        <v>270</v>
      </c>
      <c r="H395" s="246">
        <f t="shared" si="62"/>
        <v>54000</v>
      </c>
      <c r="I395" s="245" t="s">
        <v>1152</v>
      </c>
      <c r="K395" s="245" t="s">
        <v>4</v>
      </c>
      <c r="L395" s="289"/>
      <c r="M395" s="245" t="s">
        <v>1153</v>
      </c>
      <c r="O395" s="245" t="s">
        <v>55</v>
      </c>
      <c r="P395" s="328">
        <v>45870</v>
      </c>
      <c r="Q395" s="327">
        <f t="shared" ca="1" si="60"/>
        <v>255</v>
      </c>
    </row>
    <row r="396" spans="1:17" s="245" customFormat="1" hidden="1">
      <c r="A396" s="289">
        <f t="shared" si="61"/>
        <v>394</v>
      </c>
      <c r="B396" s="284">
        <v>45846</v>
      </c>
      <c r="C396" s="245" t="str">
        <f t="shared" si="51"/>
        <v>MP0394</v>
      </c>
      <c r="D396" s="190" t="s">
        <v>792</v>
      </c>
      <c r="E396" s="289">
        <v>500</v>
      </c>
      <c r="F396" s="289" t="s">
        <v>231</v>
      </c>
      <c r="G396" s="289">
        <v>390</v>
      </c>
      <c r="H396" s="246">
        <f t="shared" si="62"/>
        <v>195000</v>
      </c>
      <c r="I396" s="245" t="s">
        <v>1109</v>
      </c>
      <c r="K396" s="245" t="s">
        <v>7</v>
      </c>
      <c r="L396" s="289"/>
      <c r="M396" s="245">
        <v>495</v>
      </c>
      <c r="O396" s="245" t="s">
        <v>55</v>
      </c>
      <c r="P396" s="328">
        <v>45867</v>
      </c>
      <c r="Q396" s="327">
        <f t="shared" ca="1" si="60"/>
        <v>258</v>
      </c>
    </row>
    <row r="397" spans="1:17" s="245" customFormat="1" hidden="1">
      <c r="A397" s="289">
        <f t="shared" si="61"/>
        <v>395</v>
      </c>
      <c r="B397" s="284">
        <v>45875</v>
      </c>
      <c r="C397" s="245" t="str">
        <f t="shared" si="51"/>
        <v>MP0395</v>
      </c>
      <c r="D397" s="245" t="s">
        <v>1154</v>
      </c>
      <c r="E397" s="289">
        <v>300</v>
      </c>
      <c r="F397" s="289">
        <v>115</v>
      </c>
      <c r="G397" s="289">
        <v>80</v>
      </c>
      <c r="H397" s="246">
        <f t="shared" si="62"/>
        <v>24000</v>
      </c>
      <c r="I397" s="245" t="s">
        <v>1155</v>
      </c>
      <c r="K397" s="245" t="s">
        <v>1156</v>
      </c>
      <c r="L397" s="289"/>
      <c r="O397" s="245" t="s">
        <v>55</v>
      </c>
      <c r="P397" s="328">
        <v>45973</v>
      </c>
      <c r="Q397" s="327">
        <f t="shared" ca="1" si="60"/>
        <v>152</v>
      </c>
    </row>
    <row r="398" spans="1:17" s="245" customFormat="1" hidden="1">
      <c r="A398" s="289">
        <f t="shared" si="61"/>
        <v>396</v>
      </c>
      <c r="B398" s="284">
        <v>45846</v>
      </c>
      <c r="C398" s="245" t="str">
        <f t="shared" si="51"/>
        <v>MP0396</v>
      </c>
      <c r="D398" s="246" t="s">
        <v>1157</v>
      </c>
      <c r="E398" s="247">
        <v>1200</v>
      </c>
      <c r="F398" s="247">
        <v>80</v>
      </c>
      <c r="G398" s="247">
        <v>9</v>
      </c>
      <c r="H398" s="246">
        <f t="shared" si="62"/>
        <v>10800</v>
      </c>
      <c r="I398" s="245" t="s">
        <v>1158</v>
      </c>
      <c r="J398" s="246" t="s">
        <v>265</v>
      </c>
      <c r="K398" s="246" t="s">
        <v>683</v>
      </c>
      <c r="L398" s="248"/>
      <c r="N398" s="246"/>
      <c r="O398" s="246" t="s">
        <v>55</v>
      </c>
      <c r="P398" s="328">
        <v>45901</v>
      </c>
      <c r="Q398" s="327">
        <f t="shared" ca="1" si="60"/>
        <v>224</v>
      </c>
    </row>
    <row r="399" spans="1:17" s="245" customFormat="1" hidden="1">
      <c r="A399" s="289">
        <f t="shared" si="61"/>
        <v>397</v>
      </c>
      <c r="B399" s="284">
        <v>45846</v>
      </c>
      <c r="C399" s="245" t="str">
        <f t="shared" si="51"/>
        <v>MP0397</v>
      </c>
      <c r="D399" s="245" t="s">
        <v>1159</v>
      </c>
      <c r="E399" s="289">
        <v>1200</v>
      </c>
      <c r="F399" s="289">
        <v>180</v>
      </c>
      <c r="G399" s="289">
        <v>13</v>
      </c>
      <c r="H399" s="246">
        <f t="shared" si="62"/>
        <v>15600</v>
      </c>
      <c r="I399" s="245" t="s">
        <v>1160</v>
      </c>
      <c r="J399" s="245" t="s">
        <v>930</v>
      </c>
      <c r="K399" s="245" t="s">
        <v>20</v>
      </c>
      <c r="L399" s="289"/>
      <c r="M399" s="245" t="s">
        <v>1161</v>
      </c>
      <c r="O399" s="245" t="s">
        <v>55</v>
      </c>
      <c r="P399" s="328">
        <v>45870</v>
      </c>
      <c r="Q399" s="327">
        <f t="shared" ca="1" si="60"/>
        <v>255</v>
      </c>
    </row>
    <row r="400" spans="1:17" s="245" customFormat="1" hidden="1">
      <c r="A400" s="289">
        <f t="shared" si="61"/>
        <v>398</v>
      </c>
      <c r="B400" s="284">
        <v>45846</v>
      </c>
      <c r="C400" s="245" t="str">
        <f t="shared" si="51"/>
        <v>MP0398</v>
      </c>
      <c r="D400" s="245" t="s">
        <v>1162</v>
      </c>
      <c r="E400" s="289">
        <v>1200</v>
      </c>
      <c r="F400" s="289">
        <v>78</v>
      </c>
      <c r="G400" s="289">
        <v>10.5</v>
      </c>
      <c r="H400" s="246">
        <f t="shared" si="62"/>
        <v>12600</v>
      </c>
      <c r="I400" s="245" t="s">
        <v>1158</v>
      </c>
      <c r="J400" s="245" t="s">
        <v>930</v>
      </c>
      <c r="K400" s="245" t="s">
        <v>20</v>
      </c>
      <c r="L400" s="289"/>
      <c r="M400" s="245" t="s">
        <v>1163</v>
      </c>
      <c r="O400" s="245" t="s">
        <v>55</v>
      </c>
      <c r="P400" s="328">
        <v>45870</v>
      </c>
      <c r="Q400" s="327">
        <f t="shared" ca="1" si="60"/>
        <v>255</v>
      </c>
    </row>
    <row r="401" spans="1:18" s="245" customFormat="1" hidden="1">
      <c r="A401" s="289">
        <f t="shared" si="61"/>
        <v>399</v>
      </c>
      <c r="B401" s="284">
        <v>45846</v>
      </c>
      <c r="C401" s="245" t="str">
        <f t="shared" si="51"/>
        <v>MP0399</v>
      </c>
      <c r="D401" s="245" t="s">
        <v>1164</v>
      </c>
      <c r="E401" s="289">
        <v>1200</v>
      </c>
      <c r="F401" s="289">
        <v>90</v>
      </c>
      <c r="G401" s="289">
        <v>9</v>
      </c>
      <c r="H401" s="246">
        <f t="shared" si="62"/>
        <v>10800</v>
      </c>
      <c r="I401" s="245" t="s">
        <v>1158</v>
      </c>
      <c r="J401" s="245" t="s">
        <v>930</v>
      </c>
      <c r="K401" s="245" t="s">
        <v>20</v>
      </c>
      <c r="L401" s="289"/>
      <c r="M401" s="245" t="s">
        <v>1161</v>
      </c>
      <c r="O401" s="245" t="s">
        <v>55</v>
      </c>
      <c r="P401" s="328">
        <v>45847</v>
      </c>
      <c r="Q401" s="327">
        <f t="shared" ca="1" si="60"/>
        <v>278</v>
      </c>
    </row>
    <row r="402" spans="1:18" s="245" customFormat="1" hidden="1">
      <c r="A402" s="289">
        <f t="shared" si="61"/>
        <v>400</v>
      </c>
      <c r="B402" s="284">
        <v>45846</v>
      </c>
      <c r="C402" s="245" t="str">
        <f t="shared" si="51"/>
        <v>MP0400</v>
      </c>
      <c r="D402" s="245" t="s">
        <v>1165</v>
      </c>
      <c r="E402" s="289">
        <v>1200</v>
      </c>
      <c r="F402" s="289">
        <v>80</v>
      </c>
      <c r="G402" s="289">
        <v>9</v>
      </c>
      <c r="H402" s="246">
        <f t="shared" si="62"/>
        <v>10800</v>
      </c>
      <c r="I402" s="245" t="s">
        <v>1158</v>
      </c>
      <c r="J402" s="245" t="s">
        <v>930</v>
      </c>
      <c r="K402" s="245" t="s">
        <v>20</v>
      </c>
      <c r="L402" s="289"/>
      <c r="M402" s="245" t="s">
        <v>1163</v>
      </c>
      <c r="O402" s="245" t="s">
        <v>55</v>
      </c>
      <c r="P402" s="326">
        <v>45918</v>
      </c>
      <c r="Q402" s="327">
        <f t="shared" ca="1" si="60"/>
        <v>207</v>
      </c>
    </row>
    <row r="403" spans="1:18" s="245" customFormat="1" hidden="1">
      <c r="A403" s="289">
        <f t="shared" si="61"/>
        <v>401</v>
      </c>
      <c r="B403" s="284">
        <v>45846</v>
      </c>
      <c r="C403" s="245" t="str">
        <f t="shared" si="51"/>
        <v>MP0401</v>
      </c>
      <c r="D403" s="245" t="s">
        <v>147</v>
      </c>
      <c r="E403" s="289">
        <v>500</v>
      </c>
      <c r="F403" s="289">
        <v>1750</v>
      </c>
      <c r="G403" s="289">
        <v>144</v>
      </c>
      <c r="H403" s="246">
        <f t="shared" si="62"/>
        <v>72000</v>
      </c>
      <c r="I403" s="245" t="s">
        <v>66</v>
      </c>
      <c r="J403" s="245" t="s">
        <v>87</v>
      </c>
      <c r="K403" s="245" t="s">
        <v>15</v>
      </c>
      <c r="L403" s="289"/>
      <c r="N403" s="245" t="s">
        <v>76</v>
      </c>
      <c r="O403" s="245" t="s">
        <v>55</v>
      </c>
      <c r="P403" s="326">
        <v>45848</v>
      </c>
      <c r="Q403" s="327">
        <f t="shared" ca="1" si="60"/>
        <v>277</v>
      </c>
    </row>
    <row r="404" spans="1:18" s="245" customFormat="1" hidden="1">
      <c r="A404" s="289">
        <f t="shared" si="61"/>
        <v>402</v>
      </c>
      <c r="B404" s="284">
        <v>45852</v>
      </c>
      <c r="C404" s="245" t="str">
        <f t="shared" si="51"/>
        <v>MP0402</v>
      </c>
      <c r="D404" s="245" t="s">
        <v>1019</v>
      </c>
      <c r="E404" s="289">
        <v>5000</v>
      </c>
      <c r="F404" s="289">
        <v>320</v>
      </c>
      <c r="G404" s="289">
        <v>30</v>
      </c>
      <c r="H404" s="246">
        <f t="shared" si="62"/>
        <v>150000</v>
      </c>
      <c r="I404" s="245" t="s">
        <v>1020</v>
      </c>
      <c r="J404" s="245" t="s">
        <v>782</v>
      </c>
      <c r="K404" s="245" t="s">
        <v>24</v>
      </c>
      <c r="L404" s="289"/>
      <c r="M404" s="245" t="s">
        <v>1024</v>
      </c>
      <c r="O404" s="245" t="s">
        <v>55</v>
      </c>
      <c r="P404" s="326">
        <v>45852</v>
      </c>
      <c r="Q404" s="329">
        <f t="shared" ca="1" si="60"/>
        <v>273</v>
      </c>
    </row>
    <row r="405" spans="1:18" s="245" customFormat="1" hidden="1">
      <c r="A405" s="289">
        <f t="shared" si="61"/>
        <v>403</v>
      </c>
      <c r="B405" s="284">
        <v>45852</v>
      </c>
      <c r="C405" s="245" t="str">
        <f t="shared" si="51"/>
        <v>MP0403</v>
      </c>
      <c r="D405" s="246" t="s">
        <v>151</v>
      </c>
      <c r="E405" s="247">
        <v>300</v>
      </c>
      <c r="F405" s="247">
        <v>2450</v>
      </c>
      <c r="G405" s="247">
        <v>230</v>
      </c>
      <c r="H405" s="246">
        <f t="shared" si="62"/>
        <v>69000</v>
      </c>
      <c r="I405" s="246" t="s">
        <v>152</v>
      </c>
      <c r="J405" s="246" t="s">
        <v>60</v>
      </c>
      <c r="K405" s="246" t="s">
        <v>4</v>
      </c>
      <c r="L405" s="248"/>
      <c r="M405" s="249"/>
      <c r="N405" s="246"/>
      <c r="O405" s="245" t="s">
        <v>55</v>
      </c>
      <c r="P405" s="326">
        <v>45852</v>
      </c>
      <c r="Q405" s="327">
        <f t="shared" ca="1" si="60"/>
        <v>273</v>
      </c>
    </row>
    <row r="406" spans="1:18" s="245" customFormat="1" hidden="1">
      <c r="A406" s="289">
        <f t="shared" si="61"/>
        <v>404</v>
      </c>
      <c r="B406" s="284">
        <v>45852</v>
      </c>
      <c r="C406" s="245" t="str">
        <f t="shared" si="51"/>
        <v>MP0404</v>
      </c>
      <c r="D406" s="246" t="s">
        <v>357</v>
      </c>
      <c r="E406" s="247">
        <v>300</v>
      </c>
      <c r="F406" s="247">
        <v>3600</v>
      </c>
      <c r="G406" s="247">
        <v>160</v>
      </c>
      <c r="H406" s="246">
        <f t="shared" si="62"/>
        <v>48000</v>
      </c>
      <c r="I406" s="246" t="s">
        <v>358</v>
      </c>
      <c r="J406" s="246" t="s">
        <v>60</v>
      </c>
      <c r="K406" s="246" t="s">
        <v>2</v>
      </c>
      <c r="L406" s="248">
        <v>300</v>
      </c>
      <c r="M406" s="249"/>
      <c r="N406" s="246" t="s">
        <v>200</v>
      </c>
      <c r="O406" s="246" t="s">
        <v>55</v>
      </c>
      <c r="P406" s="326">
        <v>45870</v>
      </c>
      <c r="Q406" s="327">
        <f t="shared" ca="1" si="60"/>
        <v>255</v>
      </c>
    </row>
    <row r="407" spans="1:18" s="245" customFormat="1" hidden="1">
      <c r="A407" s="289">
        <f t="shared" si="61"/>
        <v>405</v>
      </c>
      <c r="B407" s="284">
        <v>45852</v>
      </c>
      <c r="C407" s="245" t="str">
        <f t="shared" si="51"/>
        <v>MP0405</v>
      </c>
      <c r="D407" s="246" t="s">
        <v>394</v>
      </c>
      <c r="E407" s="247">
        <v>2000</v>
      </c>
      <c r="F407" s="247">
        <v>115</v>
      </c>
      <c r="G407" s="278">
        <v>14.2</v>
      </c>
      <c r="H407" s="246">
        <f t="shared" si="62"/>
        <v>28400</v>
      </c>
      <c r="I407" s="246" t="s">
        <v>227</v>
      </c>
      <c r="J407" s="246" t="s">
        <v>228</v>
      </c>
      <c r="K407" s="246" t="s">
        <v>22</v>
      </c>
      <c r="L407" s="248">
        <v>2000</v>
      </c>
      <c r="M407" s="249"/>
      <c r="N407" s="246" t="s">
        <v>211</v>
      </c>
      <c r="O407" s="246" t="s">
        <v>55</v>
      </c>
      <c r="P407" s="326">
        <v>45852</v>
      </c>
      <c r="Q407" s="327">
        <f t="shared" ca="1" si="60"/>
        <v>273</v>
      </c>
    </row>
    <row r="408" spans="1:18" s="245" customFormat="1" hidden="1">
      <c r="A408" s="289">
        <f t="shared" si="61"/>
        <v>406</v>
      </c>
      <c r="B408" s="284">
        <v>45852</v>
      </c>
      <c r="C408" s="245" t="str">
        <f t="shared" si="51"/>
        <v>MP0406</v>
      </c>
      <c r="D408" s="246" t="s">
        <v>349</v>
      </c>
      <c r="E408" s="247">
        <v>100</v>
      </c>
      <c r="F408" s="247">
        <v>6800</v>
      </c>
      <c r="G408" s="247">
        <v>600</v>
      </c>
      <c r="H408" s="246">
        <f t="shared" si="62"/>
        <v>60000</v>
      </c>
      <c r="I408" s="246" t="s">
        <v>125</v>
      </c>
      <c r="J408" s="246" t="s">
        <v>60</v>
      </c>
      <c r="K408" s="246" t="s">
        <v>9</v>
      </c>
      <c r="L408" s="248"/>
      <c r="M408" s="249"/>
      <c r="N408" s="246" t="s">
        <v>200</v>
      </c>
      <c r="O408" s="246" t="s">
        <v>55</v>
      </c>
      <c r="P408" s="326">
        <v>45854</v>
      </c>
      <c r="Q408" s="329">
        <f t="shared" ca="1" si="60"/>
        <v>271</v>
      </c>
    </row>
    <row r="409" spans="1:18" s="250" customFormat="1" hidden="1">
      <c r="A409" s="270">
        <f t="shared" si="61"/>
        <v>407</v>
      </c>
      <c r="B409" s="296">
        <v>45852</v>
      </c>
      <c r="C409" s="250" t="str">
        <f t="shared" si="51"/>
        <v>MP0407</v>
      </c>
      <c r="D409" s="252" t="s">
        <v>376</v>
      </c>
      <c r="E409" s="231">
        <v>300</v>
      </c>
      <c r="F409" s="231">
        <v>1300</v>
      </c>
      <c r="G409" s="231">
        <v>90</v>
      </c>
      <c r="H409" s="252">
        <v>0</v>
      </c>
      <c r="I409" s="252" t="s">
        <v>66</v>
      </c>
      <c r="J409" s="252" t="s">
        <v>60</v>
      </c>
      <c r="K409" s="252" t="s">
        <v>19</v>
      </c>
      <c r="L409" s="241"/>
      <c r="M409" s="255" t="s">
        <v>1166</v>
      </c>
      <c r="N409" s="252" t="s">
        <v>200</v>
      </c>
      <c r="O409" s="252" t="s">
        <v>370</v>
      </c>
      <c r="P409" s="308">
        <v>45874</v>
      </c>
      <c r="Q409" s="309">
        <f t="shared" ca="1" si="60"/>
        <v>251</v>
      </c>
    </row>
    <row r="410" spans="1:18" s="245" customFormat="1" hidden="1">
      <c r="A410" s="289">
        <f t="shared" si="61"/>
        <v>408</v>
      </c>
      <c r="B410" s="284">
        <v>45852</v>
      </c>
      <c r="C410" s="245" t="str">
        <f t="shared" si="51"/>
        <v>MP0408</v>
      </c>
      <c r="D410" s="246" t="s">
        <v>559</v>
      </c>
      <c r="E410" s="247">
        <v>1400</v>
      </c>
      <c r="F410" s="247">
        <v>490</v>
      </c>
      <c r="G410" s="247">
        <v>57</v>
      </c>
      <c r="H410" s="246">
        <f t="shared" si="62"/>
        <v>79800</v>
      </c>
      <c r="I410" s="246" t="s">
        <v>560</v>
      </c>
      <c r="J410" s="246" t="s">
        <v>385</v>
      </c>
      <c r="K410" s="246" t="s">
        <v>10</v>
      </c>
      <c r="L410" s="248">
        <v>14000</v>
      </c>
      <c r="M410" s="249"/>
      <c r="N410" s="246" t="s">
        <v>133</v>
      </c>
      <c r="O410" s="246" t="s">
        <v>55</v>
      </c>
      <c r="P410" s="326">
        <v>45881</v>
      </c>
      <c r="Q410" s="327">
        <f t="shared" ca="1" si="60"/>
        <v>244</v>
      </c>
    </row>
    <row r="411" spans="1:18" s="245" customFormat="1" ht="30" hidden="1">
      <c r="A411" s="289">
        <f t="shared" si="61"/>
        <v>409</v>
      </c>
      <c r="B411" s="284">
        <v>45852</v>
      </c>
      <c r="C411" s="245" t="str">
        <f t="shared" si="51"/>
        <v>MP0409</v>
      </c>
      <c r="D411" s="246" t="s">
        <v>714</v>
      </c>
      <c r="E411" s="247">
        <v>1200</v>
      </c>
      <c r="F411" s="247">
        <v>195</v>
      </c>
      <c r="G411" s="247">
        <v>13.5</v>
      </c>
      <c r="H411" s="246">
        <f t="shared" si="62"/>
        <v>16200</v>
      </c>
      <c r="I411" s="246" t="s">
        <v>269</v>
      </c>
      <c r="J411" s="246" t="s">
        <v>265</v>
      </c>
      <c r="K411" s="246" t="s">
        <v>683</v>
      </c>
      <c r="L411" s="248"/>
      <c r="M411" s="249" t="s">
        <v>1167</v>
      </c>
      <c r="N411" s="246"/>
      <c r="O411" s="246" t="s">
        <v>55</v>
      </c>
      <c r="P411" s="328">
        <v>45887</v>
      </c>
      <c r="Q411" s="327">
        <f t="shared" ca="1" si="60"/>
        <v>238</v>
      </c>
    </row>
    <row r="412" spans="1:18" s="245" customFormat="1" hidden="1">
      <c r="A412" s="289">
        <f t="shared" si="61"/>
        <v>410</v>
      </c>
      <c r="B412" s="284">
        <v>45852</v>
      </c>
      <c r="C412" s="245" t="str">
        <f t="shared" si="51"/>
        <v>MP0410</v>
      </c>
      <c r="D412" s="249" t="s">
        <v>465</v>
      </c>
      <c r="E412" s="247">
        <v>200</v>
      </c>
      <c r="F412" s="247">
        <v>5900</v>
      </c>
      <c r="G412" s="247">
        <v>390</v>
      </c>
      <c r="H412" s="246">
        <f>IF(G412="","",E412*G412)</f>
        <v>78000</v>
      </c>
      <c r="I412" s="246" t="s">
        <v>125</v>
      </c>
      <c r="J412" s="246" t="s">
        <v>113</v>
      </c>
      <c r="K412" s="246" t="s">
        <v>9</v>
      </c>
      <c r="L412" s="248"/>
      <c r="M412" s="249"/>
      <c r="N412" s="246" t="s">
        <v>133</v>
      </c>
      <c r="O412" s="246" t="s">
        <v>55</v>
      </c>
      <c r="P412" s="328">
        <v>45901</v>
      </c>
      <c r="Q412" s="327">
        <f t="shared" ref="Q412" ca="1" si="63">TODAY()-P412</f>
        <v>224</v>
      </c>
    </row>
    <row r="413" spans="1:18" s="245" customFormat="1" ht="15.75" hidden="1">
      <c r="A413" s="289">
        <f t="shared" si="61"/>
        <v>411</v>
      </c>
      <c r="B413" s="284">
        <v>45852</v>
      </c>
      <c r="C413" s="245" t="str">
        <f t="shared" si="51"/>
        <v>MP0411</v>
      </c>
      <c r="D413" s="245" t="s">
        <v>1168</v>
      </c>
      <c r="E413" s="289">
        <v>3000</v>
      </c>
      <c r="F413" s="289">
        <v>129</v>
      </c>
      <c r="G413" s="289">
        <v>21.5</v>
      </c>
      <c r="H413" s="246">
        <f t="shared" si="62"/>
        <v>64500</v>
      </c>
      <c r="I413" s="304" t="s">
        <v>1169</v>
      </c>
      <c r="J413" s="245" t="s">
        <v>1170</v>
      </c>
      <c r="K413" s="245" t="s">
        <v>1171</v>
      </c>
      <c r="L413" s="289"/>
      <c r="M413" s="245" t="s">
        <v>1102</v>
      </c>
      <c r="O413" s="245" t="s">
        <v>55</v>
      </c>
      <c r="P413" s="326">
        <v>45901</v>
      </c>
      <c r="Q413" s="327">
        <f t="shared" ca="1" si="60"/>
        <v>224</v>
      </c>
      <c r="R413" s="339"/>
    </row>
    <row r="414" spans="1:18" s="245" customFormat="1" ht="15.75" hidden="1">
      <c r="A414" s="289">
        <f t="shared" si="61"/>
        <v>412</v>
      </c>
      <c r="B414" s="284">
        <v>45852</v>
      </c>
      <c r="C414" s="245" t="str">
        <f t="shared" si="51"/>
        <v>MP0412</v>
      </c>
      <c r="D414" s="245" t="s">
        <v>1172</v>
      </c>
      <c r="E414" s="289">
        <v>3000</v>
      </c>
      <c r="F414" s="289">
        <v>209</v>
      </c>
      <c r="G414" s="289">
        <v>31</v>
      </c>
      <c r="H414" s="246">
        <f t="shared" si="62"/>
        <v>93000</v>
      </c>
      <c r="I414" s="304" t="s">
        <v>1169</v>
      </c>
      <c r="J414" s="245" t="s">
        <v>1170</v>
      </c>
      <c r="K414" s="245" t="s">
        <v>1171</v>
      </c>
      <c r="L414" s="289"/>
      <c r="M414" s="245" t="s">
        <v>1102</v>
      </c>
      <c r="O414" s="245" t="s">
        <v>55</v>
      </c>
      <c r="P414" s="326">
        <v>45901</v>
      </c>
      <c r="Q414" s="327">
        <f t="shared" ca="1" si="60"/>
        <v>224</v>
      </c>
    </row>
    <row r="415" spans="1:18" s="245" customFormat="1" ht="15.75" hidden="1">
      <c r="A415" s="289">
        <f t="shared" si="61"/>
        <v>413</v>
      </c>
      <c r="B415" s="284">
        <v>45852</v>
      </c>
      <c r="C415" s="245" t="str">
        <f t="shared" si="51"/>
        <v>MP0413</v>
      </c>
      <c r="D415" s="245" t="s">
        <v>1173</v>
      </c>
      <c r="E415" s="289">
        <v>3000</v>
      </c>
      <c r="F415" s="289">
        <v>190</v>
      </c>
      <c r="G415" s="289">
        <v>21.5</v>
      </c>
      <c r="H415" s="246">
        <f t="shared" si="62"/>
        <v>64500</v>
      </c>
      <c r="I415" s="304" t="s">
        <v>1169</v>
      </c>
      <c r="J415" s="245" t="s">
        <v>1170</v>
      </c>
      <c r="K415" s="245" t="s">
        <v>1171</v>
      </c>
      <c r="L415" s="289"/>
      <c r="M415" s="245" t="s">
        <v>1102</v>
      </c>
      <c r="O415" s="245" t="s">
        <v>55</v>
      </c>
      <c r="P415" s="326">
        <v>45901</v>
      </c>
      <c r="Q415" s="327">
        <f t="shared" ca="1" si="60"/>
        <v>224</v>
      </c>
    </row>
    <row r="416" spans="1:18" s="245" customFormat="1" ht="15.75" hidden="1">
      <c r="A416" s="289">
        <f t="shared" si="61"/>
        <v>414</v>
      </c>
      <c r="B416" s="284">
        <v>45852</v>
      </c>
      <c r="C416" s="245" t="str">
        <f t="shared" si="51"/>
        <v>MP0414</v>
      </c>
      <c r="D416" s="245" t="s">
        <v>1174</v>
      </c>
      <c r="E416" s="289">
        <v>1000</v>
      </c>
      <c r="F416" s="289">
        <v>240</v>
      </c>
      <c r="G416" s="289">
        <v>43.5</v>
      </c>
      <c r="H416" s="246">
        <f t="shared" si="62"/>
        <v>43500</v>
      </c>
      <c r="I416" s="304" t="s">
        <v>1175</v>
      </c>
      <c r="J416" s="245" t="s">
        <v>1170</v>
      </c>
      <c r="K416" s="245" t="s">
        <v>1171</v>
      </c>
      <c r="L416" s="289"/>
      <c r="M416" s="245" t="s">
        <v>1102</v>
      </c>
      <c r="O416" s="245" t="s">
        <v>55</v>
      </c>
      <c r="P416" s="326">
        <v>45882</v>
      </c>
      <c r="Q416" s="327">
        <f t="shared" ca="1" si="60"/>
        <v>243</v>
      </c>
    </row>
    <row r="417" spans="1:17" s="250" customFormat="1" ht="30" hidden="1">
      <c r="A417" s="270">
        <f t="shared" si="61"/>
        <v>415</v>
      </c>
      <c r="B417" s="296">
        <v>45852</v>
      </c>
      <c r="C417" s="250" t="str">
        <f t="shared" si="51"/>
        <v>MP0415</v>
      </c>
      <c r="D417" s="250" t="s">
        <v>1176</v>
      </c>
      <c r="E417" s="270">
        <v>3000</v>
      </c>
      <c r="F417" s="270">
        <v>115</v>
      </c>
      <c r="G417" s="270"/>
      <c r="H417" s="252">
        <v>0</v>
      </c>
      <c r="I417" s="333" t="s">
        <v>1177</v>
      </c>
      <c r="J417" s="250" t="s">
        <v>782</v>
      </c>
      <c r="K417" s="250" t="s">
        <v>20</v>
      </c>
      <c r="L417" s="270"/>
      <c r="M417" s="250" t="s">
        <v>1178</v>
      </c>
      <c r="O417" s="250" t="s">
        <v>370</v>
      </c>
      <c r="P417" s="308">
        <v>45852</v>
      </c>
      <c r="Q417" s="309">
        <f t="shared" ca="1" si="60"/>
        <v>273</v>
      </c>
    </row>
    <row r="418" spans="1:17" s="245" customFormat="1" ht="15.75" hidden="1">
      <c r="A418" s="289">
        <f t="shared" si="61"/>
        <v>416</v>
      </c>
      <c r="B418" s="284">
        <v>45852</v>
      </c>
      <c r="C418" s="245" t="str">
        <f t="shared" si="51"/>
        <v>MP0416</v>
      </c>
      <c r="D418" s="245" t="s">
        <v>1179</v>
      </c>
      <c r="E418" s="289">
        <v>1200</v>
      </c>
      <c r="F418" s="289">
        <v>219</v>
      </c>
      <c r="G418" s="289">
        <v>26</v>
      </c>
      <c r="H418" s="246">
        <f t="shared" ref="H418:H469" si="64">IF(G418="","",E418*G418)</f>
        <v>31200</v>
      </c>
      <c r="I418" s="304" t="s">
        <v>1180</v>
      </c>
      <c r="J418" s="245" t="s">
        <v>782</v>
      </c>
      <c r="K418" s="245" t="s">
        <v>20</v>
      </c>
      <c r="L418" s="289"/>
      <c r="M418" s="245" t="s">
        <v>1181</v>
      </c>
      <c r="O418" s="245" t="s">
        <v>55</v>
      </c>
      <c r="P418" s="326">
        <v>45916</v>
      </c>
      <c r="Q418" s="327">
        <f t="shared" ca="1" si="60"/>
        <v>209</v>
      </c>
    </row>
    <row r="419" spans="1:17" s="245" customFormat="1" hidden="1">
      <c r="A419" s="289">
        <f t="shared" si="61"/>
        <v>417</v>
      </c>
      <c r="B419" s="284">
        <v>45852</v>
      </c>
      <c r="C419" s="245" t="str">
        <f t="shared" si="51"/>
        <v>MP0417</v>
      </c>
      <c r="D419" s="245" t="s">
        <v>1182</v>
      </c>
      <c r="E419" s="289">
        <v>300</v>
      </c>
      <c r="F419" s="289">
        <v>125</v>
      </c>
      <c r="G419" s="289">
        <v>72</v>
      </c>
      <c r="H419" s="246">
        <f t="shared" si="64"/>
        <v>21600</v>
      </c>
      <c r="I419" s="245" t="s">
        <v>1183</v>
      </c>
      <c r="J419" s="245" t="s">
        <v>1184</v>
      </c>
      <c r="K419" s="245" t="s">
        <v>15</v>
      </c>
      <c r="L419" s="289"/>
      <c r="O419" s="245" t="s">
        <v>55</v>
      </c>
      <c r="P419" s="326">
        <v>45870</v>
      </c>
      <c r="Q419" s="327">
        <f t="shared" ca="1" si="60"/>
        <v>255</v>
      </c>
    </row>
    <row r="420" spans="1:17" s="245" customFormat="1" hidden="1">
      <c r="A420" s="289">
        <f t="shared" si="61"/>
        <v>418</v>
      </c>
      <c r="B420" s="284">
        <v>45852</v>
      </c>
      <c r="C420" s="245" t="str">
        <f t="shared" si="51"/>
        <v>MP0418</v>
      </c>
      <c r="D420" s="245" t="s">
        <v>1185</v>
      </c>
      <c r="E420" s="289">
        <v>500</v>
      </c>
      <c r="F420" s="289">
        <v>290</v>
      </c>
      <c r="G420" s="289">
        <v>65</v>
      </c>
      <c r="H420" s="246">
        <f t="shared" si="64"/>
        <v>32500</v>
      </c>
      <c r="I420" s="245" t="s">
        <v>1186</v>
      </c>
      <c r="J420" s="245" t="s">
        <v>1184</v>
      </c>
      <c r="K420" s="245" t="s">
        <v>1187</v>
      </c>
      <c r="L420" s="289"/>
      <c r="M420" s="245" t="s">
        <v>1135</v>
      </c>
      <c r="O420" s="245" t="s">
        <v>55</v>
      </c>
      <c r="P420" s="326">
        <v>45960</v>
      </c>
      <c r="Q420" s="327">
        <f t="shared" ca="1" si="60"/>
        <v>165</v>
      </c>
    </row>
    <row r="421" spans="1:17" s="250" customFormat="1" hidden="1">
      <c r="A421" s="270">
        <f t="shared" si="61"/>
        <v>419</v>
      </c>
      <c r="B421" s="296">
        <v>45852</v>
      </c>
      <c r="C421" s="250" t="str">
        <f t="shared" si="51"/>
        <v>MP0419</v>
      </c>
      <c r="D421" s="250" t="s">
        <v>1188</v>
      </c>
      <c r="E421" s="270">
        <v>500</v>
      </c>
      <c r="F421" s="270"/>
      <c r="G421" s="270">
        <v>65</v>
      </c>
      <c r="H421" s="252">
        <v>0</v>
      </c>
      <c r="I421" s="250" t="s">
        <v>1186</v>
      </c>
      <c r="J421" s="250" t="s">
        <v>1184</v>
      </c>
      <c r="K421" s="250" t="s">
        <v>1187</v>
      </c>
      <c r="L421" s="270"/>
      <c r="M421" s="250" t="s">
        <v>1189</v>
      </c>
      <c r="O421" s="250" t="s">
        <v>370</v>
      </c>
      <c r="P421" s="308">
        <v>45852</v>
      </c>
      <c r="Q421" s="309">
        <f t="shared" ca="1" si="60"/>
        <v>273</v>
      </c>
    </row>
    <row r="422" spans="1:17" s="245" customFormat="1" hidden="1">
      <c r="A422" s="289">
        <f t="shared" si="61"/>
        <v>420</v>
      </c>
      <c r="B422" s="284">
        <v>45853</v>
      </c>
      <c r="C422" s="245" t="str">
        <f t="shared" si="51"/>
        <v>MP0420</v>
      </c>
      <c r="D422" s="246" t="s">
        <v>400</v>
      </c>
      <c r="E422" s="247">
        <v>500</v>
      </c>
      <c r="F422" s="247" t="s">
        <v>231</v>
      </c>
      <c r="G422" s="247">
        <v>265</v>
      </c>
      <c r="H422" s="246">
        <v>152500</v>
      </c>
      <c r="I422" s="246" t="s">
        <v>286</v>
      </c>
      <c r="J422" s="246" t="s">
        <v>60</v>
      </c>
      <c r="K422" s="246" t="s">
        <v>4</v>
      </c>
      <c r="L422" s="247"/>
      <c r="M422" s="246"/>
      <c r="N422" s="246" t="s">
        <v>211</v>
      </c>
      <c r="O422" s="245" t="s">
        <v>55</v>
      </c>
      <c r="P422" s="368">
        <v>45870</v>
      </c>
      <c r="Q422" s="327">
        <f t="shared" ca="1" si="60"/>
        <v>255</v>
      </c>
    </row>
    <row r="423" spans="1:17" s="361" customFormat="1" ht="15.75" hidden="1">
      <c r="A423" s="359">
        <f t="shared" si="61"/>
        <v>421</v>
      </c>
      <c r="B423" s="360">
        <v>45855</v>
      </c>
      <c r="C423" s="361" t="str">
        <f t="shared" si="51"/>
        <v>MP0421</v>
      </c>
      <c r="D423" s="361" t="s">
        <v>1190</v>
      </c>
      <c r="E423" s="359">
        <v>3000</v>
      </c>
      <c r="F423" s="359">
        <v>99</v>
      </c>
      <c r="G423" s="359">
        <v>8</v>
      </c>
      <c r="H423" s="257">
        <f t="shared" si="64"/>
        <v>24000</v>
      </c>
      <c r="I423" s="431" t="s">
        <v>1191</v>
      </c>
      <c r="J423" s="361" t="s">
        <v>844</v>
      </c>
      <c r="K423" s="361" t="s">
        <v>20</v>
      </c>
      <c r="L423" s="361" t="s">
        <v>620</v>
      </c>
      <c r="M423" s="361" t="s">
        <v>1192</v>
      </c>
      <c r="O423" s="361" t="s">
        <v>370</v>
      </c>
      <c r="P423" s="360">
        <v>45862</v>
      </c>
      <c r="Q423" s="432">
        <f t="shared" ca="1" si="60"/>
        <v>263</v>
      </c>
    </row>
    <row r="424" spans="1:17" s="245" customFormat="1" hidden="1">
      <c r="A424" s="289">
        <f t="shared" si="61"/>
        <v>422</v>
      </c>
      <c r="B424" s="284">
        <v>45855</v>
      </c>
      <c r="C424" s="245" t="str">
        <f t="shared" si="51"/>
        <v>MP0422</v>
      </c>
      <c r="D424" s="245" t="s">
        <v>1193</v>
      </c>
      <c r="E424" s="289">
        <v>300</v>
      </c>
      <c r="F424" s="289">
        <v>189</v>
      </c>
      <c r="G424" s="289">
        <v>65</v>
      </c>
      <c r="H424" s="246">
        <f t="shared" si="64"/>
        <v>19500</v>
      </c>
      <c r="I424" s="245" t="s">
        <v>1194</v>
      </c>
      <c r="J424" s="245" t="s">
        <v>60</v>
      </c>
      <c r="K424" s="245" t="s">
        <v>22</v>
      </c>
      <c r="L424" s="289"/>
      <c r="O424" s="245" t="s">
        <v>55</v>
      </c>
      <c r="P424" s="284">
        <v>45901</v>
      </c>
      <c r="Q424" s="327">
        <f t="shared" ca="1" si="60"/>
        <v>224</v>
      </c>
    </row>
    <row r="425" spans="1:17" s="245" customFormat="1" ht="31.5" hidden="1">
      <c r="A425" s="289">
        <f t="shared" si="61"/>
        <v>423</v>
      </c>
      <c r="B425" s="284">
        <v>45855</v>
      </c>
      <c r="C425" s="245" t="str">
        <f t="shared" si="51"/>
        <v>MP0423</v>
      </c>
      <c r="D425" s="245" t="s">
        <v>1195</v>
      </c>
      <c r="E425" s="289">
        <v>1200</v>
      </c>
      <c r="F425" s="289">
        <v>120</v>
      </c>
      <c r="G425" s="289">
        <v>10.5</v>
      </c>
      <c r="H425" s="246">
        <f t="shared" si="64"/>
        <v>12600</v>
      </c>
      <c r="I425" s="377" t="s">
        <v>1196</v>
      </c>
      <c r="J425" s="245" t="s">
        <v>782</v>
      </c>
      <c r="K425" s="245" t="s">
        <v>20</v>
      </c>
      <c r="L425" s="289"/>
      <c r="M425" s="245" t="s">
        <v>1197</v>
      </c>
      <c r="O425" s="245" t="s">
        <v>55</v>
      </c>
      <c r="P425" s="284">
        <v>45901</v>
      </c>
      <c r="Q425" s="327">
        <f t="shared" ca="1" si="60"/>
        <v>224</v>
      </c>
    </row>
    <row r="426" spans="1:17" s="250" customFormat="1" ht="16.5" hidden="1">
      <c r="A426" s="270">
        <f t="shared" si="61"/>
        <v>424</v>
      </c>
      <c r="B426" s="296">
        <v>45855</v>
      </c>
      <c r="C426" s="250" t="str">
        <f t="shared" si="51"/>
        <v>MP0424</v>
      </c>
      <c r="D426" s="473" t="s">
        <v>1198</v>
      </c>
      <c r="E426" s="270"/>
      <c r="F426" s="270" t="s">
        <v>1199</v>
      </c>
      <c r="G426" s="270"/>
      <c r="H426" s="252">
        <v>0</v>
      </c>
      <c r="I426" s="474" t="s">
        <v>1200</v>
      </c>
      <c r="J426" s="250" t="s">
        <v>1092</v>
      </c>
      <c r="K426" s="250" t="s">
        <v>1201</v>
      </c>
      <c r="L426" s="270"/>
      <c r="O426" s="252" t="s">
        <v>370</v>
      </c>
      <c r="P426" s="296"/>
      <c r="Q426" s="309">
        <f t="shared" ca="1" si="60"/>
        <v>46125</v>
      </c>
    </row>
    <row r="427" spans="1:17" s="245" customFormat="1" hidden="1">
      <c r="A427" s="289">
        <f t="shared" si="61"/>
        <v>425</v>
      </c>
      <c r="B427" s="284">
        <v>45855</v>
      </c>
      <c r="C427" s="245" t="str">
        <f t="shared" si="51"/>
        <v>MP0425</v>
      </c>
      <c r="D427" s="379" t="s">
        <v>1202</v>
      </c>
      <c r="E427" s="289">
        <v>3000</v>
      </c>
      <c r="F427" s="289">
        <v>185</v>
      </c>
      <c r="G427" s="289">
        <v>11.5</v>
      </c>
      <c r="H427" s="246">
        <f t="shared" si="64"/>
        <v>34500</v>
      </c>
      <c r="I427" s="379" t="s">
        <v>1203</v>
      </c>
      <c r="K427" s="245" t="s">
        <v>635</v>
      </c>
      <c r="L427" s="289"/>
      <c r="O427" s="245" t="s">
        <v>55</v>
      </c>
      <c r="P427" s="284">
        <v>45877</v>
      </c>
      <c r="Q427" s="327">
        <f t="shared" ca="1" si="60"/>
        <v>248</v>
      </c>
    </row>
    <row r="428" spans="1:17" s="245" customFormat="1" hidden="1">
      <c r="A428" s="289">
        <f t="shared" si="61"/>
        <v>426</v>
      </c>
      <c r="B428" s="284">
        <v>45855</v>
      </c>
      <c r="C428" s="245" t="str">
        <f t="shared" ref="C428:C472" si="65">IF(B428="","",_xlfn.CONCAT("MP0",A428))</f>
        <v>MP0426</v>
      </c>
      <c r="D428" s="246" t="s">
        <v>376</v>
      </c>
      <c r="E428" s="247">
        <v>500</v>
      </c>
      <c r="F428" s="247">
        <v>1300</v>
      </c>
      <c r="G428" s="247">
        <v>72</v>
      </c>
      <c r="H428" s="246">
        <f t="shared" si="64"/>
        <v>36000</v>
      </c>
      <c r="I428" s="246" t="s">
        <v>66</v>
      </c>
      <c r="J428" s="246" t="s">
        <v>60</v>
      </c>
      <c r="K428" s="246" t="s">
        <v>22</v>
      </c>
      <c r="L428" s="248"/>
      <c r="M428" s="249"/>
      <c r="N428" s="246" t="s">
        <v>200</v>
      </c>
      <c r="O428" s="246" t="s">
        <v>55</v>
      </c>
      <c r="P428" s="284">
        <v>45900</v>
      </c>
      <c r="Q428" s="327">
        <f t="shared" ca="1" si="60"/>
        <v>225</v>
      </c>
    </row>
    <row r="429" spans="1:17" s="245" customFormat="1" hidden="1">
      <c r="A429" s="289">
        <f t="shared" si="61"/>
        <v>427</v>
      </c>
      <c r="B429" s="284">
        <v>45855</v>
      </c>
      <c r="C429" s="245" t="str">
        <f t="shared" si="65"/>
        <v>MP0427</v>
      </c>
      <c r="D429" s="246" t="s">
        <v>1204</v>
      </c>
      <c r="E429" s="289">
        <v>1000</v>
      </c>
      <c r="F429" s="289">
        <v>249</v>
      </c>
      <c r="G429" s="289">
        <v>43.5</v>
      </c>
      <c r="H429" s="246">
        <f t="shared" si="64"/>
        <v>43500</v>
      </c>
      <c r="I429" s="245" t="s">
        <v>1205</v>
      </c>
      <c r="J429" s="245" t="s">
        <v>1170</v>
      </c>
      <c r="K429" s="245" t="s">
        <v>1171</v>
      </c>
      <c r="L429" s="245" t="s">
        <v>620</v>
      </c>
      <c r="M429" s="245" t="s">
        <v>1206</v>
      </c>
      <c r="O429" s="246" t="s">
        <v>55</v>
      </c>
      <c r="P429" s="284">
        <v>45870</v>
      </c>
      <c r="Q429" s="327">
        <f t="shared" ca="1" si="60"/>
        <v>255</v>
      </c>
    </row>
    <row r="430" spans="1:17" s="245" customFormat="1" hidden="1">
      <c r="A430" s="289">
        <f t="shared" si="61"/>
        <v>428</v>
      </c>
      <c r="B430" s="284">
        <v>45855</v>
      </c>
      <c r="C430" s="245" t="str">
        <f t="shared" si="65"/>
        <v>MP0428</v>
      </c>
      <c r="D430" s="246" t="s">
        <v>1207</v>
      </c>
      <c r="E430" s="289">
        <v>1000</v>
      </c>
      <c r="F430" s="289">
        <v>349</v>
      </c>
      <c r="G430" s="289">
        <v>62.5</v>
      </c>
      <c r="H430" s="246">
        <f t="shared" si="64"/>
        <v>62500</v>
      </c>
      <c r="I430" s="245" t="s">
        <v>1205</v>
      </c>
      <c r="J430" s="245" t="s">
        <v>1170</v>
      </c>
      <c r="K430" s="245" t="s">
        <v>1171</v>
      </c>
      <c r="L430" s="245" t="s">
        <v>620</v>
      </c>
      <c r="M430" s="245" t="s">
        <v>1206</v>
      </c>
      <c r="O430" s="246" t="s">
        <v>55</v>
      </c>
      <c r="P430" s="284">
        <v>45882</v>
      </c>
      <c r="Q430" s="327">
        <f t="shared" ca="1" si="60"/>
        <v>243</v>
      </c>
    </row>
    <row r="431" spans="1:17" s="245" customFormat="1" hidden="1">
      <c r="A431" s="289">
        <f t="shared" si="61"/>
        <v>429</v>
      </c>
      <c r="B431" s="284">
        <v>45856</v>
      </c>
      <c r="C431" s="245" t="str">
        <f t="shared" si="65"/>
        <v>MP0429</v>
      </c>
      <c r="D431" s="245" t="s">
        <v>1208</v>
      </c>
      <c r="E431" s="289">
        <v>300</v>
      </c>
      <c r="F431" s="289">
        <v>2230</v>
      </c>
      <c r="G431" s="289">
        <v>405</v>
      </c>
      <c r="H431" s="246">
        <f t="shared" si="64"/>
        <v>121500</v>
      </c>
      <c r="I431" s="246" t="s">
        <v>152</v>
      </c>
      <c r="J431" s="246" t="s">
        <v>60</v>
      </c>
      <c r="K431" s="245" t="s">
        <v>16</v>
      </c>
      <c r="L431" s="289"/>
      <c r="N431" s="245" t="s">
        <v>620</v>
      </c>
      <c r="O431" s="246" t="s">
        <v>55</v>
      </c>
      <c r="P431" s="326">
        <v>45901</v>
      </c>
      <c r="Q431" s="327">
        <f t="shared" ca="1" si="60"/>
        <v>224</v>
      </c>
    </row>
    <row r="432" spans="1:17" s="245" customFormat="1" hidden="1">
      <c r="A432" s="289">
        <f t="shared" si="61"/>
        <v>430</v>
      </c>
      <c r="B432" s="284">
        <v>45856</v>
      </c>
      <c r="C432" s="245" t="str">
        <f t="shared" si="65"/>
        <v>MP0430</v>
      </c>
      <c r="D432" s="246" t="s">
        <v>233</v>
      </c>
      <c r="E432" s="247">
        <v>300</v>
      </c>
      <c r="F432" s="247">
        <v>2700</v>
      </c>
      <c r="G432" s="247">
        <v>405</v>
      </c>
      <c r="H432" s="246">
        <f t="shared" si="64"/>
        <v>121500</v>
      </c>
      <c r="I432" s="246" t="s">
        <v>152</v>
      </c>
      <c r="J432" s="246" t="s">
        <v>60</v>
      </c>
      <c r="K432" s="246" t="s">
        <v>16</v>
      </c>
      <c r="L432" s="248"/>
      <c r="M432" s="249"/>
      <c r="N432" s="246"/>
      <c r="O432" s="246" t="s">
        <v>55</v>
      </c>
      <c r="P432" s="328">
        <v>45901</v>
      </c>
      <c r="Q432" s="327">
        <f t="shared" ca="1" si="60"/>
        <v>224</v>
      </c>
    </row>
    <row r="433" spans="1:17" s="245" customFormat="1" hidden="1">
      <c r="A433" s="289">
        <f t="shared" si="61"/>
        <v>431</v>
      </c>
      <c r="B433" s="284">
        <v>45856</v>
      </c>
      <c r="C433" s="245" t="str">
        <f t="shared" si="65"/>
        <v>MP0431</v>
      </c>
      <c r="D433" s="245" t="s">
        <v>1209</v>
      </c>
      <c r="E433" s="289">
        <v>500</v>
      </c>
      <c r="F433" s="289">
        <v>96</v>
      </c>
      <c r="G433" s="289">
        <v>78</v>
      </c>
      <c r="H433" s="246">
        <f t="shared" si="64"/>
        <v>39000</v>
      </c>
      <c r="I433" s="245" t="s">
        <v>1152</v>
      </c>
      <c r="J433" s="246" t="s">
        <v>60</v>
      </c>
      <c r="K433" s="245" t="s">
        <v>1042</v>
      </c>
      <c r="L433" s="289"/>
      <c r="M433" s="245" t="s">
        <v>1135</v>
      </c>
      <c r="O433" s="246" t="s">
        <v>55</v>
      </c>
      <c r="P433" s="326">
        <v>45867</v>
      </c>
      <c r="Q433" s="327">
        <f t="shared" ca="1" si="60"/>
        <v>258</v>
      </c>
    </row>
    <row r="434" spans="1:17" s="245" customFormat="1" ht="30" hidden="1">
      <c r="A434" s="289">
        <f t="shared" si="61"/>
        <v>432</v>
      </c>
      <c r="B434" s="284">
        <v>45856</v>
      </c>
      <c r="C434" s="245" t="str">
        <f t="shared" si="65"/>
        <v>MP0432</v>
      </c>
      <c r="D434" s="245" t="s">
        <v>1176</v>
      </c>
      <c r="E434" s="289">
        <v>5000</v>
      </c>
      <c r="F434" s="289">
        <v>115</v>
      </c>
      <c r="G434" s="289">
        <v>9.5</v>
      </c>
      <c r="H434" s="246">
        <f t="shared" si="64"/>
        <v>47500</v>
      </c>
      <c r="I434" s="370" t="s">
        <v>1210</v>
      </c>
      <c r="J434" s="245" t="s">
        <v>782</v>
      </c>
      <c r="K434" s="245" t="s">
        <v>24</v>
      </c>
      <c r="L434" s="289"/>
      <c r="M434" s="245" t="s">
        <v>1211</v>
      </c>
      <c r="O434" s="245" t="s">
        <v>55</v>
      </c>
      <c r="P434" s="326">
        <v>45901</v>
      </c>
      <c r="Q434" s="327">
        <f t="shared" ref="Q434" ca="1" si="66">TODAY()-P434</f>
        <v>224</v>
      </c>
    </row>
    <row r="435" spans="1:17" s="245" customFormat="1" hidden="1">
      <c r="A435" s="289">
        <f t="shared" si="61"/>
        <v>433</v>
      </c>
      <c r="B435" s="284">
        <v>45875</v>
      </c>
      <c r="C435" s="245" t="str">
        <f t="shared" si="65"/>
        <v>MP0433</v>
      </c>
      <c r="D435" s="245" t="s">
        <v>1212</v>
      </c>
      <c r="E435" s="289">
        <v>3000</v>
      </c>
      <c r="F435" s="289">
        <v>120</v>
      </c>
      <c r="G435" s="289">
        <v>15.2</v>
      </c>
      <c r="H435" s="246">
        <f t="shared" si="64"/>
        <v>45600</v>
      </c>
      <c r="I435" s="245" t="s">
        <v>1213</v>
      </c>
      <c r="J435" s="245" t="s">
        <v>1214</v>
      </c>
      <c r="K435" s="245" t="s">
        <v>1215</v>
      </c>
      <c r="L435" s="289"/>
      <c r="M435" s="245" t="s">
        <v>1216</v>
      </c>
      <c r="O435" s="246" t="s">
        <v>55</v>
      </c>
      <c r="P435" s="326">
        <v>45911</v>
      </c>
      <c r="Q435" s="327">
        <f t="shared" ca="1" si="60"/>
        <v>214</v>
      </c>
    </row>
    <row r="436" spans="1:17" s="245" customFormat="1" ht="30" hidden="1">
      <c r="A436" s="289">
        <f t="shared" si="61"/>
        <v>434</v>
      </c>
      <c r="B436" s="284">
        <v>45860</v>
      </c>
      <c r="C436" s="245" t="str">
        <f t="shared" si="65"/>
        <v>MP0434</v>
      </c>
      <c r="D436" s="245" t="s">
        <v>1217</v>
      </c>
      <c r="E436" s="289">
        <v>5000</v>
      </c>
      <c r="F436" s="289">
        <v>230</v>
      </c>
      <c r="G436" s="289">
        <v>20</v>
      </c>
      <c r="H436" s="246">
        <f t="shared" si="64"/>
        <v>100000</v>
      </c>
      <c r="I436" s="370" t="s">
        <v>1218</v>
      </c>
      <c r="J436" s="245" t="s">
        <v>930</v>
      </c>
      <c r="K436" s="245" t="s">
        <v>24</v>
      </c>
      <c r="L436" s="289"/>
      <c r="O436" s="245" t="s">
        <v>55</v>
      </c>
      <c r="P436" s="326">
        <v>45901</v>
      </c>
      <c r="Q436" s="327">
        <f t="shared" ca="1" si="60"/>
        <v>224</v>
      </c>
    </row>
    <row r="437" spans="1:17" s="245" customFormat="1" hidden="1">
      <c r="A437" s="289">
        <f t="shared" si="61"/>
        <v>435</v>
      </c>
      <c r="B437" s="284">
        <v>45861</v>
      </c>
      <c r="C437" s="245" t="str">
        <f t="shared" si="65"/>
        <v>MP0435</v>
      </c>
      <c r="D437" s="245" t="s">
        <v>1219</v>
      </c>
      <c r="E437" s="289">
        <v>1000</v>
      </c>
      <c r="F437" s="289">
        <v>1085</v>
      </c>
      <c r="G437" s="289">
        <v>68</v>
      </c>
      <c r="H437" s="246">
        <f t="shared" si="64"/>
        <v>68000</v>
      </c>
      <c r="I437" s="245" t="s">
        <v>1220</v>
      </c>
      <c r="J437" s="245" t="s">
        <v>1221</v>
      </c>
      <c r="K437" s="245" t="s">
        <v>7</v>
      </c>
      <c r="L437" s="289"/>
      <c r="O437" s="245" t="s">
        <v>55</v>
      </c>
      <c r="P437" s="326">
        <v>45901</v>
      </c>
      <c r="Q437" s="327">
        <f t="shared" ca="1" si="60"/>
        <v>224</v>
      </c>
    </row>
    <row r="438" spans="1:17" s="245" customFormat="1" hidden="1">
      <c r="A438" s="289">
        <f t="shared" si="61"/>
        <v>436</v>
      </c>
      <c r="B438" s="284">
        <v>45861</v>
      </c>
      <c r="C438" s="245" t="str">
        <f t="shared" si="65"/>
        <v>MP0436</v>
      </c>
      <c r="D438" s="279" t="s">
        <v>474</v>
      </c>
      <c r="E438" s="337">
        <v>300</v>
      </c>
      <c r="F438" s="337">
        <v>2500</v>
      </c>
      <c r="G438" s="337">
        <v>115</v>
      </c>
      <c r="H438" s="277">
        <f>IF(G438="","",E438*G438)</f>
        <v>34500</v>
      </c>
      <c r="I438" s="277" t="s">
        <v>125</v>
      </c>
      <c r="J438" s="277" t="s">
        <v>87</v>
      </c>
      <c r="K438" s="277" t="s">
        <v>18</v>
      </c>
      <c r="L438" s="338"/>
      <c r="M438" s="369"/>
      <c r="N438" s="277" t="s">
        <v>133</v>
      </c>
      <c r="O438" s="277" t="s">
        <v>55</v>
      </c>
      <c r="P438" s="331">
        <v>45861</v>
      </c>
      <c r="Q438" s="329">
        <f ca="1">TODAY()-P438</f>
        <v>264</v>
      </c>
    </row>
    <row r="439" spans="1:17" s="245" customFormat="1" ht="15.75" hidden="1">
      <c r="A439" s="289">
        <f t="shared" si="61"/>
        <v>437</v>
      </c>
      <c r="B439" s="284">
        <v>45861</v>
      </c>
      <c r="C439" s="245" t="str">
        <f t="shared" si="65"/>
        <v>MP0437</v>
      </c>
      <c r="D439" s="280" t="s">
        <v>581</v>
      </c>
      <c r="E439" s="247">
        <v>500</v>
      </c>
      <c r="F439" s="247">
        <v>58</v>
      </c>
      <c r="G439" s="247">
        <v>48</v>
      </c>
      <c r="H439" s="271">
        <f t="shared" si="64"/>
        <v>24000</v>
      </c>
      <c r="I439" s="315" t="s">
        <v>582</v>
      </c>
      <c r="J439" s="271" t="s">
        <v>60</v>
      </c>
      <c r="K439" s="271" t="s">
        <v>22</v>
      </c>
      <c r="L439" s="248" t="s">
        <v>133</v>
      </c>
      <c r="M439" s="281"/>
      <c r="N439" s="271" t="s">
        <v>133</v>
      </c>
      <c r="O439" s="277" t="s">
        <v>55</v>
      </c>
      <c r="P439" s="331">
        <v>45863</v>
      </c>
      <c r="Q439" s="327">
        <f t="shared" ca="1" si="60"/>
        <v>262</v>
      </c>
    </row>
    <row r="440" spans="1:17" s="245" customFormat="1" hidden="1">
      <c r="A440" s="289">
        <f t="shared" si="61"/>
        <v>438</v>
      </c>
      <c r="B440" s="284">
        <v>45861</v>
      </c>
      <c r="C440" s="245" t="str">
        <f t="shared" si="65"/>
        <v>MP0438</v>
      </c>
      <c r="D440" s="246" t="s">
        <v>65</v>
      </c>
      <c r="E440" s="247">
        <v>1000</v>
      </c>
      <c r="F440" s="247">
        <v>1250</v>
      </c>
      <c r="G440" s="247">
        <v>78</v>
      </c>
      <c r="H440" s="246">
        <f t="shared" si="64"/>
        <v>78000</v>
      </c>
      <c r="I440" s="246" t="s">
        <v>66</v>
      </c>
      <c r="J440" s="246" t="s">
        <v>60</v>
      </c>
      <c r="K440" s="246" t="s">
        <v>15</v>
      </c>
      <c r="L440" s="248"/>
      <c r="M440" s="249"/>
      <c r="N440" s="246" t="s">
        <v>54</v>
      </c>
      <c r="O440" s="277" t="s">
        <v>55</v>
      </c>
      <c r="P440" s="331">
        <v>45861</v>
      </c>
      <c r="Q440" s="327">
        <f t="shared" ca="1" si="60"/>
        <v>264</v>
      </c>
    </row>
    <row r="441" spans="1:17" s="245" customFormat="1" ht="15.75" hidden="1">
      <c r="A441" s="289">
        <f t="shared" si="61"/>
        <v>439</v>
      </c>
      <c r="B441" s="284">
        <v>45861</v>
      </c>
      <c r="C441" s="245" t="str">
        <f t="shared" si="65"/>
        <v>MP0439</v>
      </c>
      <c r="D441" s="380" t="s">
        <v>1222</v>
      </c>
      <c r="E441" s="289">
        <v>10000</v>
      </c>
      <c r="F441" s="289">
        <v>25</v>
      </c>
      <c r="G441" s="289">
        <v>1.7</v>
      </c>
      <c r="H441" s="246">
        <f t="shared" si="64"/>
        <v>17000</v>
      </c>
      <c r="I441" s="380" t="s">
        <v>1223</v>
      </c>
      <c r="J441" s="245" t="s">
        <v>634</v>
      </c>
      <c r="K441" s="245" t="s">
        <v>635</v>
      </c>
      <c r="L441" s="289"/>
      <c r="O441" s="245" t="s">
        <v>55</v>
      </c>
      <c r="P441" s="326">
        <v>45976</v>
      </c>
      <c r="Q441" s="327">
        <f t="shared" ca="1" si="60"/>
        <v>149</v>
      </c>
    </row>
    <row r="442" spans="1:17" s="250" customFormat="1" hidden="1">
      <c r="A442" s="270">
        <f t="shared" si="61"/>
        <v>440</v>
      </c>
      <c r="B442" s="296">
        <v>45861</v>
      </c>
      <c r="C442" s="250" t="str">
        <f t="shared" si="65"/>
        <v>MP0440</v>
      </c>
      <c r="D442" s="356" t="s">
        <v>1224</v>
      </c>
      <c r="E442" s="270">
        <v>1000</v>
      </c>
      <c r="F442" s="270">
        <v>360</v>
      </c>
      <c r="G442" s="270">
        <v>0</v>
      </c>
      <c r="H442" s="252">
        <f>IF(G442="","",E442*G442)</f>
        <v>0</v>
      </c>
      <c r="I442" s="250" t="s">
        <v>1225</v>
      </c>
      <c r="J442" s="250" t="s">
        <v>1226</v>
      </c>
      <c r="K442" s="250" t="s">
        <v>918</v>
      </c>
      <c r="L442" s="270"/>
      <c r="O442" s="250" t="s">
        <v>370</v>
      </c>
      <c r="P442" s="308">
        <v>45862</v>
      </c>
      <c r="Q442" s="309">
        <f t="shared" ca="1" si="60"/>
        <v>263</v>
      </c>
    </row>
    <row r="443" spans="1:17" s="245" customFormat="1" hidden="1">
      <c r="A443" s="289">
        <f t="shared" si="61"/>
        <v>441</v>
      </c>
      <c r="B443" s="284">
        <v>45861</v>
      </c>
      <c r="C443" s="245" t="str">
        <f t="shared" si="65"/>
        <v>MP0441</v>
      </c>
      <c r="D443" s="246" t="s">
        <v>111</v>
      </c>
      <c r="E443" s="247">
        <v>300</v>
      </c>
      <c r="F443" s="247">
        <v>1090</v>
      </c>
      <c r="G443" s="247">
        <v>67</v>
      </c>
      <c r="H443" s="246">
        <f t="shared" si="64"/>
        <v>20100</v>
      </c>
      <c r="I443" s="246" t="s">
        <v>112</v>
      </c>
      <c r="J443" s="246" t="s">
        <v>113</v>
      </c>
      <c r="K443" s="246" t="s">
        <v>9</v>
      </c>
      <c r="L443" s="248"/>
      <c r="M443" s="249"/>
      <c r="N443" s="246" t="s">
        <v>54</v>
      </c>
      <c r="O443" s="246" t="s">
        <v>55</v>
      </c>
      <c r="P443" s="328">
        <v>45870</v>
      </c>
      <c r="Q443" s="327">
        <f t="shared" ca="1" si="60"/>
        <v>255</v>
      </c>
    </row>
    <row r="444" spans="1:17" s="245" customFormat="1" hidden="1">
      <c r="A444" s="289">
        <f t="shared" si="61"/>
        <v>442</v>
      </c>
      <c r="B444" s="284">
        <v>45861</v>
      </c>
      <c r="C444" s="245" t="str">
        <f t="shared" si="65"/>
        <v>MP0442</v>
      </c>
      <c r="D444" s="245" t="s">
        <v>1227</v>
      </c>
      <c r="E444" s="289">
        <v>300</v>
      </c>
      <c r="F444" s="289">
        <v>490</v>
      </c>
      <c r="G444" s="289">
        <v>60</v>
      </c>
      <c r="H444" s="246">
        <f t="shared" si="64"/>
        <v>18000</v>
      </c>
      <c r="I444" s="245" t="s">
        <v>617</v>
      </c>
      <c r="J444" s="245" t="s">
        <v>113</v>
      </c>
      <c r="K444" s="245" t="s">
        <v>2</v>
      </c>
      <c r="L444" s="289"/>
      <c r="M444" s="245" t="s">
        <v>1228</v>
      </c>
      <c r="O444" s="245" t="s">
        <v>55</v>
      </c>
      <c r="P444" s="326">
        <v>45869</v>
      </c>
      <c r="Q444" s="327">
        <f t="shared" ca="1" si="60"/>
        <v>256</v>
      </c>
    </row>
    <row r="445" spans="1:17" s="245" customFormat="1" ht="15.75" hidden="1">
      <c r="A445" s="289">
        <f t="shared" si="61"/>
        <v>443</v>
      </c>
      <c r="B445" s="284">
        <v>45863</v>
      </c>
      <c r="C445" s="245" t="str">
        <f t="shared" si="65"/>
        <v>MP0443</v>
      </c>
      <c r="D445" s="245" t="s">
        <v>1229</v>
      </c>
      <c r="E445" s="289">
        <v>4000</v>
      </c>
      <c r="F445" s="289">
        <v>180</v>
      </c>
      <c r="G445" s="289">
        <v>24.75</v>
      </c>
      <c r="H445" s="246">
        <f t="shared" si="64"/>
        <v>99000</v>
      </c>
      <c r="I445" s="380" t="s">
        <v>1230</v>
      </c>
      <c r="J445" s="245" t="s">
        <v>930</v>
      </c>
      <c r="K445" s="245" t="s">
        <v>678</v>
      </c>
      <c r="L445" s="289"/>
      <c r="O445" s="245" t="s">
        <v>55</v>
      </c>
      <c r="P445" s="326">
        <v>45901</v>
      </c>
      <c r="Q445" s="327">
        <f t="shared" ca="1" si="60"/>
        <v>224</v>
      </c>
    </row>
    <row r="446" spans="1:17" s="245" customFormat="1" hidden="1">
      <c r="A446" s="289">
        <f t="shared" si="61"/>
        <v>444</v>
      </c>
      <c r="B446" s="284">
        <v>45863</v>
      </c>
      <c r="C446" s="245" t="str">
        <f t="shared" si="65"/>
        <v>MP0444</v>
      </c>
      <c r="D446" s="245" t="s">
        <v>364</v>
      </c>
      <c r="E446" s="289">
        <v>300</v>
      </c>
      <c r="F446" s="289" t="s">
        <v>806</v>
      </c>
      <c r="G446" s="289">
        <v>85</v>
      </c>
      <c r="H446" s="246">
        <f t="shared" si="64"/>
        <v>25500</v>
      </c>
      <c r="I446" s="245" t="s">
        <v>365</v>
      </c>
      <c r="J446" s="277" t="s">
        <v>100</v>
      </c>
      <c r="K446" s="245" t="s">
        <v>2</v>
      </c>
      <c r="L446" s="289"/>
      <c r="N446" s="245" t="s">
        <v>200</v>
      </c>
      <c r="O446" s="245" t="s">
        <v>55</v>
      </c>
      <c r="P446" s="326">
        <v>45887</v>
      </c>
      <c r="Q446" s="329">
        <f t="shared" ca="1" si="60"/>
        <v>238</v>
      </c>
    </row>
    <row r="447" spans="1:17" s="245" customFormat="1" hidden="1">
      <c r="A447" s="289">
        <f t="shared" si="61"/>
        <v>445</v>
      </c>
      <c r="B447" s="284">
        <v>45863</v>
      </c>
      <c r="C447" s="245" t="str">
        <f t="shared" si="65"/>
        <v>MP0445</v>
      </c>
      <c r="D447" s="246" t="s">
        <v>160</v>
      </c>
      <c r="E447" s="247">
        <v>1000</v>
      </c>
      <c r="F447" s="247">
        <v>1150</v>
      </c>
      <c r="G447" s="247">
        <v>68</v>
      </c>
      <c r="H447" s="246">
        <f t="shared" si="64"/>
        <v>68000</v>
      </c>
      <c r="I447" s="246" t="s">
        <v>66</v>
      </c>
      <c r="J447" s="246" t="s">
        <v>87</v>
      </c>
      <c r="K447" s="246" t="s">
        <v>1042</v>
      </c>
      <c r="L447" s="248"/>
      <c r="M447" s="249"/>
      <c r="N447" s="246"/>
      <c r="O447" s="246" t="s">
        <v>55</v>
      </c>
      <c r="P447" s="328">
        <v>45867</v>
      </c>
      <c r="Q447" s="327">
        <f t="shared" ca="1" si="60"/>
        <v>258</v>
      </c>
    </row>
    <row r="448" spans="1:17" s="245" customFormat="1" hidden="1">
      <c r="A448" s="289">
        <f t="shared" si="61"/>
        <v>446</v>
      </c>
      <c r="B448" s="284">
        <v>45863</v>
      </c>
      <c r="C448" s="245" t="str">
        <f t="shared" si="65"/>
        <v>MP0446</v>
      </c>
      <c r="D448" s="381" t="s">
        <v>1231</v>
      </c>
      <c r="E448" s="289">
        <v>100</v>
      </c>
      <c r="F448" s="289">
        <v>990</v>
      </c>
      <c r="G448" s="289">
        <v>1550</v>
      </c>
      <c r="H448" s="246">
        <f t="shared" si="64"/>
        <v>155000</v>
      </c>
      <c r="I448" s="381" t="s">
        <v>1129</v>
      </c>
      <c r="J448" s="245" t="s">
        <v>609</v>
      </c>
      <c r="K448" s="245" t="s">
        <v>4</v>
      </c>
      <c r="L448" s="289"/>
      <c r="M448" s="245" t="s">
        <v>1232</v>
      </c>
      <c r="O448" s="246" t="s">
        <v>55</v>
      </c>
      <c r="P448" s="328">
        <v>45870</v>
      </c>
      <c r="Q448" s="327">
        <f t="shared" ca="1" si="60"/>
        <v>255</v>
      </c>
    </row>
    <row r="449" spans="1:17" s="245" customFormat="1" hidden="1">
      <c r="A449" s="289">
        <f t="shared" si="61"/>
        <v>447</v>
      </c>
      <c r="B449" s="284">
        <v>45863</v>
      </c>
      <c r="C449" s="245" t="str">
        <f t="shared" si="65"/>
        <v>MP0447</v>
      </c>
      <c r="D449" s="245" t="s">
        <v>1233</v>
      </c>
      <c r="E449" s="289">
        <v>100</v>
      </c>
      <c r="F449" s="289">
        <v>1300</v>
      </c>
      <c r="G449" s="289">
        <v>2425</v>
      </c>
      <c r="H449" s="246">
        <f t="shared" si="64"/>
        <v>242500</v>
      </c>
      <c r="I449" s="342" t="s">
        <v>1129</v>
      </c>
      <c r="J449" s="245" t="s">
        <v>609</v>
      </c>
      <c r="K449" s="245" t="s">
        <v>4</v>
      </c>
      <c r="L449" s="289"/>
      <c r="M449" s="245" t="s">
        <v>1232</v>
      </c>
      <c r="O449" s="246" t="s">
        <v>55</v>
      </c>
      <c r="P449" s="328">
        <v>45870</v>
      </c>
      <c r="Q449" s="327">
        <f t="shared" ca="1" si="60"/>
        <v>255</v>
      </c>
    </row>
    <row r="450" spans="1:17" s="245" customFormat="1" hidden="1">
      <c r="A450" s="289">
        <f t="shared" si="61"/>
        <v>448</v>
      </c>
      <c r="B450" s="284">
        <v>45864</v>
      </c>
      <c r="C450" s="245" t="str">
        <f t="shared" si="65"/>
        <v>MP0448</v>
      </c>
      <c r="D450" s="342" t="s">
        <v>1234</v>
      </c>
      <c r="E450" s="289">
        <v>300</v>
      </c>
      <c r="F450" s="289" t="s">
        <v>1235</v>
      </c>
      <c r="G450" s="289">
        <v>128</v>
      </c>
      <c r="H450" s="246">
        <f t="shared" si="64"/>
        <v>38400</v>
      </c>
      <c r="I450" s="342" t="s">
        <v>1236</v>
      </c>
      <c r="J450" s="245" t="s">
        <v>609</v>
      </c>
      <c r="K450" s="245" t="s">
        <v>1042</v>
      </c>
      <c r="L450" s="289"/>
      <c r="O450" s="246" t="s">
        <v>55</v>
      </c>
      <c r="P450" s="328">
        <v>46011</v>
      </c>
      <c r="Q450" s="327">
        <f t="shared" ca="1" si="60"/>
        <v>114</v>
      </c>
    </row>
    <row r="451" spans="1:17" s="245" customFormat="1" hidden="1">
      <c r="A451" s="289">
        <f t="shared" si="61"/>
        <v>449</v>
      </c>
      <c r="B451" s="284">
        <v>45864</v>
      </c>
      <c r="C451" s="245" t="str">
        <f t="shared" si="65"/>
        <v>MP0449</v>
      </c>
      <c r="D451" s="245" t="s">
        <v>1237</v>
      </c>
      <c r="E451" s="289">
        <v>300</v>
      </c>
      <c r="F451" s="289">
        <v>115</v>
      </c>
      <c r="G451" s="289">
        <v>112</v>
      </c>
      <c r="H451" s="246">
        <f t="shared" si="64"/>
        <v>33600</v>
      </c>
      <c r="I451" s="245" t="s">
        <v>1238</v>
      </c>
      <c r="J451" s="245" t="s">
        <v>609</v>
      </c>
      <c r="K451" s="245" t="s">
        <v>678</v>
      </c>
      <c r="L451" s="289"/>
      <c r="O451" s="246" t="s">
        <v>55</v>
      </c>
      <c r="P451" s="328">
        <v>45931</v>
      </c>
      <c r="Q451" s="327">
        <f t="shared" ref="Q451:Q467" ca="1" si="67">TODAY()-P451</f>
        <v>194</v>
      </c>
    </row>
    <row r="452" spans="1:17" s="245" customFormat="1" hidden="1">
      <c r="A452" s="289">
        <f t="shared" si="61"/>
        <v>450</v>
      </c>
      <c r="B452" s="284">
        <v>45864</v>
      </c>
      <c r="C452" s="245" t="str">
        <f t="shared" si="65"/>
        <v>MP0450</v>
      </c>
      <c r="D452" s="245" t="s">
        <v>1239</v>
      </c>
      <c r="E452" s="289">
        <v>300</v>
      </c>
      <c r="F452" s="289">
        <v>280</v>
      </c>
      <c r="G452" s="289">
        <v>125</v>
      </c>
      <c r="H452" s="246">
        <f t="shared" si="64"/>
        <v>37500</v>
      </c>
      <c r="I452" s="245" t="s">
        <v>1240</v>
      </c>
      <c r="J452" s="245" t="s">
        <v>609</v>
      </c>
      <c r="K452" s="245" t="s">
        <v>1042</v>
      </c>
      <c r="L452" s="289"/>
      <c r="O452" s="246" t="s">
        <v>55</v>
      </c>
      <c r="P452" s="328">
        <v>46011</v>
      </c>
      <c r="Q452" s="327">
        <f t="shared" ca="1" si="67"/>
        <v>114</v>
      </c>
    </row>
    <row r="453" spans="1:17" s="245" customFormat="1" hidden="1">
      <c r="A453" s="289">
        <f t="shared" ref="A453:A517" si="68">IF(B453="","",ROW()-2)</f>
        <v>451</v>
      </c>
      <c r="B453" s="284">
        <v>45864</v>
      </c>
      <c r="C453" s="245" t="str">
        <f t="shared" si="65"/>
        <v>MP0451</v>
      </c>
      <c r="D453" s="245" t="s">
        <v>1241</v>
      </c>
      <c r="E453" s="289">
        <v>200</v>
      </c>
      <c r="F453" s="289">
        <v>455</v>
      </c>
      <c r="G453" s="289">
        <v>265</v>
      </c>
      <c r="H453" s="246">
        <f t="shared" si="64"/>
        <v>53000</v>
      </c>
      <c r="I453" s="245" t="s">
        <v>1242</v>
      </c>
      <c r="J453" s="245" t="s">
        <v>609</v>
      </c>
      <c r="K453" s="245" t="s">
        <v>9</v>
      </c>
      <c r="L453" s="289"/>
      <c r="O453" s="246" t="s">
        <v>55</v>
      </c>
      <c r="P453" s="328">
        <v>45901</v>
      </c>
      <c r="Q453" s="327">
        <f t="shared" ca="1" si="67"/>
        <v>224</v>
      </c>
    </row>
    <row r="454" spans="1:17" s="245" customFormat="1" hidden="1">
      <c r="A454" s="289">
        <f t="shared" si="68"/>
        <v>452</v>
      </c>
      <c r="B454" s="284">
        <v>45864</v>
      </c>
      <c r="C454" s="245" t="str">
        <f t="shared" si="65"/>
        <v>MP0452</v>
      </c>
      <c r="D454" s="245" t="s">
        <v>1243</v>
      </c>
      <c r="E454" s="289">
        <v>200</v>
      </c>
      <c r="F454" s="289">
        <v>415</v>
      </c>
      <c r="G454" s="289">
        <v>265</v>
      </c>
      <c r="H454" s="246">
        <f t="shared" si="64"/>
        <v>53000</v>
      </c>
      <c r="I454" s="245" t="s">
        <v>1242</v>
      </c>
      <c r="J454" s="245" t="s">
        <v>609</v>
      </c>
      <c r="K454" s="245" t="s">
        <v>9</v>
      </c>
      <c r="L454" s="289"/>
      <c r="M454" s="245" t="s">
        <v>1244</v>
      </c>
      <c r="O454" s="246" t="s">
        <v>55</v>
      </c>
      <c r="P454" s="328">
        <v>45901</v>
      </c>
      <c r="Q454" s="327">
        <f t="shared" ca="1" si="67"/>
        <v>224</v>
      </c>
    </row>
    <row r="455" spans="1:17" s="245" customFormat="1" hidden="1">
      <c r="A455" s="289">
        <f t="shared" si="68"/>
        <v>453</v>
      </c>
      <c r="B455" s="284">
        <v>45864</v>
      </c>
      <c r="C455" s="245" t="str">
        <f t="shared" si="65"/>
        <v>MP0453</v>
      </c>
      <c r="D455" s="246" t="s">
        <v>306</v>
      </c>
      <c r="E455" s="247">
        <v>10000</v>
      </c>
      <c r="F455" s="247" t="s">
        <v>231</v>
      </c>
      <c r="G455" s="278">
        <v>6.1</v>
      </c>
      <c r="H455" s="246">
        <f t="shared" si="64"/>
        <v>61000</v>
      </c>
      <c r="I455" s="277" t="s">
        <v>750</v>
      </c>
      <c r="J455" s="246" t="s">
        <v>751</v>
      </c>
      <c r="K455" s="246" t="s">
        <v>7</v>
      </c>
      <c r="L455" s="248">
        <v>9800</v>
      </c>
      <c r="M455" s="249" t="s">
        <v>869</v>
      </c>
      <c r="N455" s="246"/>
      <c r="O455" s="246" t="s">
        <v>55</v>
      </c>
      <c r="P455" s="328">
        <v>45787</v>
      </c>
      <c r="Q455" s="329">
        <f t="shared" ca="1" si="67"/>
        <v>338</v>
      </c>
    </row>
    <row r="456" spans="1:17" s="245" customFormat="1" hidden="1">
      <c r="A456" s="289">
        <f t="shared" si="68"/>
        <v>454</v>
      </c>
      <c r="B456" s="284">
        <v>45867</v>
      </c>
      <c r="C456" s="245" t="str">
        <f t="shared" si="65"/>
        <v>MP0454</v>
      </c>
      <c r="D456" s="277" t="s">
        <v>773</v>
      </c>
      <c r="E456" s="247">
        <v>5000</v>
      </c>
      <c r="F456" s="247">
        <v>350</v>
      </c>
      <c r="G456" s="278">
        <v>17.5</v>
      </c>
      <c r="H456" s="246">
        <f t="shared" si="64"/>
        <v>87500</v>
      </c>
      <c r="I456" s="277" t="s">
        <v>774</v>
      </c>
      <c r="J456" s="246" t="s">
        <v>775</v>
      </c>
      <c r="K456" s="246" t="s">
        <v>10</v>
      </c>
      <c r="L456" s="248"/>
      <c r="M456" s="249"/>
      <c r="O456" s="245" t="s">
        <v>55</v>
      </c>
      <c r="P456" s="326">
        <v>45870</v>
      </c>
      <c r="Q456" s="327">
        <f t="shared" ca="1" si="67"/>
        <v>255</v>
      </c>
    </row>
    <row r="457" spans="1:17" s="245" customFormat="1" hidden="1">
      <c r="A457" s="289">
        <f t="shared" si="68"/>
        <v>455</v>
      </c>
      <c r="B457" s="284">
        <v>45868</v>
      </c>
      <c r="C457" s="245" t="str">
        <f t="shared" si="65"/>
        <v>MP0455</v>
      </c>
      <c r="D457" s="246" t="s">
        <v>65</v>
      </c>
      <c r="E457" s="247">
        <v>500</v>
      </c>
      <c r="F457" s="247">
        <v>1250</v>
      </c>
      <c r="G457" s="247">
        <v>77</v>
      </c>
      <c r="H457" s="246">
        <f t="shared" ref="H457" si="69">IF(G457="","",E457*G457)</f>
        <v>38500</v>
      </c>
      <c r="I457" s="246" t="s">
        <v>66</v>
      </c>
      <c r="J457" s="246" t="s">
        <v>60</v>
      </c>
      <c r="K457" s="246" t="s">
        <v>22</v>
      </c>
      <c r="L457" s="248"/>
      <c r="M457" s="245" t="s">
        <v>1245</v>
      </c>
      <c r="N457" s="246"/>
      <c r="O457" s="277" t="s">
        <v>55</v>
      </c>
      <c r="P457" s="331">
        <v>45877</v>
      </c>
      <c r="Q457" s="327">
        <f t="shared" ca="1" si="67"/>
        <v>248</v>
      </c>
    </row>
    <row r="458" spans="1:17" s="250" customFormat="1" hidden="1">
      <c r="A458" s="270">
        <f t="shared" si="68"/>
        <v>456</v>
      </c>
      <c r="B458" s="296">
        <v>45868</v>
      </c>
      <c r="C458" s="349" t="str">
        <f t="shared" si="65"/>
        <v>MP0456</v>
      </c>
      <c r="D458" s="250" t="s">
        <v>1246</v>
      </c>
      <c r="E458" s="350">
        <v>1000</v>
      </c>
      <c r="F458" s="270">
        <v>80</v>
      </c>
      <c r="G458" s="270">
        <v>30</v>
      </c>
      <c r="H458" s="252">
        <v>0</v>
      </c>
      <c r="I458" s="250" t="s">
        <v>1247</v>
      </c>
      <c r="J458" s="250" t="s">
        <v>1248</v>
      </c>
      <c r="K458" s="250" t="s">
        <v>20</v>
      </c>
      <c r="L458" s="270"/>
      <c r="O458" s="254" t="s">
        <v>370</v>
      </c>
      <c r="P458" s="351">
        <v>45868</v>
      </c>
      <c r="Q458" s="309">
        <f t="shared" ca="1" si="67"/>
        <v>257</v>
      </c>
    </row>
    <row r="459" spans="1:17" s="245" customFormat="1" hidden="1">
      <c r="A459" s="289">
        <f t="shared" si="68"/>
        <v>457</v>
      </c>
      <c r="B459" s="284">
        <v>45868</v>
      </c>
      <c r="C459" s="339" t="str">
        <f t="shared" si="65"/>
        <v>MP0457</v>
      </c>
      <c r="D459" s="245" t="s">
        <v>1249</v>
      </c>
      <c r="E459" s="367">
        <v>3000</v>
      </c>
      <c r="F459" s="289">
        <v>60</v>
      </c>
      <c r="G459" s="289">
        <v>8.8000000000000007</v>
      </c>
      <c r="H459" s="246">
        <f t="shared" si="64"/>
        <v>26400.000000000004</v>
      </c>
      <c r="I459" s="245" t="s">
        <v>1250</v>
      </c>
      <c r="K459" s="245" t="s">
        <v>20</v>
      </c>
      <c r="L459" s="289"/>
      <c r="M459" s="245" t="s">
        <v>1251</v>
      </c>
      <c r="O459" s="245" t="s">
        <v>55</v>
      </c>
      <c r="P459" s="331">
        <v>45868</v>
      </c>
      <c r="Q459" s="327">
        <f t="shared" ca="1" si="67"/>
        <v>257</v>
      </c>
    </row>
    <row r="460" spans="1:17" s="245" customFormat="1" hidden="1">
      <c r="A460" s="289">
        <f t="shared" si="68"/>
        <v>458</v>
      </c>
      <c r="B460" s="284">
        <v>45868</v>
      </c>
      <c r="C460" s="339" t="str">
        <f t="shared" si="65"/>
        <v>MP0458</v>
      </c>
      <c r="D460" s="245" t="s">
        <v>1252</v>
      </c>
      <c r="E460" s="367">
        <v>3000</v>
      </c>
      <c r="F460" s="289">
        <v>65</v>
      </c>
      <c r="G460" s="289">
        <v>7.3</v>
      </c>
      <c r="H460" s="246">
        <f t="shared" si="64"/>
        <v>21900</v>
      </c>
      <c r="I460" s="245" t="s">
        <v>1253</v>
      </c>
      <c r="K460" s="245" t="s">
        <v>22</v>
      </c>
      <c r="L460" s="289"/>
      <c r="M460" s="245" t="s">
        <v>1254</v>
      </c>
      <c r="O460" s="245" t="s">
        <v>55</v>
      </c>
      <c r="P460" s="331">
        <v>45931</v>
      </c>
      <c r="Q460" s="327">
        <f t="shared" ca="1" si="67"/>
        <v>194</v>
      </c>
    </row>
    <row r="461" spans="1:17" s="245" customFormat="1" hidden="1">
      <c r="A461" s="289">
        <f t="shared" si="68"/>
        <v>459</v>
      </c>
      <c r="B461" s="284">
        <v>45868</v>
      </c>
      <c r="C461" s="339" t="str">
        <f t="shared" si="65"/>
        <v>MP0459</v>
      </c>
      <c r="D461" s="245" t="s">
        <v>1255</v>
      </c>
      <c r="E461" s="367">
        <v>3000</v>
      </c>
      <c r="F461" s="289">
        <v>68</v>
      </c>
      <c r="G461" s="289">
        <v>7.8</v>
      </c>
      <c r="H461" s="246">
        <f t="shared" si="64"/>
        <v>23400</v>
      </c>
      <c r="I461" s="245" t="s">
        <v>1256</v>
      </c>
      <c r="K461" s="245" t="s">
        <v>22</v>
      </c>
      <c r="L461" s="289"/>
      <c r="M461" s="245" t="s">
        <v>1254</v>
      </c>
      <c r="O461" s="245" t="s">
        <v>55</v>
      </c>
      <c r="P461" s="331">
        <v>45988</v>
      </c>
      <c r="Q461" s="327">
        <f t="shared" ca="1" si="67"/>
        <v>137</v>
      </c>
    </row>
    <row r="462" spans="1:17" s="245" customFormat="1" hidden="1">
      <c r="A462" s="289">
        <f t="shared" si="68"/>
        <v>460</v>
      </c>
      <c r="B462" s="284">
        <v>45868</v>
      </c>
      <c r="C462" s="339" t="str">
        <f t="shared" si="65"/>
        <v>MP0460</v>
      </c>
      <c r="D462" s="245" t="s">
        <v>1257</v>
      </c>
      <c r="E462" s="367">
        <v>3000</v>
      </c>
      <c r="F462" s="289">
        <v>60</v>
      </c>
      <c r="G462" s="289">
        <v>6.8</v>
      </c>
      <c r="H462" s="246">
        <f t="shared" si="64"/>
        <v>20400</v>
      </c>
      <c r="I462" s="245" t="s">
        <v>1256</v>
      </c>
      <c r="K462" s="245" t="s">
        <v>22</v>
      </c>
      <c r="L462" s="289" t="s">
        <v>1102</v>
      </c>
      <c r="M462" s="245" t="s">
        <v>1254</v>
      </c>
      <c r="O462" s="245" t="s">
        <v>55</v>
      </c>
      <c r="P462" s="331">
        <v>45868</v>
      </c>
      <c r="Q462" s="327">
        <f t="shared" ca="1" si="67"/>
        <v>257</v>
      </c>
    </row>
    <row r="463" spans="1:17" s="245" customFormat="1" hidden="1">
      <c r="A463" s="289">
        <f t="shared" si="68"/>
        <v>461</v>
      </c>
      <c r="B463" s="284">
        <v>45868</v>
      </c>
      <c r="C463" s="245" t="str">
        <f t="shared" si="65"/>
        <v>MP0461</v>
      </c>
      <c r="D463" s="402" t="s">
        <v>1258</v>
      </c>
      <c r="E463" s="367">
        <v>3000</v>
      </c>
      <c r="F463" s="289">
        <v>67</v>
      </c>
      <c r="G463" s="289">
        <v>8</v>
      </c>
      <c r="H463" s="246">
        <f t="shared" si="64"/>
        <v>24000</v>
      </c>
      <c r="I463" s="245" t="s">
        <v>1256</v>
      </c>
      <c r="J463" s="245" t="s">
        <v>265</v>
      </c>
      <c r="K463" s="245" t="s">
        <v>22</v>
      </c>
      <c r="L463" s="289"/>
      <c r="M463" s="245" t="s">
        <v>1254</v>
      </c>
      <c r="O463" s="245" t="s">
        <v>55</v>
      </c>
      <c r="P463" s="331">
        <v>45868</v>
      </c>
      <c r="Q463" s="327">
        <f t="shared" ca="1" si="67"/>
        <v>257</v>
      </c>
    </row>
    <row r="464" spans="1:17" s="250" customFormat="1" hidden="1">
      <c r="A464" s="270">
        <f t="shared" si="68"/>
        <v>462</v>
      </c>
      <c r="B464" s="296">
        <v>45868</v>
      </c>
      <c r="C464" s="250" t="str">
        <f t="shared" si="65"/>
        <v>MP0462</v>
      </c>
      <c r="D464" s="250" t="s">
        <v>1259</v>
      </c>
      <c r="E464" s="270">
        <v>3000</v>
      </c>
      <c r="F464" s="270">
        <v>350</v>
      </c>
      <c r="G464" s="270">
        <v>63</v>
      </c>
      <c r="H464" s="252">
        <v>0</v>
      </c>
      <c r="I464" s="250" t="s">
        <v>1260</v>
      </c>
      <c r="K464" s="250" t="s">
        <v>1261</v>
      </c>
      <c r="L464" s="270"/>
      <c r="M464" s="250" t="s">
        <v>1262</v>
      </c>
      <c r="O464" s="250" t="s">
        <v>370</v>
      </c>
      <c r="P464" s="308">
        <v>45874</v>
      </c>
      <c r="Q464" s="309">
        <f t="shared" ca="1" si="67"/>
        <v>251</v>
      </c>
    </row>
    <row r="465" spans="1:17" s="245" customFormat="1" hidden="1">
      <c r="A465" s="289">
        <f t="shared" si="68"/>
        <v>463</v>
      </c>
      <c r="B465" s="284">
        <v>45869</v>
      </c>
      <c r="C465" s="245" t="str">
        <f t="shared" si="65"/>
        <v>MP0463</v>
      </c>
      <c r="D465" s="246" t="s">
        <v>50</v>
      </c>
      <c r="E465" s="247">
        <v>2000</v>
      </c>
      <c r="F465" s="247">
        <v>168</v>
      </c>
      <c r="G465" s="247">
        <v>24</v>
      </c>
      <c r="H465" s="246">
        <f t="shared" si="64"/>
        <v>48000</v>
      </c>
      <c r="I465" s="246" t="s">
        <v>51</v>
      </c>
      <c r="J465" s="246" t="s">
        <v>52</v>
      </c>
      <c r="K465" s="246" t="s">
        <v>27</v>
      </c>
      <c r="L465" s="248"/>
      <c r="M465" s="249"/>
      <c r="N465" s="246"/>
      <c r="O465" s="246" t="s">
        <v>55</v>
      </c>
      <c r="P465" s="328">
        <v>45869</v>
      </c>
      <c r="Q465" s="327">
        <f ca="1">TODAY()-P465</f>
        <v>256</v>
      </c>
    </row>
    <row r="466" spans="1:17" s="245" customFormat="1" hidden="1">
      <c r="A466" s="289">
        <f t="shared" si="68"/>
        <v>464</v>
      </c>
      <c r="B466" s="284">
        <v>45868</v>
      </c>
      <c r="C466" s="245" t="str">
        <f t="shared" si="65"/>
        <v>MP0464</v>
      </c>
      <c r="D466" s="245" t="s">
        <v>1263</v>
      </c>
      <c r="E466" s="289">
        <v>1200</v>
      </c>
      <c r="F466" s="289">
        <v>180</v>
      </c>
      <c r="G466" s="289">
        <v>13</v>
      </c>
      <c r="H466" s="246">
        <f t="shared" si="64"/>
        <v>15600</v>
      </c>
      <c r="I466" s="245" t="s">
        <v>1264</v>
      </c>
      <c r="J466" s="245" t="s">
        <v>930</v>
      </c>
      <c r="K466" s="245" t="s">
        <v>20</v>
      </c>
      <c r="L466" s="289">
        <v>1273</v>
      </c>
      <c r="M466" s="245" t="s">
        <v>1245</v>
      </c>
      <c r="O466" s="246" t="s">
        <v>55</v>
      </c>
      <c r="P466" s="326">
        <v>45901</v>
      </c>
      <c r="Q466" s="327">
        <f t="shared" ca="1" si="67"/>
        <v>224</v>
      </c>
    </row>
    <row r="467" spans="1:17" s="245" customFormat="1" ht="15.75" hidden="1">
      <c r="A467" s="289">
        <f t="shared" si="68"/>
        <v>465</v>
      </c>
      <c r="B467" s="284">
        <v>45868</v>
      </c>
      <c r="C467" s="245" t="str">
        <f t="shared" si="65"/>
        <v>MP0465</v>
      </c>
      <c r="D467" s="273" t="s">
        <v>668</v>
      </c>
      <c r="E467" s="247">
        <v>300</v>
      </c>
      <c r="F467" s="247">
        <v>4700</v>
      </c>
      <c r="G467" s="247">
        <v>165</v>
      </c>
      <c r="H467" s="246">
        <f t="shared" si="64"/>
        <v>49500</v>
      </c>
      <c r="I467" s="273" t="s">
        <v>1265</v>
      </c>
      <c r="J467" s="246" t="s">
        <v>609</v>
      </c>
      <c r="K467" s="246" t="s">
        <v>7</v>
      </c>
      <c r="L467" s="248"/>
      <c r="M467" s="249"/>
      <c r="N467" s="246" t="s">
        <v>133</v>
      </c>
      <c r="O467" s="246" t="s">
        <v>55</v>
      </c>
      <c r="P467" s="328">
        <v>45901</v>
      </c>
      <c r="Q467" s="327">
        <f t="shared" ca="1" si="67"/>
        <v>224</v>
      </c>
    </row>
    <row r="468" spans="1:17" s="245" customFormat="1" hidden="1">
      <c r="A468" s="289">
        <f t="shared" si="68"/>
        <v>466</v>
      </c>
      <c r="B468" s="284">
        <v>45868</v>
      </c>
      <c r="C468" s="245" t="str">
        <f t="shared" si="65"/>
        <v>MP0466</v>
      </c>
      <c r="D468" s="246" t="s">
        <v>740</v>
      </c>
      <c r="E468" s="247">
        <v>2000</v>
      </c>
      <c r="F468" s="247">
        <v>143</v>
      </c>
      <c r="G468" s="278">
        <v>15.5</v>
      </c>
      <c r="H468" s="246">
        <f t="shared" si="64"/>
        <v>31000</v>
      </c>
      <c r="I468" s="246" t="s">
        <v>741</v>
      </c>
      <c r="J468" s="246" t="s">
        <v>742</v>
      </c>
      <c r="K468" s="246" t="s">
        <v>683</v>
      </c>
      <c r="L468" s="248"/>
      <c r="M468" s="249"/>
      <c r="N468" s="246"/>
      <c r="O468" s="246" t="s">
        <v>55</v>
      </c>
      <c r="P468" s="328">
        <v>45972</v>
      </c>
      <c r="Q468" s="329">
        <f t="shared" ref="Q468:Q469" ca="1" si="70">TODAY()-P468</f>
        <v>153</v>
      </c>
    </row>
    <row r="469" spans="1:17" s="245" customFormat="1" hidden="1">
      <c r="A469" s="289">
        <f t="shared" si="68"/>
        <v>467</v>
      </c>
      <c r="B469" s="284">
        <v>45868</v>
      </c>
      <c r="C469" s="245" t="str">
        <f t="shared" si="65"/>
        <v>MP0467</v>
      </c>
      <c r="D469" s="249" t="s">
        <v>460</v>
      </c>
      <c r="E469" s="247">
        <v>200</v>
      </c>
      <c r="F469" s="247">
        <v>3900</v>
      </c>
      <c r="G469" s="247">
        <v>470</v>
      </c>
      <c r="H469" s="246">
        <f t="shared" si="64"/>
        <v>94000</v>
      </c>
      <c r="I469" s="246" t="s">
        <v>66</v>
      </c>
      <c r="J469" s="246" t="s">
        <v>60</v>
      </c>
      <c r="K469" s="246" t="s">
        <v>4</v>
      </c>
      <c r="L469" s="248"/>
      <c r="M469" s="249"/>
      <c r="N469" s="246" t="s">
        <v>89</v>
      </c>
      <c r="O469" s="246" t="s">
        <v>55</v>
      </c>
      <c r="P469" s="328">
        <v>45870</v>
      </c>
      <c r="Q469" s="329">
        <f t="shared" ca="1" si="70"/>
        <v>255</v>
      </c>
    </row>
    <row r="470" spans="1:17" s="245" customFormat="1" hidden="1">
      <c r="A470" s="289">
        <f t="shared" si="68"/>
        <v>468</v>
      </c>
      <c r="B470" s="284">
        <v>45868</v>
      </c>
      <c r="C470" s="245" t="str">
        <f t="shared" si="65"/>
        <v>MP0468</v>
      </c>
      <c r="D470" s="246" t="s">
        <v>381</v>
      </c>
      <c r="E470" s="247">
        <v>300</v>
      </c>
      <c r="F470" s="247">
        <v>1250</v>
      </c>
      <c r="G470" s="247">
        <v>72</v>
      </c>
      <c r="H470" s="246">
        <f t="shared" ref="H470" si="71">IF(G470="","",E470*G470)</f>
        <v>21600</v>
      </c>
      <c r="I470" s="246" t="s">
        <v>125</v>
      </c>
      <c r="J470" s="246" t="s">
        <v>113</v>
      </c>
      <c r="K470" s="246" t="s">
        <v>19</v>
      </c>
      <c r="L470" s="248"/>
      <c r="N470" s="246"/>
      <c r="O470" s="246" t="s">
        <v>55</v>
      </c>
      <c r="P470" s="328">
        <v>45870</v>
      </c>
      <c r="Q470" s="327">
        <f t="shared" ref="Q470" ca="1" si="72">TODAY()-P470</f>
        <v>255</v>
      </c>
    </row>
    <row r="471" spans="1:17" s="245" customFormat="1" hidden="1">
      <c r="A471" s="289">
        <f t="shared" si="68"/>
        <v>469</v>
      </c>
      <c r="B471" s="284">
        <v>45868</v>
      </c>
      <c r="C471" s="245" t="str">
        <f t="shared" si="65"/>
        <v>MP0469</v>
      </c>
      <c r="D471" s="246" t="s">
        <v>914</v>
      </c>
      <c r="E471" s="247">
        <v>3000</v>
      </c>
      <c r="F471" s="247">
        <v>75</v>
      </c>
      <c r="G471" s="278">
        <v>15.5</v>
      </c>
      <c r="H471" s="246">
        <f t="shared" ref="H471" si="73">IF(G471="","",E471*G471)</f>
        <v>46500</v>
      </c>
      <c r="I471" s="277" t="s">
        <v>737</v>
      </c>
      <c r="J471" s="246" t="s">
        <v>762</v>
      </c>
      <c r="K471" s="246" t="s">
        <v>20</v>
      </c>
      <c r="L471" s="248"/>
      <c r="M471" s="249"/>
      <c r="O471" s="246" t="s">
        <v>55</v>
      </c>
      <c r="P471" s="328">
        <v>45870</v>
      </c>
      <c r="Q471" s="329">
        <f t="shared" ref="Q471" ca="1" si="74">TODAY()-P471</f>
        <v>255</v>
      </c>
    </row>
    <row r="472" spans="1:17" s="245" customFormat="1" hidden="1">
      <c r="A472" s="289">
        <f t="shared" si="68"/>
        <v>470</v>
      </c>
      <c r="B472" s="284">
        <v>45868</v>
      </c>
      <c r="C472" s="245" t="str">
        <f t="shared" si="65"/>
        <v>MP0470</v>
      </c>
      <c r="D472" s="246" t="s">
        <v>514</v>
      </c>
      <c r="E472" s="247">
        <v>5000</v>
      </c>
      <c r="F472" s="247">
        <v>71.08</v>
      </c>
      <c r="G472" s="278">
        <v>13.7</v>
      </c>
      <c r="H472" s="246">
        <f t="shared" ref="H472" si="75">IF(G472="","",E472*G472)</f>
        <v>68500</v>
      </c>
      <c r="I472" s="246" t="s">
        <v>515</v>
      </c>
      <c r="J472" s="246" t="s">
        <v>308</v>
      </c>
      <c r="K472" s="246" t="s">
        <v>7</v>
      </c>
      <c r="L472" s="248"/>
      <c r="M472" s="249"/>
      <c r="N472" s="246" t="s">
        <v>133</v>
      </c>
      <c r="O472" s="246" t="s">
        <v>55</v>
      </c>
      <c r="P472" s="328">
        <v>45931</v>
      </c>
      <c r="Q472" s="327">
        <f t="shared" ref="Q472:Q536" ca="1" si="76">TODAY()-P472</f>
        <v>194</v>
      </c>
    </row>
    <row r="473" spans="1:17" s="245" customFormat="1" hidden="1">
      <c r="A473" s="289">
        <f t="shared" si="68"/>
        <v>471</v>
      </c>
      <c r="B473" s="284">
        <v>45875</v>
      </c>
      <c r="C473" s="245" t="str">
        <f t="shared" ref="C473:C538" si="77">IF(B473="","",_xlfn.CONCAT("MP0",A473))</f>
        <v>MP0471</v>
      </c>
      <c r="D473" s="245" t="s">
        <v>1266</v>
      </c>
      <c r="E473" s="289">
        <v>10000</v>
      </c>
      <c r="F473" s="289">
        <v>52</v>
      </c>
      <c r="G473" s="289">
        <v>4.25</v>
      </c>
      <c r="H473" s="245">
        <f>Table1[[#This Row],[RATE]]*Table1[[#This Row],[Quantity]]</f>
        <v>42500</v>
      </c>
      <c r="I473" s="245" t="s">
        <v>1267</v>
      </c>
      <c r="J473" s="245" t="s">
        <v>967</v>
      </c>
      <c r="K473" s="245" t="s">
        <v>2</v>
      </c>
      <c r="L473" s="289"/>
      <c r="M473" s="245" t="s">
        <v>620</v>
      </c>
      <c r="O473" s="245" t="s">
        <v>55</v>
      </c>
      <c r="P473" s="326">
        <v>45870</v>
      </c>
      <c r="Q473" s="327">
        <f t="shared" ca="1" si="76"/>
        <v>255</v>
      </c>
    </row>
    <row r="474" spans="1:17" s="245" customFormat="1" hidden="1">
      <c r="A474" s="289">
        <f t="shared" si="68"/>
        <v>472</v>
      </c>
      <c r="B474" s="284">
        <v>45875</v>
      </c>
      <c r="C474" s="245" t="str">
        <f t="shared" si="77"/>
        <v>MP0472</v>
      </c>
      <c r="D474" s="245" t="s">
        <v>1268</v>
      </c>
      <c r="E474" s="289">
        <v>3000</v>
      </c>
      <c r="F474" s="289">
        <v>115</v>
      </c>
      <c r="G474" s="289">
        <v>13</v>
      </c>
      <c r="H474" s="246">
        <f t="shared" ref="H474:H505" si="78">IF(G474="","",E474*G474)</f>
        <v>39000</v>
      </c>
      <c r="I474" s="245" t="s">
        <v>1269</v>
      </c>
      <c r="J474" s="245" t="s">
        <v>930</v>
      </c>
      <c r="K474" s="245" t="s">
        <v>22</v>
      </c>
      <c r="L474" s="289"/>
      <c r="M474" s="245" t="s">
        <v>1270</v>
      </c>
      <c r="O474" s="245" t="s">
        <v>55</v>
      </c>
      <c r="P474" s="326">
        <v>46020</v>
      </c>
      <c r="Q474" s="327">
        <f t="shared" ca="1" si="76"/>
        <v>105</v>
      </c>
    </row>
    <row r="475" spans="1:17" s="245" customFormat="1" hidden="1">
      <c r="A475" s="289">
        <f t="shared" si="68"/>
        <v>473</v>
      </c>
      <c r="B475" s="284">
        <v>45875</v>
      </c>
      <c r="C475" s="245" t="str">
        <f t="shared" si="77"/>
        <v>MP0473</v>
      </c>
      <c r="D475" s="246" t="s">
        <v>321</v>
      </c>
      <c r="E475" s="247">
        <v>5000</v>
      </c>
      <c r="F475" s="247">
        <v>124</v>
      </c>
      <c r="G475" s="247">
        <v>12</v>
      </c>
      <c r="H475" s="246">
        <f t="shared" si="78"/>
        <v>60000</v>
      </c>
      <c r="I475" s="246" t="s">
        <v>237</v>
      </c>
      <c r="J475" s="246" t="s">
        <v>265</v>
      </c>
      <c r="K475" s="246" t="s">
        <v>24</v>
      </c>
      <c r="L475" s="248"/>
      <c r="M475" s="249"/>
      <c r="N475" s="246"/>
      <c r="O475" s="246" t="s">
        <v>55</v>
      </c>
      <c r="P475" s="328">
        <v>45901</v>
      </c>
      <c r="Q475" s="327">
        <f t="shared" ca="1" si="76"/>
        <v>224</v>
      </c>
    </row>
    <row r="476" spans="1:17" s="245" customFormat="1" hidden="1">
      <c r="A476" s="289">
        <f t="shared" si="68"/>
        <v>474</v>
      </c>
      <c r="B476" s="284">
        <v>45875</v>
      </c>
      <c r="C476" s="245" t="str">
        <f t="shared" si="77"/>
        <v>MP0474</v>
      </c>
      <c r="D476" s="245" t="s">
        <v>1271</v>
      </c>
      <c r="E476" s="289">
        <v>2000</v>
      </c>
      <c r="F476" s="289">
        <v>160</v>
      </c>
      <c r="G476" s="289">
        <v>26</v>
      </c>
      <c r="H476" s="246">
        <f t="shared" si="78"/>
        <v>52000</v>
      </c>
      <c r="I476" s="245" t="s">
        <v>1272</v>
      </c>
      <c r="J476" s="245" t="s">
        <v>930</v>
      </c>
      <c r="K476" s="245" t="s">
        <v>15</v>
      </c>
      <c r="L476" s="289" t="s">
        <v>620</v>
      </c>
      <c r="O476" s="245" t="s">
        <v>55</v>
      </c>
      <c r="P476" s="326">
        <v>45878</v>
      </c>
      <c r="Q476" s="327">
        <f t="shared" ca="1" si="76"/>
        <v>247</v>
      </c>
    </row>
    <row r="477" spans="1:17" s="245" customFormat="1" hidden="1">
      <c r="A477" s="289">
        <f t="shared" si="68"/>
        <v>475</v>
      </c>
      <c r="B477" s="284">
        <v>45875</v>
      </c>
      <c r="C477" s="245" t="str">
        <f t="shared" si="77"/>
        <v>MP0475</v>
      </c>
      <c r="D477" s="245" t="s">
        <v>1273</v>
      </c>
      <c r="E477" s="289">
        <v>300</v>
      </c>
      <c r="F477" s="289">
        <v>1800</v>
      </c>
      <c r="G477" s="289">
        <v>310</v>
      </c>
      <c r="H477" s="246">
        <f t="shared" si="78"/>
        <v>93000</v>
      </c>
      <c r="I477" s="245" t="s">
        <v>1109</v>
      </c>
      <c r="J477" s="245" t="s">
        <v>609</v>
      </c>
      <c r="K477" s="245" t="s">
        <v>1042</v>
      </c>
      <c r="L477" s="289" t="s">
        <v>620</v>
      </c>
      <c r="M477" s="245" t="s">
        <v>1102</v>
      </c>
      <c r="O477" s="245" t="s">
        <v>55</v>
      </c>
      <c r="P477" s="326">
        <v>45901</v>
      </c>
      <c r="Q477" s="327">
        <f t="shared" ca="1" si="76"/>
        <v>224</v>
      </c>
    </row>
    <row r="478" spans="1:17" s="245" customFormat="1" ht="30" hidden="1">
      <c r="A478" s="289">
        <f t="shared" si="68"/>
        <v>476</v>
      </c>
      <c r="B478" s="284">
        <v>45875</v>
      </c>
      <c r="C478" s="245" t="str">
        <f t="shared" si="77"/>
        <v>MP0476</v>
      </c>
      <c r="D478" s="245" t="s">
        <v>1274</v>
      </c>
      <c r="E478" s="289">
        <v>300</v>
      </c>
      <c r="F478" s="382" t="s">
        <v>1275</v>
      </c>
      <c r="G478" s="289">
        <v>234</v>
      </c>
      <c r="H478" s="246">
        <f t="shared" si="78"/>
        <v>70200</v>
      </c>
      <c r="I478" s="245" t="s">
        <v>1276</v>
      </c>
      <c r="J478" s="245" t="s">
        <v>609</v>
      </c>
      <c r="K478" s="245" t="s">
        <v>1042</v>
      </c>
      <c r="L478" s="289" t="s">
        <v>620</v>
      </c>
      <c r="M478" s="245" t="s">
        <v>1102</v>
      </c>
      <c r="O478" s="245" t="s">
        <v>55</v>
      </c>
      <c r="P478" s="326">
        <v>45931</v>
      </c>
      <c r="Q478" s="327">
        <f t="shared" ca="1" si="76"/>
        <v>194</v>
      </c>
    </row>
    <row r="479" spans="1:17" s="245" customFormat="1" hidden="1">
      <c r="A479" s="289">
        <f t="shared" si="68"/>
        <v>477</v>
      </c>
      <c r="B479" s="284">
        <v>45875</v>
      </c>
      <c r="C479" s="245" t="str">
        <f t="shared" si="77"/>
        <v>MP0477</v>
      </c>
      <c r="D479" s="249" t="s">
        <v>1277</v>
      </c>
      <c r="E479" s="247">
        <v>1200</v>
      </c>
      <c r="F479" s="247">
        <v>190</v>
      </c>
      <c r="G479" s="247">
        <v>22</v>
      </c>
      <c r="H479" s="246">
        <f t="shared" si="78"/>
        <v>26400</v>
      </c>
      <c r="I479" s="246" t="s">
        <v>264</v>
      </c>
      <c r="J479" s="246" t="s">
        <v>265</v>
      </c>
      <c r="K479" s="246" t="s">
        <v>20</v>
      </c>
      <c r="L479" s="248"/>
      <c r="M479" s="249"/>
      <c r="N479" s="246" t="s">
        <v>133</v>
      </c>
      <c r="O479" s="246" t="s">
        <v>55</v>
      </c>
      <c r="P479" s="328">
        <v>45875</v>
      </c>
      <c r="Q479" s="327">
        <f t="shared" ca="1" si="76"/>
        <v>250</v>
      </c>
    </row>
    <row r="480" spans="1:17" s="245" customFormat="1" hidden="1">
      <c r="A480" s="289">
        <f t="shared" si="68"/>
        <v>478</v>
      </c>
      <c r="B480" s="284">
        <v>45875</v>
      </c>
      <c r="C480" s="245" t="str">
        <f t="shared" si="77"/>
        <v>MP0478</v>
      </c>
      <c r="D480" s="246" t="s">
        <v>1278</v>
      </c>
      <c r="E480" s="247">
        <v>2000</v>
      </c>
      <c r="F480" s="247">
        <v>100</v>
      </c>
      <c r="G480" s="278">
        <v>24</v>
      </c>
      <c r="H480" s="246">
        <f t="shared" si="78"/>
        <v>48000</v>
      </c>
      <c r="I480" s="246" t="s">
        <v>1279</v>
      </c>
      <c r="J480" s="246" t="s">
        <v>1280</v>
      </c>
      <c r="K480" s="246" t="s">
        <v>27</v>
      </c>
      <c r="L480" s="248">
        <v>2396</v>
      </c>
      <c r="M480" s="249" t="s">
        <v>1281</v>
      </c>
      <c r="N480" s="246"/>
      <c r="O480" s="246" t="s">
        <v>55</v>
      </c>
      <c r="P480" s="328">
        <v>45985</v>
      </c>
      <c r="Q480" s="327">
        <f t="shared" ca="1" si="76"/>
        <v>140</v>
      </c>
    </row>
    <row r="481" spans="1:17" s="245" customFormat="1" hidden="1">
      <c r="A481" s="289">
        <f t="shared" si="68"/>
        <v>479</v>
      </c>
      <c r="B481" s="284">
        <v>45875</v>
      </c>
      <c r="C481" s="245" t="str">
        <f t="shared" si="77"/>
        <v>MP0479</v>
      </c>
      <c r="D481" s="245" t="s">
        <v>1282</v>
      </c>
      <c r="E481" s="289">
        <v>300</v>
      </c>
      <c r="F481" s="289" t="s">
        <v>1283</v>
      </c>
      <c r="G481" s="289">
        <v>130</v>
      </c>
      <c r="H481" s="246">
        <f t="shared" si="78"/>
        <v>39000</v>
      </c>
      <c r="I481" s="317" t="s">
        <v>1284</v>
      </c>
      <c r="K481" s="245" t="s">
        <v>20</v>
      </c>
      <c r="L481" s="289"/>
      <c r="M481" s="249" t="s">
        <v>1285</v>
      </c>
      <c r="O481" s="246" t="s">
        <v>55</v>
      </c>
      <c r="P481" s="328">
        <v>46008</v>
      </c>
      <c r="Q481" s="327">
        <f t="shared" ca="1" si="76"/>
        <v>117</v>
      </c>
    </row>
    <row r="482" spans="1:17" s="245" customFormat="1" hidden="1">
      <c r="A482" s="289">
        <f t="shared" si="68"/>
        <v>480</v>
      </c>
      <c r="B482" s="284">
        <v>45877</v>
      </c>
      <c r="C482" s="245" t="str">
        <f t="shared" si="77"/>
        <v>MP0480</v>
      </c>
      <c r="D482" s="342" t="s">
        <v>1286</v>
      </c>
      <c r="E482" s="289">
        <v>10000</v>
      </c>
      <c r="F482" s="289">
        <v>18</v>
      </c>
      <c r="G482" s="289">
        <v>1.7</v>
      </c>
      <c r="H482" s="246">
        <f t="shared" si="78"/>
        <v>17000</v>
      </c>
      <c r="I482" s="245" t="s">
        <v>1287</v>
      </c>
      <c r="J482" s="245" t="s">
        <v>634</v>
      </c>
      <c r="K482" s="245" t="s">
        <v>635</v>
      </c>
      <c r="L482" s="289"/>
      <c r="M482" s="245" t="s">
        <v>1288</v>
      </c>
      <c r="O482" s="245" t="s">
        <v>55</v>
      </c>
      <c r="P482" s="326">
        <v>45901</v>
      </c>
      <c r="Q482" s="327">
        <f t="shared" ca="1" si="76"/>
        <v>224</v>
      </c>
    </row>
    <row r="483" spans="1:17" s="245" customFormat="1" hidden="1">
      <c r="A483" s="289">
        <f t="shared" si="68"/>
        <v>481</v>
      </c>
      <c r="B483" s="284">
        <v>45877</v>
      </c>
      <c r="C483" s="245" t="str">
        <f t="shared" si="77"/>
        <v>MP0481</v>
      </c>
      <c r="D483" s="245" t="s">
        <v>1259</v>
      </c>
      <c r="E483" s="289">
        <v>1000</v>
      </c>
      <c r="F483" s="289">
        <v>350</v>
      </c>
      <c r="G483" s="289">
        <v>65</v>
      </c>
      <c r="H483" s="246">
        <f t="shared" si="78"/>
        <v>65000</v>
      </c>
      <c r="I483" s="245" t="s">
        <v>1260</v>
      </c>
      <c r="K483" s="245" t="s">
        <v>1289</v>
      </c>
      <c r="L483" s="289"/>
      <c r="M483" s="245" t="s">
        <v>1135</v>
      </c>
      <c r="O483" s="277" t="s">
        <v>55</v>
      </c>
      <c r="P483" s="326">
        <v>45931</v>
      </c>
      <c r="Q483" s="327">
        <f t="shared" ca="1" si="76"/>
        <v>194</v>
      </c>
    </row>
    <row r="484" spans="1:17" s="245" customFormat="1" hidden="1">
      <c r="A484" s="289">
        <f t="shared" si="68"/>
        <v>482</v>
      </c>
      <c r="B484" s="284">
        <v>45877</v>
      </c>
      <c r="C484" s="245" t="str">
        <f t="shared" si="77"/>
        <v>MP0482</v>
      </c>
      <c r="D484" s="245" t="s">
        <v>1290</v>
      </c>
      <c r="E484" s="367">
        <v>1000</v>
      </c>
      <c r="F484" s="289">
        <v>80</v>
      </c>
      <c r="G484" s="289">
        <v>30</v>
      </c>
      <c r="H484" s="246">
        <f t="shared" si="78"/>
        <v>30000</v>
      </c>
      <c r="I484" s="245" t="s">
        <v>1247</v>
      </c>
      <c r="J484" s="245" t="s">
        <v>1248</v>
      </c>
      <c r="K484" s="245" t="s">
        <v>1289</v>
      </c>
      <c r="L484" s="289"/>
      <c r="M484" s="245" t="s">
        <v>1135</v>
      </c>
      <c r="O484" s="277" t="s">
        <v>55</v>
      </c>
      <c r="P484" s="331">
        <v>45877</v>
      </c>
      <c r="Q484" s="327">
        <f t="shared" ca="1" si="76"/>
        <v>248</v>
      </c>
    </row>
    <row r="485" spans="1:17" s="245" customFormat="1" hidden="1">
      <c r="A485" s="289">
        <f t="shared" si="68"/>
        <v>483</v>
      </c>
      <c r="B485" s="284">
        <v>45877</v>
      </c>
      <c r="C485" s="245" t="str">
        <f t="shared" si="77"/>
        <v>MP0483</v>
      </c>
      <c r="D485" s="246" t="s">
        <v>413</v>
      </c>
      <c r="E485" s="289">
        <v>500</v>
      </c>
      <c r="F485" s="289">
        <v>224</v>
      </c>
      <c r="G485" s="289">
        <v>325</v>
      </c>
      <c r="H485" s="246">
        <f t="shared" si="78"/>
        <v>162500</v>
      </c>
      <c r="I485" s="245" t="s">
        <v>66</v>
      </c>
      <c r="J485" s="245" t="s">
        <v>60</v>
      </c>
      <c r="K485" s="245" t="s">
        <v>7</v>
      </c>
      <c r="L485" s="289"/>
      <c r="O485" s="246" t="s">
        <v>55</v>
      </c>
      <c r="P485" s="326">
        <v>45931</v>
      </c>
      <c r="Q485" s="327">
        <f t="shared" ca="1" si="76"/>
        <v>194</v>
      </c>
    </row>
    <row r="486" spans="1:17" s="245" customFormat="1" hidden="1">
      <c r="A486" s="289">
        <f t="shared" si="68"/>
        <v>484</v>
      </c>
      <c r="B486" s="284">
        <v>45877</v>
      </c>
      <c r="C486" s="245" t="str">
        <f t="shared" si="77"/>
        <v>MP0484</v>
      </c>
      <c r="D486" s="245" t="s">
        <v>1291</v>
      </c>
      <c r="E486" s="289">
        <v>300</v>
      </c>
      <c r="F486" s="289">
        <v>119</v>
      </c>
      <c r="G486" s="289">
        <v>90</v>
      </c>
      <c r="H486" s="246">
        <f t="shared" si="78"/>
        <v>27000</v>
      </c>
      <c r="I486" s="245" t="s">
        <v>1292</v>
      </c>
      <c r="J486" s="245" t="s">
        <v>609</v>
      </c>
      <c r="K486" s="245" t="s">
        <v>1156</v>
      </c>
      <c r="L486" s="289"/>
      <c r="O486" s="245" t="s">
        <v>55</v>
      </c>
      <c r="P486" s="326">
        <v>45981</v>
      </c>
      <c r="Q486" s="327">
        <f t="shared" ca="1" si="76"/>
        <v>144</v>
      </c>
    </row>
    <row r="487" spans="1:17" s="245" customFormat="1" hidden="1">
      <c r="A487" s="289">
        <f t="shared" si="68"/>
        <v>485</v>
      </c>
      <c r="B487" s="284">
        <v>45877</v>
      </c>
      <c r="C487" s="245" t="str">
        <f t="shared" si="77"/>
        <v>MP0485</v>
      </c>
      <c r="D487" s="245" t="s">
        <v>1293</v>
      </c>
      <c r="E487" s="289">
        <v>1000</v>
      </c>
      <c r="F487" s="289">
        <v>240</v>
      </c>
      <c r="G487" s="289">
        <v>28</v>
      </c>
      <c r="H487" s="246">
        <f t="shared" si="78"/>
        <v>28000</v>
      </c>
      <c r="I487" s="370" t="s">
        <v>1294</v>
      </c>
      <c r="J487" s="245" t="s">
        <v>609</v>
      </c>
      <c r="K487" s="245" t="s">
        <v>1156</v>
      </c>
      <c r="L487" s="289"/>
      <c r="O487" s="245" t="s">
        <v>55</v>
      </c>
      <c r="P487" s="326">
        <v>45995</v>
      </c>
      <c r="Q487" s="327">
        <f t="shared" ca="1" si="76"/>
        <v>130</v>
      </c>
    </row>
    <row r="488" spans="1:17" s="245" customFormat="1" hidden="1">
      <c r="A488" s="289">
        <f t="shared" si="68"/>
        <v>486</v>
      </c>
      <c r="B488" s="284">
        <v>45877</v>
      </c>
      <c r="C488" s="245" t="str">
        <f t="shared" si="77"/>
        <v>MP0486</v>
      </c>
      <c r="D488" s="245" t="s">
        <v>1295</v>
      </c>
      <c r="E488" s="289">
        <v>1000</v>
      </c>
      <c r="F488" s="289">
        <v>210</v>
      </c>
      <c r="G488" s="289">
        <v>28</v>
      </c>
      <c r="H488" s="246">
        <f t="shared" si="78"/>
        <v>28000</v>
      </c>
      <c r="I488" s="370" t="s">
        <v>1294</v>
      </c>
      <c r="K488" s="245" t="s">
        <v>1156</v>
      </c>
      <c r="L488" s="289"/>
      <c r="O488" s="245" t="s">
        <v>55</v>
      </c>
      <c r="P488" s="326">
        <v>45995</v>
      </c>
      <c r="Q488" s="327">
        <f t="shared" ca="1" si="76"/>
        <v>130</v>
      </c>
    </row>
    <row r="489" spans="1:17" s="245" customFormat="1" hidden="1">
      <c r="A489" s="289">
        <f t="shared" si="68"/>
        <v>487</v>
      </c>
      <c r="B489" s="284">
        <v>45877</v>
      </c>
      <c r="C489" s="245" t="str">
        <f t="shared" si="77"/>
        <v>MP0487</v>
      </c>
      <c r="D489" s="245" t="s">
        <v>1296</v>
      </c>
      <c r="E489" s="289">
        <v>300</v>
      </c>
      <c r="F489" s="289" t="s">
        <v>1297</v>
      </c>
      <c r="G489" s="289">
        <v>80</v>
      </c>
      <c r="H489" s="246">
        <f t="shared" si="78"/>
        <v>24000</v>
      </c>
      <c r="I489" s="245" t="s">
        <v>1298</v>
      </c>
      <c r="K489" s="245" t="s">
        <v>1156</v>
      </c>
      <c r="L489" s="289"/>
      <c r="M489" s="245" t="s">
        <v>1299</v>
      </c>
      <c r="O489" s="245" t="s">
        <v>55</v>
      </c>
      <c r="P489" s="326">
        <v>45877</v>
      </c>
      <c r="Q489" s="327">
        <f t="shared" ca="1" si="76"/>
        <v>248</v>
      </c>
    </row>
    <row r="490" spans="1:17" s="245" customFormat="1" hidden="1">
      <c r="A490" s="289">
        <f t="shared" si="68"/>
        <v>488</v>
      </c>
      <c r="B490" s="284">
        <v>45877</v>
      </c>
      <c r="C490" s="245" t="str">
        <f t="shared" si="77"/>
        <v>MP0488</v>
      </c>
      <c r="D490" s="245" t="s">
        <v>1300</v>
      </c>
      <c r="E490" s="289">
        <v>1000</v>
      </c>
      <c r="F490" s="289">
        <v>390</v>
      </c>
      <c r="G490" s="289">
        <v>38</v>
      </c>
      <c r="H490" s="246">
        <f t="shared" si="78"/>
        <v>38000</v>
      </c>
      <c r="I490" s="245" t="s">
        <v>1301</v>
      </c>
      <c r="K490" s="245" t="s">
        <v>1156</v>
      </c>
      <c r="L490" s="289"/>
      <c r="O490" s="245" t="s">
        <v>55</v>
      </c>
      <c r="P490" s="326">
        <v>46008</v>
      </c>
      <c r="Q490" s="327">
        <f t="shared" ca="1" si="76"/>
        <v>117</v>
      </c>
    </row>
    <row r="491" spans="1:17" s="245" customFormat="1" hidden="1">
      <c r="A491" s="289">
        <f t="shared" si="68"/>
        <v>489</v>
      </c>
      <c r="B491" s="284">
        <v>45877</v>
      </c>
      <c r="C491" s="245" t="str">
        <f t="shared" si="77"/>
        <v>MP0489</v>
      </c>
      <c r="D491" s="370" t="s">
        <v>1302</v>
      </c>
      <c r="E491" s="289">
        <v>1000</v>
      </c>
      <c r="F491" s="289">
        <v>390</v>
      </c>
      <c r="G491" s="289">
        <v>38</v>
      </c>
      <c r="H491" s="246">
        <f t="shared" si="78"/>
        <v>38000</v>
      </c>
      <c r="I491" s="370" t="s">
        <v>1303</v>
      </c>
      <c r="K491" s="245" t="s">
        <v>1156</v>
      </c>
      <c r="L491" s="289"/>
      <c r="O491" s="245" t="s">
        <v>55</v>
      </c>
      <c r="P491" s="326">
        <v>46008</v>
      </c>
      <c r="Q491" s="327">
        <f t="shared" ca="1" si="76"/>
        <v>117</v>
      </c>
    </row>
    <row r="492" spans="1:17" s="245" customFormat="1" hidden="1">
      <c r="A492" s="289">
        <f t="shared" si="68"/>
        <v>490</v>
      </c>
      <c r="B492" s="284">
        <v>45877</v>
      </c>
      <c r="C492" s="245" t="str">
        <f t="shared" si="77"/>
        <v>MP0490</v>
      </c>
      <c r="D492" s="245" t="s">
        <v>1304</v>
      </c>
      <c r="E492" s="289">
        <v>1000</v>
      </c>
      <c r="F492" s="289">
        <v>419</v>
      </c>
      <c r="G492" s="289">
        <v>42</v>
      </c>
      <c r="H492" s="246">
        <f t="shared" si="78"/>
        <v>42000</v>
      </c>
      <c r="K492" s="245" t="s">
        <v>1156</v>
      </c>
      <c r="L492" s="289"/>
      <c r="M492" s="310" t="s">
        <v>1305</v>
      </c>
      <c r="O492" s="245" t="s">
        <v>55</v>
      </c>
      <c r="P492" s="326">
        <v>45877</v>
      </c>
      <c r="Q492" s="327">
        <f t="shared" ca="1" si="76"/>
        <v>248</v>
      </c>
    </row>
    <row r="493" spans="1:17" s="245" customFormat="1" hidden="1">
      <c r="A493" s="289">
        <f t="shared" si="68"/>
        <v>491</v>
      </c>
      <c r="B493" s="284">
        <v>45878</v>
      </c>
      <c r="C493" s="245" t="str">
        <f t="shared" si="77"/>
        <v>MP0491</v>
      </c>
      <c r="D493" s="245" t="s">
        <v>1306</v>
      </c>
      <c r="E493" s="289">
        <v>300</v>
      </c>
      <c r="F493" s="289" t="s">
        <v>1307</v>
      </c>
      <c r="G493" s="289">
        <v>62</v>
      </c>
      <c r="H493" s="246">
        <f t="shared" si="78"/>
        <v>18600</v>
      </c>
      <c r="I493" s="245" t="s">
        <v>1308</v>
      </c>
      <c r="J493" s="245" t="s">
        <v>609</v>
      </c>
      <c r="K493" s="245" t="s">
        <v>1042</v>
      </c>
      <c r="L493" s="289"/>
      <c r="M493" s="245" t="s">
        <v>1281</v>
      </c>
      <c r="O493" s="245" t="s">
        <v>55</v>
      </c>
      <c r="P493" s="326">
        <v>45901</v>
      </c>
      <c r="Q493" s="327">
        <f t="shared" ca="1" si="76"/>
        <v>224</v>
      </c>
    </row>
    <row r="494" spans="1:17" s="245" customFormat="1" hidden="1">
      <c r="A494" s="289">
        <f t="shared" si="68"/>
        <v>492</v>
      </c>
      <c r="B494" s="284">
        <v>45878</v>
      </c>
      <c r="C494" s="245" t="str">
        <f t="shared" si="77"/>
        <v>MP0492</v>
      </c>
      <c r="D494" s="245" t="s">
        <v>1309</v>
      </c>
      <c r="E494" s="289">
        <v>300</v>
      </c>
      <c r="F494" s="289">
        <v>19.5</v>
      </c>
      <c r="G494" s="289">
        <v>72</v>
      </c>
      <c r="H494" s="246">
        <f t="shared" si="78"/>
        <v>21600</v>
      </c>
      <c r="I494" s="245" t="s">
        <v>1308</v>
      </c>
      <c r="J494" s="245" t="s">
        <v>609</v>
      </c>
      <c r="K494" s="245" t="s">
        <v>1042</v>
      </c>
      <c r="L494" s="289"/>
      <c r="M494" s="245" t="s">
        <v>1281</v>
      </c>
      <c r="O494" s="245" t="s">
        <v>55</v>
      </c>
      <c r="P494" s="326">
        <v>45901</v>
      </c>
      <c r="Q494" s="327">
        <f t="shared" ca="1" si="76"/>
        <v>224</v>
      </c>
    </row>
    <row r="495" spans="1:17" s="245" customFormat="1" hidden="1">
      <c r="A495" s="289">
        <f t="shared" si="68"/>
        <v>493</v>
      </c>
      <c r="B495" s="284">
        <v>45878</v>
      </c>
      <c r="C495" s="245" t="str">
        <f t="shared" si="77"/>
        <v>MP0493</v>
      </c>
      <c r="D495" s="245" t="s">
        <v>1310</v>
      </c>
      <c r="E495" s="289">
        <v>500</v>
      </c>
      <c r="F495" s="289">
        <v>29.77</v>
      </c>
      <c r="G495" s="289">
        <v>80</v>
      </c>
      <c r="H495" s="246">
        <f t="shared" si="78"/>
        <v>40000</v>
      </c>
      <c r="I495" s="245" t="s">
        <v>1311</v>
      </c>
      <c r="J495" s="245" t="s">
        <v>609</v>
      </c>
      <c r="K495" s="245" t="s">
        <v>15</v>
      </c>
      <c r="L495" s="289"/>
      <c r="M495" s="245" t="s">
        <v>1281</v>
      </c>
      <c r="O495" s="245" t="s">
        <v>55</v>
      </c>
      <c r="P495" s="326">
        <v>45901</v>
      </c>
      <c r="Q495" s="327">
        <f t="shared" ca="1" si="76"/>
        <v>224</v>
      </c>
    </row>
    <row r="496" spans="1:17" s="245" customFormat="1" hidden="1">
      <c r="A496" s="289">
        <f t="shared" si="68"/>
        <v>494</v>
      </c>
      <c r="B496" s="284">
        <v>45880</v>
      </c>
      <c r="C496" s="245" t="str">
        <f t="shared" si="77"/>
        <v>MP0494</v>
      </c>
      <c r="D496" s="245" t="s">
        <v>1312</v>
      </c>
      <c r="E496" s="289">
        <v>300</v>
      </c>
      <c r="F496" s="289">
        <v>25</v>
      </c>
      <c r="G496" s="289">
        <v>115</v>
      </c>
      <c r="H496" s="246">
        <f t="shared" si="78"/>
        <v>34500</v>
      </c>
      <c r="I496" s="245" t="s">
        <v>1313</v>
      </c>
      <c r="J496" s="245" t="s">
        <v>609</v>
      </c>
      <c r="K496" s="245" t="s">
        <v>1042</v>
      </c>
      <c r="L496" s="289"/>
      <c r="M496" s="245" t="s">
        <v>1281</v>
      </c>
      <c r="O496" s="245" t="s">
        <v>55</v>
      </c>
      <c r="P496" s="326">
        <v>45978</v>
      </c>
      <c r="Q496" s="327">
        <f t="shared" ca="1" si="76"/>
        <v>147</v>
      </c>
    </row>
    <row r="497" spans="1:17" s="245" customFormat="1" hidden="1">
      <c r="A497" s="289">
        <f t="shared" si="68"/>
        <v>495</v>
      </c>
      <c r="B497" s="284">
        <v>45880</v>
      </c>
      <c r="C497" s="245" t="str">
        <f t="shared" si="77"/>
        <v>MP0495</v>
      </c>
      <c r="D497" s="245" t="s">
        <v>1314</v>
      </c>
      <c r="E497" s="289">
        <v>300</v>
      </c>
      <c r="F497" s="289">
        <v>33.85</v>
      </c>
      <c r="G497" s="289">
        <v>52.5</v>
      </c>
      <c r="H497" s="246">
        <f t="shared" si="78"/>
        <v>15750</v>
      </c>
      <c r="I497" s="245" t="s">
        <v>1315</v>
      </c>
      <c r="J497" s="245" t="s">
        <v>609</v>
      </c>
      <c r="K497" s="245" t="s">
        <v>15</v>
      </c>
      <c r="L497" s="289"/>
      <c r="O497" s="245" t="s">
        <v>55</v>
      </c>
      <c r="P497" s="326">
        <v>45931</v>
      </c>
      <c r="Q497" s="327">
        <f t="shared" ca="1" si="76"/>
        <v>194</v>
      </c>
    </row>
    <row r="498" spans="1:17" s="245" customFormat="1" hidden="1">
      <c r="A498" s="289">
        <f t="shared" si="68"/>
        <v>496</v>
      </c>
      <c r="B498" s="284">
        <v>45880</v>
      </c>
      <c r="C498" s="245" t="str">
        <f t="shared" si="77"/>
        <v>MP0496</v>
      </c>
      <c r="D498" s="245" t="s">
        <v>1316</v>
      </c>
      <c r="E498" s="289">
        <v>300</v>
      </c>
      <c r="F498" s="289" t="s">
        <v>1317</v>
      </c>
      <c r="G498" s="289">
        <v>80</v>
      </c>
      <c r="H498" s="246">
        <f t="shared" si="78"/>
        <v>24000</v>
      </c>
      <c r="I498" s="245" t="s">
        <v>1318</v>
      </c>
      <c r="J498" s="245" t="s">
        <v>609</v>
      </c>
      <c r="K498" s="245" t="s">
        <v>22</v>
      </c>
      <c r="L498" s="289"/>
      <c r="M498" s="245" t="s">
        <v>1281</v>
      </c>
      <c r="O498" s="245" t="s">
        <v>55</v>
      </c>
      <c r="P498" s="326">
        <v>46109</v>
      </c>
      <c r="Q498" s="327">
        <f t="shared" ca="1" si="76"/>
        <v>16</v>
      </c>
    </row>
    <row r="499" spans="1:17" s="245" customFormat="1" hidden="1">
      <c r="A499" s="289">
        <f t="shared" si="68"/>
        <v>497</v>
      </c>
      <c r="B499" s="284">
        <v>45880</v>
      </c>
      <c r="C499" s="245" t="str">
        <f t="shared" si="77"/>
        <v>MP0497</v>
      </c>
      <c r="D499" s="245" t="s">
        <v>1319</v>
      </c>
      <c r="E499" s="289">
        <v>350</v>
      </c>
      <c r="F499" s="289">
        <v>1990</v>
      </c>
      <c r="G499" s="289">
        <v>220</v>
      </c>
      <c r="H499" s="246">
        <f t="shared" si="78"/>
        <v>77000</v>
      </c>
      <c r="I499" s="245" t="s">
        <v>1320</v>
      </c>
      <c r="J499" s="245" t="s">
        <v>1321</v>
      </c>
      <c r="K499" s="245" t="s">
        <v>1322</v>
      </c>
      <c r="L499" s="289"/>
      <c r="O499" s="245" t="s">
        <v>55</v>
      </c>
      <c r="P499" s="326">
        <v>45973</v>
      </c>
      <c r="Q499" s="327">
        <f t="shared" ca="1" si="76"/>
        <v>152</v>
      </c>
    </row>
    <row r="500" spans="1:17" s="245" customFormat="1" hidden="1">
      <c r="A500" s="289">
        <f t="shared" si="68"/>
        <v>498</v>
      </c>
      <c r="B500" s="284">
        <v>45880</v>
      </c>
      <c r="C500" s="245" t="str">
        <f t="shared" si="77"/>
        <v>MP0498</v>
      </c>
      <c r="D500" s="245" t="s">
        <v>1323</v>
      </c>
      <c r="E500" s="289">
        <v>3000</v>
      </c>
      <c r="F500" s="289">
        <v>215</v>
      </c>
      <c r="G500" s="289">
        <v>26</v>
      </c>
      <c r="H500" s="246">
        <f t="shared" si="78"/>
        <v>78000</v>
      </c>
      <c r="I500" s="245" t="s">
        <v>1324</v>
      </c>
      <c r="J500" s="245" t="s">
        <v>930</v>
      </c>
      <c r="K500" s="245" t="s">
        <v>1156</v>
      </c>
      <c r="L500" s="289"/>
      <c r="O500" s="245" t="s">
        <v>55</v>
      </c>
      <c r="P500" s="326">
        <v>46059</v>
      </c>
      <c r="Q500" s="327">
        <f t="shared" ca="1" si="76"/>
        <v>66</v>
      </c>
    </row>
    <row r="501" spans="1:17" s="245" customFormat="1" hidden="1">
      <c r="A501" s="289">
        <f t="shared" si="68"/>
        <v>499</v>
      </c>
      <c r="B501" s="284">
        <v>45880</v>
      </c>
      <c r="C501" s="245" t="str">
        <f t="shared" si="77"/>
        <v>MP0499</v>
      </c>
      <c r="D501" s="245" t="s">
        <v>1325</v>
      </c>
      <c r="E501" s="289">
        <v>3000</v>
      </c>
      <c r="F501" s="289">
        <v>240</v>
      </c>
      <c r="G501" s="289">
        <v>26</v>
      </c>
      <c r="H501" s="246">
        <f t="shared" si="78"/>
        <v>78000</v>
      </c>
      <c r="I501" s="245" t="s">
        <v>1324</v>
      </c>
      <c r="J501" s="245" t="s">
        <v>930</v>
      </c>
      <c r="K501" s="245" t="s">
        <v>1156</v>
      </c>
      <c r="L501" s="289"/>
      <c r="O501" s="245" t="s">
        <v>55</v>
      </c>
      <c r="P501" s="326">
        <v>46060</v>
      </c>
      <c r="Q501" s="327">
        <f t="shared" ca="1" si="76"/>
        <v>65</v>
      </c>
    </row>
    <row r="502" spans="1:17" s="250" customFormat="1" hidden="1">
      <c r="A502" s="270">
        <f t="shared" si="68"/>
        <v>500</v>
      </c>
      <c r="B502" s="296">
        <v>45880</v>
      </c>
      <c r="C502" s="250" t="str">
        <f t="shared" si="77"/>
        <v>MP0500</v>
      </c>
      <c r="D502" s="205" t="s">
        <v>919</v>
      </c>
      <c r="E502" s="231">
        <v>300</v>
      </c>
      <c r="F502" s="231">
        <v>2650</v>
      </c>
      <c r="G502" s="268">
        <v>145</v>
      </c>
      <c r="H502" s="205">
        <v>0</v>
      </c>
      <c r="I502" s="206" t="s">
        <v>920</v>
      </c>
      <c r="J502" s="252" t="s">
        <v>609</v>
      </c>
      <c r="K502" s="252" t="s">
        <v>1322</v>
      </c>
      <c r="L502" s="241"/>
      <c r="M502" s="260"/>
      <c r="N502" s="252"/>
      <c r="O502" s="252" t="s">
        <v>370</v>
      </c>
      <c r="P502" s="316">
        <v>45880</v>
      </c>
      <c r="Q502" s="353">
        <f t="shared" ca="1" si="76"/>
        <v>245</v>
      </c>
    </row>
    <row r="503" spans="1:17" s="245" customFormat="1" hidden="1">
      <c r="A503" s="289">
        <f t="shared" si="68"/>
        <v>501</v>
      </c>
      <c r="B503" s="284">
        <v>45880</v>
      </c>
      <c r="C503" s="245" t="str">
        <f t="shared" si="77"/>
        <v>MP0501</v>
      </c>
      <c r="D503" s="245" t="s">
        <v>467</v>
      </c>
      <c r="E503" s="289">
        <v>1200</v>
      </c>
      <c r="F503" s="289">
        <v>645</v>
      </c>
      <c r="G503" s="289">
        <v>118</v>
      </c>
      <c r="H503" s="246">
        <f t="shared" si="78"/>
        <v>141600</v>
      </c>
      <c r="I503" s="245" t="s">
        <v>264</v>
      </c>
      <c r="J503" s="245" t="s">
        <v>775</v>
      </c>
      <c r="K503" s="245" t="s">
        <v>10</v>
      </c>
      <c r="L503" s="289">
        <v>1240</v>
      </c>
      <c r="O503" s="245" t="s">
        <v>55</v>
      </c>
      <c r="P503" s="326">
        <v>45881</v>
      </c>
      <c r="Q503" s="327">
        <f t="shared" ca="1" si="76"/>
        <v>244</v>
      </c>
    </row>
    <row r="504" spans="1:17" s="245" customFormat="1" hidden="1">
      <c r="A504" s="289">
        <f t="shared" si="68"/>
        <v>502</v>
      </c>
      <c r="B504" s="284">
        <v>45880</v>
      </c>
      <c r="C504" s="245" t="str">
        <f t="shared" si="77"/>
        <v>MP0502</v>
      </c>
      <c r="D504" s="246" t="s">
        <v>117</v>
      </c>
      <c r="E504" s="247">
        <v>500</v>
      </c>
      <c r="F504" s="247">
        <v>1750</v>
      </c>
      <c r="G504" s="247">
        <v>65</v>
      </c>
      <c r="H504" s="246">
        <f t="shared" si="78"/>
        <v>32500</v>
      </c>
      <c r="I504" s="246" t="s">
        <v>118</v>
      </c>
      <c r="J504" s="246" t="s">
        <v>60</v>
      </c>
      <c r="K504" s="246" t="s">
        <v>15</v>
      </c>
      <c r="L504" s="248"/>
      <c r="M504" s="249"/>
      <c r="N504" s="246"/>
      <c r="O504" s="245" t="s">
        <v>55</v>
      </c>
      <c r="P504" s="328">
        <v>45911</v>
      </c>
      <c r="Q504" s="327">
        <f t="shared" ca="1" si="76"/>
        <v>214</v>
      </c>
    </row>
    <row r="505" spans="1:17" s="245" customFormat="1" ht="15.75" hidden="1">
      <c r="A505" s="289">
        <f t="shared" si="68"/>
        <v>503</v>
      </c>
      <c r="B505" s="284">
        <v>45880</v>
      </c>
      <c r="C505" s="245" t="str">
        <f t="shared" si="77"/>
        <v>MP0503</v>
      </c>
      <c r="D505" s="273" t="s">
        <v>831</v>
      </c>
      <c r="E505" s="247">
        <v>300</v>
      </c>
      <c r="F505" s="247">
        <v>670</v>
      </c>
      <c r="G505" s="247">
        <v>62</v>
      </c>
      <c r="H505" s="246">
        <f t="shared" si="78"/>
        <v>18600</v>
      </c>
      <c r="I505" s="246" t="s">
        <v>300</v>
      </c>
      <c r="J505" s="246" t="s">
        <v>87</v>
      </c>
      <c r="K505" s="246" t="s">
        <v>22</v>
      </c>
      <c r="L505" s="248"/>
      <c r="M505" s="249"/>
      <c r="N505" s="246" t="s">
        <v>133</v>
      </c>
      <c r="O505" s="245" t="s">
        <v>55</v>
      </c>
      <c r="P505" s="328">
        <v>45934</v>
      </c>
      <c r="Q505" s="327">
        <f t="shared" ca="1" si="76"/>
        <v>191</v>
      </c>
    </row>
    <row r="506" spans="1:17" s="250" customFormat="1" hidden="1">
      <c r="A506" s="270">
        <f t="shared" si="68"/>
        <v>504</v>
      </c>
      <c r="B506" s="384">
        <v>45885</v>
      </c>
      <c r="C506" s="250" t="str">
        <f t="shared" si="77"/>
        <v>MP0504</v>
      </c>
      <c r="D506" s="250" t="s">
        <v>1326</v>
      </c>
      <c r="E506" s="270"/>
      <c r="F506" s="270"/>
      <c r="G506" s="270"/>
      <c r="K506" s="252"/>
      <c r="L506" s="241"/>
      <c r="M506" s="255"/>
      <c r="N506" s="252"/>
      <c r="O506" s="252" t="s">
        <v>370</v>
      </c>
      <c r="P506" s="316"/>
      <c r="Q506" s="309"/>
    </row>
    <row r="507" spans="1:17" s="245" customFormat="1" hidden="1">
      <c r="A507" s="289">
        <f t="shared" si="68"/>
        <v>505</v>
      </c>
      <c r="B507" s="284">
        <v>45885</v>
      </c>
      <c r="C507" s="245" t="str">
        <f t="shared" si="77"/>
        <v>MP0505</v>
      </c>
      <c r="D507" s="315" t="s">
        <v>1327</v>
      </c>
      <c r="E507" s="337">
        <v>2500</v>
      </c>
      <c r="F507" s="337">
        <v>330</v>
      </c>
      <c r="G507" s="348">
        <v>15.75</v>
      </c>
      <c r="H507" s="315">
        <f t="shared" ref="H507:H514" si="79">IF(G507="","",E507*G507)</f>
        <v>39375</v>
      </c>
      <c r="I507" s="294" t="s">
        <v>1328</v>
      </c>
      <c r="J507" s="277" t="s">
        <v>634</v>
      </c>
      <c r="K507" s="277" t="s">
        <v>635</v>
      </c>
      <c r="L507" s="289"/>
      <c r="O507" s="245" t="s">
        <v>55</v>
      </c>
      <c r="P507" s="326">
        <v>45962</v>
      </c>
      <c r="Q507" s="417">
        <f t="shared" ca="1" si="76"/>
        <v>163</v>
      </c>
    </row>
    <row r="508" spans="1:17" s="245" customFormat="1" hidden="1">
      <c r="A508" s="289">
        <f t="shared" si="68"/>
        <v>506</v>
      </c>
      <c r="B508" s="284">
        <v>45887</v>
      </c>
      <c r="C508" s="245" t="str">
        <f t="shared" si="77"/>
        <v>MP0506</v>
      </c>
      <c r="D508" s="315" t="s">
        <v>1329</v>
      </c>
      <c r="E508" s="337">
        <v>3000</v>
      </c>
      <c r="F508" s="337">
        <v>199</v>
      </c>
      <c r="G508" s="348">
        <v>16</v>
      </c>
      <c r="H508" s="315">
        <f t="shared" si="79"/>
        <v>48000</v>
      </c>
      <c r="I508" s="294" t="s">
        <v>1330</v>
      </c>
      <c r="J508" s="277" t="s">
        <v>930</v>
      </c>
      <c r="K508" s="277" t="s">
        <v>20</v>
      </c>
      <c r="L508" s="289"/>
      <c r="O508" s="245" t="s">
        <v>55</v>
      </c>
      <c r="P508" s="326">
        <v>45976</v>
      </c>
      <c r="Q508" s="417">
        <f t="shared" ca="1" si="76"/>
        <v>149</v>
      </c>
    </row>
    <row r="509" spans="1:17" s="245" customFormat="1" hidden="1">
      <c r="A509" s="289">
        <f t="shared" si="68"/>
        <v>507</v>
      </c>
      <c r="B509" s="284">
        <v>45887</v>
      </c>
      <c r="C509" s="245" t="str">
        <f t="shared" si="77"/>
        <v>MP0507</v>
      </c>
      <c r="D509" s="315" t="s">
        <v>1331</v>
      </c>
      <c r="E509" s="337">
        <v>1250</v>
      </c>
      <c r="F509" s="337">
        <v>80</v>
      </c>
      <c r="G509" s="348">
        <v>29</v>
      </c>
      <c r="H509" s="315">
        <f t="shared" si="79"/>
        <v>36250</v>
      </c>
      <c r="I509" s="294" t="s">
        <v>1332</v>
      </c>
      <c r="J509" s="277" t="s">
        <v>930</v>
      </c>
      <c r="K509" s="277" t="s">
        <v>1289</v>
      </c>
      <c r="L509" s="289"/>
      <c r="O509" s="245" t="s">
        <v>55</v>
      </c>
      <c r="P509" s="326">
        <v>45901</v>
      </c>
      <c r="Q509" s="417">
        <f t="shared" ca="1" si="76"/>
        <v>224</v>
      </c>
    </row>
    <row r="510" spans="1:17" s="245" customFormat="1" hidden="1">
      <c r="A510" s="289">
        <f t="shared" si="68"/>
        <v>508</v>
      </c>
      <c r="B510" s="284">
        <v>45887</v>
      </c>
      <c r="C510" s="245" t="str">
        <f t="shared" si="77"/>
        <v>MP0508</v>
      </c>
      <c r="D510" s="315" t="s">
        <v>1331</v>
      </c>
      <c r="E510" s="337">
        <v>1250</v>
      </c>
      <c r="F510" s="337">
        <v>80</v>
      </c>
      <c r="G510" s="348">
        <v>29</v>
      </c>
      <c r="H510" s="315">
        <f t="shared" si="79"/>
        <v>36250</v>
      </c>
      <c r="I510" s="294" t="s">
        <v>1332</v>
      </c>
      <c r="J510" s="277" t="s">
        <v>930</v>
      </c>
      <c r="K510" s="277" t="s">
        <v>1289</v>
      </c>
      <c r="L510" s="289"/>
      <c r="O510" s="245" t="s">
        <v>55</v>
      </c>
      <c r="P510" s="326">
        <v>45901</v>
      </c>
      <c r="Q510" s="417">
        <f t="shared" ca="1" si="76"/>
        <v>224</v>
      </c>
    </row>
    <row r="511" spans="1:17" s="245" customFormat="1" hidden="1">
      <c r="A511" s="289">
        <f t="shared" si="68"/>
        <v>509</v>
      </c>
      <c r="B511" s="284">
        <v>45887</v>
      </c>
      <c r="C511" s="245" t="str">
        <f t="shared" si="77"/>
        <v>MP0509</v>
      </c>
      <c r="D511" s="315" t="s">
        <v>1333</v>
      </c>
      <c r="E511" s="337">
        <v>300</v>
      </c>
      <c r="F511" s="337">
        <v>215</v>
      </c>
      <c r="G511" s="348">
        <v>130</v>
      </c>
      <c r="H511" s="315">
        <f t="shared" si="79"/>
        <v>39000</v>
      </c>
      <c r="I511" s="294" t="s">
        <v>1334</v>
      </c>
      <c r="J511" s="277" t="s">
        <v>1335</v>
      </c>
      <c r="K511" s="277" t="s">
        <v>1289</v>
      </c>
      <c r="L511" s="289"/>
      <c r="O511" s="245" t="s">
        <v>55</v>
      </c>
      <c r="P511" s="326">
        <v>45901</v>
      </c>
      <c r="Q511" s="417">
        <f t="shared" ca="1" si="76"/>
        <v>224</v>
      </c>
    </row>
    <row r="512" spans="1:17" s="245" customFormat="1" hidden="1">
      <c r="A512" s="289">
        <f t="shared" si="68"/>
        <v>510</v>
      </c>
      <c r="B512" s="284">
        <v>45887</v>
      </c>
      <c r="C512" s="245" t="str">
        <f t="shared" si="77"/>
        <v>MP0510</v>
      </c>
      <c r="D512" s="315" t="s">
        <v>1336</v>
      </c>
      <c r="E512" s="337">
        <v>1200</v>
      </c>
      <c r="F512" s="337">
        <v>150</v>
      </c>
      <c r="G512" s="348">
        <v>26</v>
      </c>
      <c r="H512" s="315">
        <f t="shared" si="79"/>
        <v>31200</v>
      </c>
      <c r="I512" s="294" t="s">
        <v>1337</v>
      </c>
      <c r="J512" s="277" t="s">
        <v>628</v>
      </c>
      <c r="K512" s="277" t="s">
        <v>683</v>
      </c>
      <c r="L512" s="289"/>
      <c r="O512" s="245" t="s">
        <v>55</v>
      </c>
      <c r="P512" s="326">
        <v>45931</v>
      </c>
      <c r="Q512" s="417">
        <f t="shared" ca="1" si="76"/>
        <v>194</v>
      </c>
    </row>
    <row r="513" spans="1:18" s="245" customFormat="1" hidden="1">
      <c r="A513" s="289">
        <f t="shared" si="68"/>
        <v>511</v>
      </c>
      <c r="B513" s="284">
        <v>45887</v>
      </c>
      <c r="C513" s="245" t="str">
        <f t="shared" si="77"/>
        <v>MP0511</v>
      </c>
      <c r="D513" s="315" t="s">
        <v>1338</v>
      </c>
      <c r="E513" s="337">
        <v>1200</v>
      </c>
      <c r="F513" s="337">
        <v>150</v>
      </c>
      <c r="G513" s="348">
        <v>26</v>
      </c>
      <c r="H513" s="315">
        <f t="shared" si="79"/>
        <v>31200</v>
      </c>
      <c r="I513" s="294" t="s">
        <v>1339</v>
      </c>
      <c r="J513" s="277" t="s">
        <v>628</v>
      </c>
      <c r="K513" s="277" t="s">
        <v>683</v>
      </c>
      <c r="L513" s="289"/>
      <c r="O513" s="245" t="s">
        <v>55</v>
      </c>
      <c r="P513" s="326">
        <v>45931</v>
      </c>
      <c r="Q513" s="417">
        <f t="shared" ca="1" si="76"/>
        <v>194</v>
      </c>
    </row>
    <row r="514" spans="1:18" s="245" customFormat="1" hidden="1">
      <c r="A514" s="289">
        <f t="shared" si="68"/>
        <v>512</v>
      </c>
      <c r="B514" s="284">
        <v>45887</v>
      </c>
      <c r="C514" s="245" t="str">
        <f t="shared" si="77"/>
        <v>MP0512</v>
      </c>
      <c r="D514" s="315" t="s">
        <v>1340</v>
      </c>
      <c r="E514" s="337">
        <v>300</v>
      </c>
      <c r="F514" s="337">
        <v>99</v>
      </c>
      <c r="G514" s="348">
        <v>130</v>
      </c>
      <c r="H514" s="315">
        <f t="shared" si="79"/>
        <v>39000</v>
      </c>
      <c r="I514" s="294" t="s">
        <v>1341</v>
      </c>
      <c r="J514" s="277" t="s">
        <v>60</v>
      </c>
      <c r="K514" s="277" t="s">
        <v>26</v>
      </c>
      <c r="L514" s="289"/>
      <c r="O514" s="245" t="s">
        <v>55</v>
      </c>
      <c r="P514" s="326">
        <v>45931</v>
      </c>
      <c r="Q514" s="417">
        <f t="shared" ca="1" si="76"/>
        <v>194</v>
      </c>
    </row>
    <row r="515" spans="1:18" s="245" customFormat="1" hidden="1">
      <c r="A515" s="289">
        <f t="shared" si="68"/>
        <v>513</v>
      </c>
      <c r="B515" s="284">
        <v>45887</v>
      </c>
      <c r="C515" s="245" t="str">
        <f t="shared" si="77"/>
        <v>MP0513</v>
      </c>
      <c r="D515" s="246" t="s">
        <v>892</v>
      </c>
      <c r="E515" s="247">
        <v>150</v>
      </c>
      <c r="F515" s="247">
        <v>6900</v>
      </c>
      <c r="G515" s="278">
        <v>580</v>
      </c>
      <c r="H515" s="246">
        <f t="shared" ref="H515" si="80">IF(G515="","",E515*G515)</f>
        <v>87000</v>
      </c>
      <c r="I515" s="246" t="s">
        <v>152</v>
      </c>
      <c r="J515" s="246" t="s">
        <v>60</v>
      </c>
      <c r="K515" s="246" t="s">
        <v>4</v>
      </c>
      <c r="L515" s="248"/>
      <c r="M515" s="249"/>
      <c r="N515" s="246" t="s">
        <v>893</v>
      </c>
      <c r="O515" s="246" t="s">
        <v>55</v>
      </c>
      <c r="P515" s="328">
        <v>45987</v>
      </c>
      <c r="Q515" s="418">
        <f t="shared" ca="1" si="76"/>
        <v>138</v>
      </c>
    </row>
    <row r="516" spans="1:18" s="245" customFormat="1" hidden="1">
      <c r="A516" s="289">
        <f t="shared" si="68"/>
        <v>514</v>
      </c>
      <c r="B516" s="284">
        <v>45887</v>
      </c>
      <c r="C516" s="245" t="str">
        <f t="shared" si="77"/>
        <v>MP0514</v>
      </c>
      <c r="D516" s="190" t="s">
        <v>792</v>
      </c>
      <c r="E516" s="289">
        <v>1000</v>
      </c>
      <c r="F516" s="289" t="s">
        <v>231</v>
      </c>
      <c r="G516" s="289">
        <v>345</v>
      </c>
      <c r="H516" s="315">
        <f t="shared" ref="H516:H579" si="81">IF(G516="","",E516*G516)</f>
        <v>345000</v>
      </c>
      <c r="I516" s="245" t="s">
        <v>66</v>
      </c>
      <c r="J516" s="245" t="s">
        <v>609</v>
      </c>
      <c r="K516" s="245" t="s">
        <v>16</v>
      </c>
      <c r="L516" s="289"/>
      <c r="O516" s="245" t="s">
        <v>55</v>
      </c>
      <c r="P516" s="326">
        <v>45931</v>
      </c>
      <c r="Q516" s="417">
        <f t="shared" ca="1" si="76"/>
        <v>194</v>
      </c>
    </row>
    <row r="517" spans="1:18" s="245" customFormat="1" hidden="1">
      <c r="A517" s="289">
        <f t="shared" si="68"/>
        <v>515</v>
      </c>
      <c r="B517" s="284">
        <v>45892</v>
      </c>
      <c r="C517" s="245" t="str">
        <f t="shared" si="77"/>
        <v>MP0515</v>
      </c>
      <c r="D517" s="245" t="s">
        <v>1342</v>
      </c>
      <c r="E517" s="289">
        <v>150</v>
      </c>
      <c r="F517" s="289">
        <v>6300</v>
      </c>
      <c r="G517" s="289">
        <v>810</v>
      </c>
      <c r="H517" s="315">
        <f t="shared" si="81"/>
        <v>121500</v>
      </c>
      <c r="I517" s="245" t="s">
        <v>1265</v>
      </c>
      <c r="J517" s="245" t="s">
        <v>609</v>
      </c>
      <c r="K517" s="245" t="s">
        <v>16</v>
      </c>
      <c r="L517" s="289"/>
      <c r="O517" s="245" t="s">
        <v>55</v>
      </c>
      <c r="P517" s="326">
        <v>45931</v>
      </c>
      <c r="Q517" s="417">
        <f t="shared" ca="1" si="76"/>
        <v>194</v>
      </c>
    </row>
    <row r="518" spans="1:18" s="245" customFormat="1" hidden="1">
      <c r="A518" s="289">
        <f t="shared" ref="A518:A581" si="82">IF(B518="","",ROW()-2)</f>
        <v>516</v>
      </c>
      <c r="B518" s="284">
        <v>45892</v>
      </c>
      <c r="C518" s="245" t="str">
        <f t="shared" si="77"/>
        <v>MP0516</v>
      </c>
      <c r="D518" s="245" t="s">
        <v>1343</v>
      </c>
      <c r="E518" s="289">
        <v>500</v>
      </c>
      <c r="F518" s="289">
        <v>1995</v>
      </c>
      <c r="G518" s="289">
        <v>345</v>
      </c>
      <c r="H518" s="315">
        <f t="shared" si="81"/>
        <v>172500</v>
      </c>
      <c r="I518" s="245" t="s">
        <v>1344</v>
      </c>
      <c r="J518" s="245" t="s">
        <v>60</v>
      </c>
      <c r="K518" s="245" t="s">
        <v>16</v>
      </c>
      <c r="L518" s="289"/>
      <c r="O518" s="245" t="s">
        <v>55</v>
      </c>
      <c r="P518" s="326">
        <v>45931</v>
      </c>
      <c r="Q518" s="417">
        <f t="shared" ca="1" si="76"/>
        <v>194</v>
      </c>
    </row>
    <row r="519" spans="1:18" s="245" customFormat="1" hidden="1">
      <c r="A519" s="289">
        <f t="shared" si="82"/>
        <v>517</v>
      </c>
      <c r="B519" s="284">
        <v>45896</v>
      </c>
      <c r="C519" s="245" t="str">
        <f t="shared" si="77"/>
        <v>MP0517</v>
      </c>
      <c r="D519" s="245" t="s">
        <v>1345</v>
      </c>
      <c r="E519" s="289">
        <v>300</v>
      </c>
      <c r="F519" s="289">
        <v>1900</v>
      </c>
      <c r="G519" s="289">
        <v>330</v>
      </c>
      <c r="H519" s="315">
        <f t="shared" si="81"/>
        <v>99000</v>
      </c>
      <c r="I519" s="245" t="s">
        <v>1344</v>
      </c>
      <c r="J519" s="245" t="s">
        <v>60</v>
      </c>
      <c r="K519" s="245" t="s">
        <v>16</v>
      </c>
      <c r="L519" s="289"/>
      <c r="O519" s="245" t="s">
        <v>55</v>
      </c>
      <c r="P519" s="326">
        <v>45931</v>
      </c>
      <c r="Q519" s="417">
        <f t="shared" ca="1" si="76"/>
        <v>194</v>
      </c>
    </row>
    <row r="520" spans="1:18" s="245" customFormat="1" hidden="1">
      <c r="A520" s="289">
        <f t="shared" si="82"/>
        <v>518</v>
      </c>
      <c r="B520" s="284">
        <v>45892</v>
      </c>
      <c r="C520" s="245" t="str">
        <f t="shared" si="77"/>
        <v>MP0518</v>
      </c>
      <c r="D520" s="245" t="s">
        <v>1346</v>
      </c>
      <c r="E520" s="289">
        <v>3000</v>
      </c>
      <c r="F520" s="289">
        <v>67</v>
      </c>
      <c r="G520" s="289">
        <v>9</v>
      </c>
      <c r="H520" s="315">
        <f t="shared" si="81"/>
        <v>27000</v>
      </c>
      <c r="I520" s="245" t="s">
        <v>1347</v>
      </c>
      <c r="J520" s="245" t="s">
        <v>930</v>
      </c>
      <c r="K520" s="245" t="s">
        <v>20</v>
      </c>
      <c r="L520" s="289">
        <v>3035</v>
      </c>
      <c r="O520" s="245" t="s">
        <v>55</v>
      </c>
      <c r="P520" s="326">
        <v>45969</v>
      </c>
      <c r="Q520" s="417">
        <f t="shared" ca="1" si="76"/>
        <v>156</v>
      </c>
    </row>
    <row r="521" spans="1:18" hidden="1">
      <c r="A521" s="289">
        <f t="shared" si="82"/>
        <v>519</v>
      </c>
      <c r="B521" s="284">
        <v>45892</v>
      </c>
      <c r="C521" s="245" t="str">
        <f t="shared" si="77"/>
        <v>MP0519</v>
      </c>
      <c r="D521" s="245" t="s">
        <v>1348</v>
      </c>
      <c r="E521" s="289">
        <v>500</v>
      </c>
      <c r="F521" s="289">
        <v>1700</v>
      </c>
      <c r="G521" s="289">
        <v>112</v>
      </c>
      <c r="H521" s="315">
        <f t="shared" si="81"/>
        <v>56000</v>
      </c>
      <c r="I521" s="245" t="s">
        <v>531</v>
      </c>
      <c r="J521" s="245" t="s">
        <v>87</v>
      </c>
      <c r="K521" s="245" t="s">
        <v>1042</v>
      </c>
      <c r="L521" s="289"/>
      <c r="M521" s="245"/>
      <c r="N521" s="245"/>
      <c r="O521" s="245" t="s">
        <v>55</v>
      </c>
      <c r="P521" s="326">
        <v>45958</v>
      </c>
      <c r="Q521" s="417">
        <f t="shared" ca="1" si="76"/>
        <v>167</v>
      </c>
    </row>
    <row r="522" spans="1:18" s="245" customFormat="1" hidden="1">
      <c r="A522" s="289">
        <f t="shared" si="82"/>
        <v>520</v>
      </c>
      <c r="B522" s="284">
        <v>45891</v>
      </c>
      <c r="C522" s="245" t="s">
        <v>1349</v>
      </c>
      <c r="D522" s="245" t="s">
        <v>124</v>
      </c>
      <c r="E522" s="289">
        <v>500</v>
      </c>
      <c r="F522" s="289">
        <v>2500</v>
      </c>
      <c r="G522" s="289">
        <v>150</v>
      </c>
      <c r="H522" s="315">
        <f t="shared" si="81"/>
        <v>75000</v>
      </c>
      <c r="I522" s="245" t="s">
        <v>125</v>
      </c>
      <c r="J522" s="245" t="s">
        <v>113</v>
      </c>
      <c r="K522" s="245" t="s">
        <v>9</v>
      </c>
      <c r="L522" s="289"/>
      <c r="N522" s="245" t="s">
        <v>54</v>
      </c>
      <c r="O522" s="246" t="s">
        <v>55</v>
      </c>
      <c r="P522" s="326">
        <v>45901</v>
      </c>
      <c r="Q522" s="417">
        <f t="shared" ca="1" si="76"/>
        <v>224</v>
      </c>
    </row>
    <row r="523" spans="1:18" s="245" customFormat="1" hidden="1">
      <c r="A523" s="289">
        <f t="shared" si="82"/>
        <v>521</v>
      </c>
      <c r="B523" s="284">
        <v>45902</v>
      </c>
      <c r="C523" s="245" t="str">
        <f t="shared" si="77"/>
        <v>MP0521</v>
      </c>
      <c r="D523" s="245" t="s">
        <v>1350</v>
      </c>
      <c r="E523" s="289">
        <v>500</v>
      </c>
      <c r="F523" s="289">
        <v>1750</v>
      </c>
      <c r="G523" s="289">
        <v>70</v>
      </c>
      <c r="H523" s="315">
        <f t="shared" si="81"/>
        <v>35000</v>
      </c>
      <c r="I523" s="245" t="s">
        <v>1351</v>
      </c>
      <c r="J523" s="245" t="s">
        <v>609</v>
      </c>
      <c r="K523" s="245" t="s">
        <v>1042</v>
      </c>
      <c r="L523" s="289"/>
      <c r="O523" s="245" t="s">
        <v>55</v>
      </c>
      <c r="P523" s="326">
        <v>45931</v>
      </c>
      <c r="Q523" s="417">
        <f t="shared" ca="1" si="76"/>
        <v>194</v>
      </c>
    </row>
    <row r="524" spans="1:18" s="250" customFormat="1" ht="15.75" hidden="1">
      <c r="A524" s="270">
        <f t="shared" si="82"/>
        <v>522</v>
      </c>
      <c r="B524" s="296">
        <v>45902</v>
      </c>
      <c r="C524" s="250" t="str">
        <f>IF(B524="","",_xlfn.CONCAT("MP0",A524))</f>
        <v>MP0522</v>
      </c>
      <c r="D524" s="250" t="s">
        <v>594</v>
      </c>
      <c r="E524" s="270">
        <v>300</v>
      </c>
      <c r="F524" s="270">
        <v>3200</v>
      </c>
      <c r="G524" s="270">
        <v>260</v>
      </c>
      <c r="H524" s="355">
        <v>0</v>
      </c>
      <c r="I524" s="383" t="s">
        <v>595</v>
      </c>
      <c r="J524" s="254" t="s">
        <v>596</v>
      </c>
      <c r="K524" s="254" t="s">
        <v>4</v>
      </c>
      <c r="L524" s="270"/>
      <c r="O524" s="250" t="s">
        <v>370</v>
      </c>
      <c r="P524" s="308"/>
      <c r="Q524" s="308"/>
      <c r="R524" s="349"/>
    </row>
    <row r="525" spans="1:18" s="245" customFormat="1" hidden="1">
      <c r="A525" s="289">
        <f t="shared" si="82"/>
        <v>523</v>
      </c>
      <c r="B525" s="284">
        <v>45891</v>
      </c>
      <c r="C525" s="245" t="str">
        <f t="shared" si="77"/>
        <v>MP0523</v>
      </c>
      <c r="D525" s="245" t="s">
        <v>1352</v>
      </c>
      <c r="E525" s="289">
        <v>300</v>
      </c>
      <c r="F525" s="289">
        <v>2600</v>
      </c>
      <c r="G525" s="289">
        <v>110</v>
      </c>
      <c r="H525" s="315">
        <f t="shared" si="81"/>
        <v>33000</v>
      </c>
      <c r="I525" s="245" t="s">
        <v>66</v>
      </c>
      <c r="J525" s="245" t="s">
        <v>87</v>
      </c>
      <c r="K525" s="245" t="s">
        <v>4</v>
      </c>
      <c r="L525" s="289"/>
      <c r="O525" s="245" t="s">
        <v>55</v>
      </c>
      <c r="P525" s="326">
        <v>45913.732199074075</v>
      </c>
      <c r="Q525" s="419">
        <f t="shared" ca="1" si="76"/>
        <v>211.26780092592526</v>
      </c>
    </row>
    <row r="526" spans="1:18" s="245" customFormat="1" hidden="1">
      <c r="A526" s="289">
        <f t="shared" si="82"/>
        <v>524</v>
      </c>
      <c r="B526" s="284">
        <v>45892</v>
      </c>
      <c r="C526" s="245" t="str">
        <f t="shared" si="77"/>
        <v>MP0524</v>
      </c>
      <c r="D526" s="245" t="s">
        <v>1128</v>
      </c>
      <c r="E526" s="289">
        <v>500</v>
      </c>
      <c r="F526" s="289">
        <v>2000</v>
      </c>
      <c r="G526" s="289">
        <v>365</v>
      </c>
      <c r="H526" s="315">
        <f t="shared" si="81"/>
        <v>182500</v>
      </c>
      <c r="I526" s="245" t="s">
        <v>152</v>
      </c>
      <c r="J526" s="245" t="s">
        <v>609</v>
      </c>
      <c r="K526" s="245" t="s">
        <v>16</v>
      </c>
      <c r="L526" s="289"/>
      <c r="M526" s="245" t="s">
        <v>1353</v>
      </c>
      <c r="N526" s="214" t="s">
        <v>620</v>
      </c>
      <c r="O526" s="245" t="s">
        <v>55</v>
      </c>
      <c r="P526" s="326">
        <v>45915.709687499999</v>
      </c>
      <c r="Q526" s="419">
        <f t="shared" ca="1" si="76"/>
        <v>209.29031250000116</v>
      </c>
    </row>
    <row r="527" spans="1:18" s="245" customFormat="1" hidden="1">
      <c r="A527" s="289">
        <f t="shared" si="82"/>
        <v>525</v>
      </c>
      <c r="B527" s="284">
        <v>45894</v>
      </c>
      <c r="C527" s="245" t="str">
        <f t="shared" si="77"/>
        <v>MP0525</v>
      </c>
      <c r="D527" s="245" t="s">
        <v>147</v>
      </c>
      <c r="E527" s="289">
        <v>500</v>
      </c>
      <c r="F527" s="289">
        <v>1750</v>
      </c>
      <c r="G527" s="289">
        <v>144</v>
      </c>
      <c r="H527" s="315">
        <f t="shared" si="81"/>
        <v>72000</v>
      </c>
      <c r="I527" s="245" t="s">
        <v>66</v>
      </c>
      <c r="J527" s="245" t="s">
        <v>87</v>
      </c>
      <c r="K527" s="245" t="s">
        <v>15</v>
      </c>
      <c r="L527" s="289"/>
      <c r="O527" s="245" t="s">
        <v>55</v>
      </c>
      <c r="P527" s="326">
        <v>45901</v>
      </c>
      <c r="Q527" s="419">
        <f t="shared" ca="1" si="76"/>
        <v>224</v>
      </c>
    </row>
    <row r="528" spans="1:18" s="245" customFormat="1" hidden="1">
      <c r="A528" s="289">
        <f t="shared" si="82"/>
        <v>526</v>
      </c>
      <c r="B528" s="284">
        <v>45894</v>
      </c>
      <c r="C528" s="245" t="str">
        <f t="shared" si="77"/>
        <v>MP0526</v>
      </c>
      <c r="D528" s="245" t="s">
        <v>538</v>
      </c>
      <c r="E528" s="289">
        <v>300</v>
      </c>
      <c r="F528" s="289" t="s">
        <v>231</v>
      </c>
      <c r="G528" s="289">
        <v>235</v>
      </c>
      <c r="H528" s="315">
        <f t="shared" si="81"/>
        <v>70500</v>
      </c>
      <c r="I528" s="245" t="s">
        <v>539</v>
      </c>
      <c r="J528" s="245" t="s">
        <v>609</v>
      </c>
      <c r="K528" s="245" t="s">
        <v>4</v>
      </c>
      <c r="L528" s="289"/>
      <c r="O528" s="245" t="s">
        <v>55</v>
      </c>
      <c r="P528" s="326">
        <v>45916.64340277778</v>
      </c>
      <c r="Q528" s="419">
        <f t="shared" ca="1" si="76"/>
        <v>208.35659722222044</v>
      </c>
    </row>
    <row r="529" spans="1:17" s="245" customFormat="1" hidden="1">
      <c r="A529" s="289">
        <f t="shared" si="82"/>
        <v>527</v>
      </c>
      <c r="B529" s="284">
        <v>45894</v>
      </c>
      <c r="C529" s="245" t="str">
        <f t="shared" si="77"/>
        <v>MP0527</v>
      </c>
      <c r="D529" s="245" t="s">
        <v>1354</v>
      </c>
      <c r="E529" s="289">
        <v>500</v>
      </c>
      <c r="F529" s="289">
        <v>580</v>
      </c>
      <c r="G529" s="289">
        <v>38</v>
      </c>
      <c r="H529" s="315">
        <f t="shared" si="81"/>
        <v>19000</v>
      </c>
      <c r="I529" s="245" t="s">
        <v>59</v>
      </c>
      <c r="J529" s="245" t="s">
        <v>609</v>
      </c>
      <c r="K529" s="245" t="s">
        <v>22</v>
      </c>
      <c r="L529" s="289"/>
      <c r="O529" s="245" t="s">
        <v>55</v>
      </c>
      <c r="P529" s="326">
        <v>45916.643437500003</v>
      </c>
      <c r="Q529" s="419">
        <f t="shared" ca="1" si="76"/>
        <v>208.35656249999738</v>
      </c>
    </row>
    <row r="530" spans="1:17" s="245" customFormat="1" hidden="1">
      <c r="A530" s="289">
        <f t="shared" si="82"/>
        <v>528</v>
      </c>
      <c r="B530" s="284">
        <v>45894</v>
      </c>
      <c r="C530" s="245" t="str">
        <f t="shared" si="77"/>
        <v>MP0528</v>
      </c>
      <c r="D530" s="245" t="s">
        <v>85</v>
      </c>
      <c r="E530" s="289">
        <v>500</v>
      </c>
      <c r="F530" s="289">
        <v>1790</v>
      </c>
      <c r="G530" s="289">
        <v>130</v>
      </c>
      <c r="H530" s="315">
        <f t="shared" si="81"/>
        <v>65000</v>
      </c>
      <c r="I530" s="245" t="s">
        <v>118</v>
      </c>
      <c r="J530" s="245" t="s">
        <v>87</v>
      </c>
      <c r="K530" s="245" t="s">
        <v>4</v>
      </c>
      <c r="L530" s="289"/>
      <c r="O530" s="245" t="s">
        <v>55</v>
      </c>
      <c r="P530" s="326">
        <v>45916.645335648151</v>
      </c>
      <c r="Q530" s="419">
        <f t="shared" ca="1" si="76"/>
        <v>208.35466435184935</v>
      </c>
    </row>
    <row r="531" spans="1:17" s="250" customFormat="1" hidden="1">
      <c r="A531" s="270">
        <f t="shared" si="82"/>
        <v>529</v>
      </c>
      <c r="B531" s="296">
        <v>45894</v>
      </c>
      <c r="C531" s="250" t="str">
        <f t="shared" si="77"/>
        <v>MP0529</v>
      </c>
      <c r="D531" s="250" t="s">
        <v>892</v>
      </c>
      <c r="E531" s="270">
        <v>150</v>
      </c>
      <c r="F531" s="270">
        <v>6900</v>
      </c>
      <c r="G531" s="270">
        <v>580</v>
      </c>
      <c r="H531" s="355">
        <v>0</v>
      </c>
      <c r="I531" s="250" t="s">
        <v>152</v>
      </c>
      <c r="J531" s="250" t="s">
        <v>60</v>
      </c>
      <c r="K531" s="250" t="s">
        <v>4</v>
      </c>
      <c r="L531" s="270"/>
      <c r="M531" s="250" t="s">
        <v>1355</v>
      </c>
      <c r="O531" s="250" t="s">
        <v>370</v>
      </c>
      <c r="P531" s="308">
        <v>45916.649872685186</v>
      </c>
      <c r="Q531" s="420">
        <f t="shared" ca="1" si="76"/>
        <v>208.35012731481402</v>
      </c>
    </row>
    <row r="532" spans="1:17" s="245" customFormat="1" hidden="1">
      <c r="A532" s="289">
        <f t="shared" si="82"/>
        <v>530</v>
      </c>
      <c r="B532" s="284">
        <v>45895</v>
      </c>
      <c r="C532" s="245" t="str">
        <f t="shared" si="77"/>
        <v>MP0530</v>
      </c>
      <c r="D532" s="245" t="s">
        <v>793</v>
      </c>
      <c r="E532" s="289">
        <v>4000</v>
      </c>
      <c r="F532" s="289" t="s">
        <v>231</v>
      </c>
      <c r="G532" s="289">
        <v>16.5</v>
      </c>
      <c r="H532" s="315">
        <f t="shared" si="81"/>
        <v>66000</v>
      </c>
      <c r="I532" s="245" t="s">
        <v>1175</v>
      </c>
      <c r="J532" s="245" t="s">
        <v>1170</v>
      </c>
      <c r="K532" s="245" t="s">
        <v>16</v>
      </c>
      <c r="L532" s="289"/>
      <c r="O532" s="245" t="s">
        <v>55</v>
      </c>
      <c r="P532" s="326">
        <v>45931</v>
      </c>
      <c r="Q532" s="419">
        <f t="shared" ca="1" si="76"/>
        <v>194</v>
      </c>
    </row>
    <row r="533" spans="1:17" s="245" customFormat="1" hidden="1">
      <c r="A533" s="289">
        <f t="shared" si="82"/>
        <v>531</v>
      </c>
      <c r="B533" s="284">
        <v>45895</v>
      </c>
      <c r="C533" s="245" t="str">
        <f t="shared" si="77"/>
        <v>MP0531</v>
      </c>
      <c r="D533" s="245" t="s">
        <v>1356</v>
      </c>
      <c r="E533" s="289">
        <v>500</v>
      </c>
      <c r="F533" s="289" t="s">
        <v>231</v>
      </c>
      <c r="G533" s="289">
        <v>65</v>
      </c>
      <c r="H533" s="315">
        <f t="shared" si="81"/>
        <v>32500</v>
      </c>
      <c r="I533" s="245" t="s">
        <v>118</v>
      </c>
      <c r="J533" s="245" t="s">
        <v>60</v>
      </c>
      <c r="K533" s="245" t="s">
        <v>24</v>
      </c>
      <c r="L533" s="289"/>
      <c r="O533" s="245" t="s">
        <v>55</v>
      </c>
      <c r="P533" s="326">
        <v>45931</v>
      </c>
      <c r="Q533" s="419">
        <f t="shared" ca="1" si="76"/>
        <v>194</v>
      </c>
    </row>
    <row r="534" spans="1:17" s="245" customFormat="1" hidden="1">
      <c r="A534" s="289">
        <f t="shared" si="82"/>
        <v>532</v>
      </c>
      <c r="B534" s="284">
        <v>45896</v>
      </c>
      <c r="C534" s="245" t="str">
        <f t="shared" si="77"/>
        <v>MP0532</v>
      </c>
      <c r="D534" s="245" t="s">
        <v>1357</v>
      </c>
      <c r="E534" s="289">
        <v>5000</v>
      </c>
      <c r="F534" s="289">
        <v>165</v>
      </c>
      <c r="G534" s="289">
        <v>20.5</v>
      </c>
      <c r="H534" s="315">
        <f t="shared" si="81"/>
        <v>102500</v>
      </c>
      <c r="I534" s="245" t="s">
        <v>1358</v>
      </c>
      <c r="J534" s="245" t="s">
        <v>634</v>
      </c>
      <c r="K534" s="245" t="s">
        <v>7</v>
      </c>
      <c r="L534" s="289"/>
      <c r="O534" s="245" t="s">
        <v>55</v>
      </c>
      <c r="P534" s="326">
        <v>45916.734293981484</v>
      </c>
      <c r="Q534" s="419">
        <f t="shared" ca="1" si="76"/>
        <v>208.26570601851563</v>
      </c>
    </row>
    <row r="535" spans="1:17" s="245" customFormat="1" hidden="1">
      <c r="A535" s="289">
        <f t="shared" si="82"/>
        <v>533</v>
      </c>
      <c r="B535" s="284">
        <v>45902</v>
      </c>
      <c r="C535" s="245" t="str">
        <f t="shared" si="77"/>
        <v>MP0533</v>
      </c>
      <c r="D535" s="245" t="s">
        <v>1359</v>
      </c>
      <c r="E535" s="289">
        <v>500</v>
      </c>
      <c r="F535" s="289">
        <v>1380</v>
      </c>
      <c r="G535" s="289">
        <v>70</v>
      </c>
      <c r="H535" s="315">
        <f t="shared" si="81"/>
        <v>35000</v>
      </c>
      <c r="I535" s="245" t="s">
        <v>1351</v>
      </c>
      <c r="J535" s="245" t="s">
        <v>60</v>
      </c>
      <c r="K535" s="245" t="s">
        <v>1042</v>
      </c>
      <c r="L535" s="289"/>
      <c r="O535" s="245" t="s">
        <v>55</v>
      </c>
      <c r="P535" s="326">
        <v>45931</v>
      </c>
      <c r="Q535" s="419">
        <f t="shared" ca="1" si="76"/>
        <v>194</v>
      </c>
    </row>
    <row r="536" spans="1:17" s="245" customFormat="1" hidden="1">
      <c r="A536" s="289">
        <f t="shared" si="82"/>
        <v>534</v>
      </c>
      <c r="B536" s="284">
        <v>45902</v>
      </c>
      <c r="C536" s="245" t="str">
        <f t="shared" si="77"/>
        <v>MP0534</v>
      </c>
      <c r="D536" s="245" t="s">
        <v>85</v>
      </c>
      <c r="E536" s="289">
        <v>1000</v>
      </c>
      <c r="F536" s="289">
        <v>1193</v>
      </c>
      <c r="G536" s="289">
        <v>75</v>
      </c>
      <c r="H536" s="315">
        <f t="shared" si="81"/>
        <v>75000</v>
      </c>
      <c r="I536" s="245" t="s">
        <v>66</v>
      </c>
      <c r="J536" s="245" t="s">
        <v>87</v>
      </c>
      <c r="K536" s="245" t="s">
        <v>1042</v>
      </c>
      <c r="L536" s="289"/>
      <c r="O536" s="245" t="s">
        <v>55</v>
      </c>
      <c r="P536" s="326">
        <v>45916.738645833335</v>
      </c>
      <c r="Q536" s="419">
        <f t="shared" ca="1" si="76"/>
        <v>208.26135416666511</v>
      </c>
    </row>
    <row r="537" spans="1:17" s="250" customFormat="1" hidden="1">
      <c r="A537" s="270">
        <f t="shared" si="82"/>
        <v>535</v>
      </c>
      <c r="B537" s="296">
        <v>45904</v>
      </c>
      <c r="C537" s="250" t="str">
        <f t="shared" si="77"/>
        <v>MP0535</v>
      </c>
      <c r="D537" s="250" t="s">
        <v>1360</v>
      </c>
      <c r="E537" s="270">
        <v>500</v>
      </c>
      <c r="F537" s="270">
        <v>1275</v>
      </c>
      <c r="G537" s="270"/>
      <c r="H537" s="355">
        <v>0</v>
      </c>
      <c r="I537" s="250" t="s">
        <v>1361</v>
      </c>
      <c r="J537" s="250" t="s">
        <v>609</v>
      </c>
      <c r="K537" s="250" t="s">
        <v>24</v>
      </c>
      <c r="L537" s="270"/>
      <c r="O537" s="250" t="s">
        <v>370</v>
      </c>
      <c r="P537" s="308">
        <v>45916.741203703707</v>
      </c>
      <c r="Q537" s="420">
        <f t="shared" ref="Q537:Q600" ca="1" si="83">TODAY()-P537</f>
        <v>208.25879629629344</v>
      </c>
    </row>
    <row r="538" spans="1:17" s="250" customFormat="1" hidden="1">
      <c r="A538" s="270">
        <f t="shared" si="82"/>
        <v>536</v>
      </c>
      <c r="B538" s="296">
        <v>45904</v>
      </c>
      <c r="C538" s="250" t="str">
        <f t="shared" si="77"/>
        <v>MP0536</v>
      </c>
      <c r="D538" s="250" t="s">
        <v>1362</v>
      </c>
      <c r="E538" s="270">
        <v>500</v>
      </c>
      <c r="F538" s="270">
        <v>1575</v>
      </c>
      <c r="G538" s="270"/>
      <c r="H538" s="355">
        <v>0</v>
      </c>
      <c r="I538" s="250" t="s">
        <v>1361</v>
      </c>
      <c r="J538" s="250" t="s">
        <v>609</v>
      </c>
      <c r="K538" s="250" t="s">
        <v>24</v>
      </c>
      <c r="L538" s="270"/>
      <c r="O538" s="250" t="s">
        <v>370</v>
      </c>
      <c r="P538" s="308">
        <v>45916.743125000001</v>
      </c>
      <c r="Q538" s="420">
        <f t="shared" ca="1" si="83"/>
        <v>208.25687499999913</v>
      </c>
    </row>
    <row r="539" spans="1:17" s="250" customFormat="1" hidden="1">
      <c r="A539" s="270">
        <f t="shared" si="82"/>
        <v>537</v>
      </c>
      <c r="B539" s="296">
        <v>45904</v>
      </c>
      <c r="C539" s="250" t="str">
        <f t="shared" ref="C539:C602" si="84">IF(B539="","",_xlfn.CONCAT("MP0",A539))</f>
        <v>MP0537</v>
      </c>
      <c r="D539" s="250" t="s">
        <v>1363</v>
      </c>
      <c r="E539" s="270">
        <v>500</v>
      </c>
      <c r="F539" s="270">
        <v>1250</v>
      </c>
      <c r="G539" s="270"/>
      <c r="H539" s="355">
        <v>0</v>
      </c>
      <c r="I539" s="250" t="s">
        <v>1364</v>
      </c>
      <c r="J539" s="250" t="s">
        <v>609</v>
      </c>
      <c r="K539" s="250" t="s">
        <v>24</v>
      </c>
      <c r="L539" s="270"/>
      <c r="O539" s="250" t="s">
        <v>370</v>
      </c>
      <c r="P539" s="308">
        <v>45916.745162037034</v>
      </c>
      <c r="Q539" s="420">
        <f t="shared" ca="1" si="83"/>
        <v>208.25483796296612</v>
      </c>
    </row>
    <row r="540" spans="1:17" s="250" customFormat="1" hidden="1">
      <c r="A540" s="270">
        <f t="shared" si="82"/>
        <v>538</v>
      </c>
      <c r="B540" s="296">
        <v>45904</v>
      </c>
      <c r="C540" s="250" t="str">
        <f t="shared" si="84"/>
        <v>MP0538</v>
      </c>
      <c r="D540" s="250" t="s">
        <v>1365</v>
      </c>
      <c r="E540" s="270">
        <v>500</v>
      </c>
      <c r="F540" s="270">
        <v>1450</v>
      </c>
      <c r="G540" s="270"/>
      <c r="H540" s="355">
        <v>0</v>
      </c>
      <c r="I540" s="250" t="s">
        <v>1364</v>
      </c>
      <c r="J540" s="250" t="s">
        <v>609</v>
      </c>
      <c r="K540" s="250" t="s">
        <v>24</v>
      </c>
      <c r="L540" s="270"/>
      <c r="O540" s="250" t="s">
        <v>370</v>
      </c>
      <c r="P540" s="308">
        <v>45916.748715277776</v>
      </c>
      <c r="Q540" s="420">
        <f t="shared" ca="1" si="83"/>
        <v>208.25128472222423</v>
      </c>
    </row>
    <row r="541" spans="1:17" s="250" customFormat="1" hidden="1">
      <c r="A541" s="270">
        <f t="shared" si="82"/>
        <v>539</v>
      </c>
      <c r="B541" s="296">
        <v>45904</v>
      </c>
      <c r="C541" s="250" t="str">
        <f t="shared" si="84"/>
        <v>MP0539</v>
      </c>
      <c r="D541" s="250" t="s">
        <v>413</v>
      </c>
      <c r="E541" s="270">
        <v>500</v>
      </c>
      <c r="F541" s="270">
        <v>2240</v>
      </c>
      <c r="G541" s="270">
        <v>322</v>
      </c>
      <c r="H541" s="355">
        <v>0</v>
      </c>
      <c r="I541" s="250" t="s">
        <v>66</v>
      </c>
      <c r="J541" s="250" t="s">
        <v>609</v>
      </c>
      <c r="K541" s="250" t="s">
        <v>24</v>
      </c>
      <c r="L541" s="270"/>
      <c r="M541" s="250" t="s">
        <v>1366</v>
      </c>
      <c r="O541" s="250" t="s">
        <v>370</v>
      </c>
      <c r="P541" s="308">
        <v>45916.75271990741</v>
      </c>
      <c r="Q541" s="420">
        <f t="shared" ca="1" si="83"/>
        <v>208.24728009258979</v>
      </c>
    </row>
    <row r="542" spans="1:17" s="245" customFormat="1" hidden="1">
      <c r="A542" s="289">
        <f t="shared" si="82"/>
        <v>540</v>
      </c>
      <c r="B542" s="284">
        <v>45904</v>
      </c>
      <c r="C542" s="245" t="str">
        <f t="shared" si="84"/>
        <v>MP0540</v>
      </c>
      <c r="D542" s="245" t="s">
        <v>925</v>
      </c>
      <c r="E542" s="289">
        <v>3000</v>
      </c>
      <c r="F542" s="289">
        <v>125</v>
      </c>
      <c r="G542" s="289">
        <v>9.4</v>
      </c>
      <c r="H542" s="315">
        <f t="shared" si="81"/>
        <v>28200</v>
      </c>
      <c r="I542" s="245" t="s">
        <v>143</v>
      </c>
      <c r="J542" s="245" t="s">
        <v>144</v>
      </c>
      <c r="K542" s="245" t="s">
        <v>22</v>
      </c>
      <c r="L542" s="289"/>
      <c r="O542" s="245" t="s">
        <v>55</v>
      </c>
      <c r="P542" s="326">
        <v>45916.754583333335</v>
      </c>
      <c r="Q542" s="419">
        <f t="shared" ca="1" si="83"/>
        <v>208.24541666666482</v>
      </c>
    </row>
    <row r="543" spans="1:17" s="245" customFormat="1" hidden="1">
      <c r="A543" s="289">
        <f t="shared" si="82"/>
        <v>541</v>
      </c>
      <c r="B543" s="284">
        <v>45904</v>
      </c>
      <c r="C543" s="245" t="str">
        <f t="shared" si="84"/>
        <v>MP0541</v>
      </c>
      <c r="D543" s="245" t="s">
        <v>780</v>
      </c>
      <c r="E543" s="289">
        <v>1500</v>
      </c>
      <c r="F543" s="289">
        <v>131</v>
      </c>
      <c r="G543" s="289">
        <v>14.5</v>
      </c>
      <c r="H543" s="315">
        <f t="shared" si="81"/>
        <v>21750</v>
      </c>
      <c r="I543" s="245" t="s">
        <v>264</v>
      </c>
      <c r="J543" s="245" t="s">
        <v>930</v>
      </c>
      <c r="K543" s="245" t="s">
        <v>20</v>
      </c>
      <c r="L543" s="289"/>
      <c r="O543" s="245" t="s">
        <v>55</v>
      </c>
      <c r="P543" s="326">
        <v>45984</v>
      </c>
      <c r="Q543" s="419">
        <f t="shared" ca="1" si="83"/>
        <v>141</v>
      </c>
    </row>
    <row r="544" spans="1:17" s="245" customFormat="1" hidden="1">
      <c r="A544" s="289">
        <f t="shared" si="82"/>
        <v>542</v>
      </c>
      <c r="B544" s="284">
        <v>45904</v>
      </c>
      <c r="C544" s="245" t="str">
        <f t="shared" si="84"/>
        <v>MP0542</v>
      </c>
      <c r="D544" s="245" t="s">
        <v>92</v>
      </c>
      <c r="E544" s="289">
        <v>500</v>
      </c>
      <c r="F544" s="289">
        <v>1200</v>
      </c>
      <c r="G544" s="289">
        <v>50</v>
      </c>
      <c r="H544" s="315">
        <f t="shared" si="81"/>
        <v>25000</v>
      </c>
      <c r="I544" s="245" t="s">
        <v>1351</v>
      </c>
      <c r="J544" s="245" t="s">
        <v>609</v>
      </c>
      <c r="K544" s="245" t="s">
        <v>1042</v>
      </c>
      <c r="L544" s="289">
        <v>492</v>
      </c>
      <c r="O544" s="245" t="s">
        <v>55</v>
      </c>
      <c r="P544" s="326">
        <v>45969</v>
      </c>
      <c r="Q544" s="419">
        <f t="shared" ca="1" si="83"/>
        <v>156</v>
      </c>
    </row>
    <row r="545" spans="1:17" s="245" customFormat="1" hidden="1">
      <c r="A545" s="289">
        <f t="shared" si="82"/>
        <v>543</v>
      </c>
      <c r="B545" s="284">
        <v>45905</v>
      </c>
      <c r="C545" s="245" t="str">
        <f t="shared" si="84"/>
        <v>MP0543</v>
      </c>
      <c r="D545" s="245" t="s">
        <v>1367</v>
      </c>
      <c r="E545" s="289">
        <v>500</v>
      </c>
      <c r="F545" s="289" t="s">
        <v>231</v>
      </c>
      <c r="G545" s="289">
        <v>50</v>
      </c>
      <c r="H545" s="315">
        <f t="shared" si="81"/>
        <v>25000</v>
      </c>
      <c r="I545" s="245" t="s">
        <v>1368</v>
      </c>
      <c r="J545" s="245" t="s">
        <v>609</v>
      </c>
      <c r="K545" s="245" t="s">
        <v>1369</v>
      </c>
      <c r="L545" s="289">
        <v>272</v>
      </c>
      <c r="O545" s="245" t="s">
        <v>55</v>
      </c>
      <c r="P545" s="326">
        <v>45989</v>
      </c>
      <c r="Q545" s="419">
        <f t="shared" ca="1" si="83"/>
        <v>136</v>
      </c>
    </row>
    <row r="546" spans="1:17" s="245" customFormat="1" hidden="1">
      <c r="A546" s="289">
        <f t="shared" si="82"/>
        <v>544</v>
      </c>
      <c r="B546" s="284">
        <v>45905</v>
      </c>
      <c r="C546" s="245" t="str">
        <f t="shared" si="84"/>
        <v>MP0544</v>
      </c>
      <c r="D546" s="245" t="s">
        <v>1370</v>
      </c>
      <c r="E546" s="289">
        <v>300</v>
      </c>
      <c r="F546" s="289">
        <v>1900</v>
      </c>
      <c r="G546" s="289">
        <v>140</v>
      </c>
      <c r="H546" s="315">
        <f t="shared" si="81"/>
        <v>42000</v>
      </c>
      <c r="I546" s="245" t="s">
        <v>59</v>
      </c>
      <c r="J546" s="245" t="s">
        <v>609</v>
      </c>
      <c r="K546" s="245" t="s">
        <v>1369</v>
      </c>
      <c r="L546" s="289">
        <v>271</v>
      </c>
      <c r="O546" s="245" t="s">
        <v>55</v>
      </c>
      <c r="P546" s="326">
        <v>45989</v>
      </c>
      <c r="Q546" s="419">
        <f t="shared" ca="1" si="83"/>
        <v>136</v>
      </c>
    </row>
    <row r="547" spans="1:17" s="245" customFormat="1" hidden="1">
      <c r="A547" s="289">
        <f t="shared" si="82"/>
        <v>545</v>
      </c>
      <c r="B547" s="284">
        <v>45905</v>
      </c>
      <c r="C547" s="245" t="str">
        <f t="shared" si="84"/>
        <v>MP0545</v>
      </c>
      <c r="D547" s="245" t="s">
        <v>1371</v>
      </c>
      <c r="E547" s="289">
        <v>500</v>
      </c>
      <c r="F547" s="289">
        <v>2000</v>
      </c>
      <c r="G547" s="289">
        <v>70</v>
      </c>
      <c r="H547" s="315">
        <f t="shared" si="81"/>
        <v>35000</v>
      </c>
      <c r="I547" s="245" t="s">
        <v>1351</v>
      </c>
      <c r="J547" s="245" t="s">
        <v>609</v>
      </c>
      <c r="K547" s="245" t="s">
        <v>1042</v>
      </c>
      <c r="L547" s="289"/>
      <c r="O547" s="245" t="s">
        <v>55</v>
      </c>
      <c r="P547" s="326">
        <v>45959</v>
      </c>
      <c r="Q547" s="419">
        <f t="shared" ca="1" si="83"/>
        <v>166</v>
      </c>
    </row>
    <row r="548" spans="1:17" s="210" customFormat="1" hidden="1">
      <c r="A548" s="264">
        <f t="shared" si="82"/>
        <v>546</v>
      </c>
      <c r="B548" s="225">
        <v>45905</v>
      </c>
      <c r="C548" s="210" t="str">
        <f t="shared" si="84"/>
        <v>MP0546</v>
      </c>
      <c r="D548" s="210" t="s">
        <v>1372</v>
      </c>
      <c r="E548" s="264">
        <v>300</v>
      </c>
      <c r="F548" s="264">
        <v>2100</v>
      </c>
      <c r="G548" s="264">
        <v>190</v>
      </c>
      <c r="H548" s="235">
        <f t="shared" si="81"/>
        <v>57000</v>
      </c>
      <c r="I548" s="210" t="s">
        <v>531</v>
      </c>
      <c r="J548" s="210" t="s">
        <v>609</v>
      </c>
      <c r="K548" s="210" t="s">
        <v>1369</v>
      </c>
      <c r="L548" s="264"/>
      <c r="M548" s="210" t="s">
        <v>1373</v>
      </c>
      <c r="O548" s="210" t="s">
        <v>135</v>
      </c>
      <c r="P548" s="320">
        <v>45937</v>
      </c>
      <c r="Q548" s="421">
        <f t="shared" ca="1" si="83"/>
        <v>188</v>
      </c>
    </row>
    <row r="549" spans="1:17" s="250" customFormat="1" hidden="1">
      <c r="A549" s="270">
        <f t="shared" si="82"/>
        <v>547</v>
      </c>
      <c r="B549" s="296">
        <v>45906</v>
      </c>
      <c r="C549" s="250" t="str">
        <f t="shared" si="84"/>
        <v>MP0547</v>
      </c>
      <c r="D549" s="250" t="s">
        <v>1374</v>
      </c>
      <c r="E549" s="270"/>
      <c r="F549" s="270"/>
      <c r="G549" s="270"/>
      <c r="H549" s="355">
        <v>0</v>
      </c>
      <c r="I549" s="250" t="s">
        <v>1375</v>
      </c>
      <c r="L549" s="270"/>
      <c r="O549" s="250" t="s">
        <v>370</v>
      </c>
      <c r="P549" s="308"/>
      <c r="Q549" s="420">
        <f t="shared" ca="1" si="83"/>
        <v>46125</v>
      </c>
    </row>
    <row r="550" spans="1:17" s="210" customFormat="1" hidden="1">
      <c r="A550" s="264">
        <f t="shared" si="82"/>
        <v>548</v>
      </c>
      <c r="B550" s="225">
        <v>45906</v>
      </c>
      <c r="C550" s="210" t="str">
        <f t="shared" si="84"/>
        <v>MP0548</v>
      </c>
      <c r="D550" s="210" t="s">
        <v>538</v>
      </c>
      <c r="E550" s="264">
        <v>300</v>
      </c>
      <c r="F550" s="264" t="s">
        <v>231</v>
      </c>
      <c r="G550" s="264">
        <v>392</v>
      </c>
      <c r="H550" s="235">
        <f t="shared" si="81"/>
        <v>117600</v>
      </c>
      <c r="I550" s="210" t="s">
        <v>1376</v>
      </c>
      <c r="J550" s="210" t="s">
        <v>609</v>
      </c>
      <c r="K550" s="210" t="s">
        <v>1369</v>
      </c>
      <c r="L550" s="264"/>
      <c r="O550" s="210" t="s">
        <v>135</v>
      </c>
      <c r="P550" s="320">
        <v>45937</v>
      </c>
      <c r="Q550" s="421">
        <f t="shared" ca="1" si="83"/>
        <v>188</v>
      </c>
    </row>
    <row r="551" spans="1:17" s="250" customFormat="1" hidden="1">
      <c r="A551" s="270">
        <f t="shared" si="82"/>
        <v>549</v>
      </c>
      <c r="B551" s="296">
        <v>45906</v>
      </c>
      <c r="C551" s="250" t="str">
        <f t="shared" si="84"/>
        <v>MP0549</v>
      </c>
      <c r="D551" s="250" t="s">
        <v>1377</v>
      </c>
      <c r="E551" s="270">
        <v>3000</v>
      </c>
      <c r="F551" s="270">
        <v>115</v>
      </c>
      <c r="G551" s="270">
        <v>8.5</v>
      </c>
      <c r="H551" s="355">
        <v>0</v>
      </c>
      <c r="I551" s="250" t="s">
        <v>425</v>
      </c>
      <c r="J551" s="250" t="s">
        <v>144</v>
      </c>
      <c r="K551" s="250" t="s">
        <v>1369</v>
      </c>
      <c r="L551" s="270"/>
      <c r="M551" s="250" t="s">
        <v>1378</v>
      </c>
      <c r="O551" s="250" t="s">
        <v>370</v>
      </c>
      <c r="P551" s="308">
        <v>45920.712060185186</v>
      </c>
      <c r="Q551" s="420">
        <f t="shared" ca="1" si="83"/>
        <v>204.28793981481431</v>
      </c>
    </row>
    <row r="552" spans="1:17" s="210" customFormat="1" hidden="1">
      <c r="A552" s="264">
        <f t="shared" si="82"/>
        <v>550</v>
      </c>
      <c r="B552" s="225">
        <v>45906</v>
      </c>
      <c r="C552" s="210" t="str">
        <f t="shared" si="84"/>
        <v>MP0550</v>
      </c>
      <c r="D552" s="210" t="s">
        <v>1379</v>
      </c>
      <c r="E552" s="264">
        <v>5000</v>
      </c>
      <c r="F552" s="264">
        <v>85</v>
      </c>
      <c r="G552" s="264">
        <v>8</v>
      </c>
      <c r="H552" s="235">
        <f t="shared" si="81"/>
        <v>40000</v>
      </c>
      <c r="I552" s="210" t="s">
        <v>1380</v>
      </c>
      <c r="J552" s="210" t="s">
        <v>930</v>
      </c>
      <c r="K552" s="210" t="s">
        <v>1369</v>
      </c>
      <c r="L552" s="264"/>
      <c r="M552" s="210" t="s">
        <v>1381</v>
      </c>
      <c r="O552" s="210" t="s">
        <v>135</v>
      </c>
      <c r="P552" s="320">
        <v>45968</v>
      </c>
      <c r="Q552" s="421">
        <f t="shared" ca="1" si="83"/>
        <v>157</v>
      </c>
    </row>
    <row r="553" spans="1:17" s="245" customFormat="1" hidden="1">
      <c r="A553" s="289">
        <f t="shared" si="82"/>
        <v>551</v>
      </c>
      <c r="B553" s="284">
        <v>45906</v>
      </c>
      <c r="C553" s="245" t="str">
        <f t="shared" si="84"/>
        <v>MP0551</v>
      </c>
      <c r="D553" s="245" t="s">
        <v>1382</v>
      </c>
      <c r="E553" s="289">
        <v>300</v>
      </c>
      <c r="F553" s="289" t="s">
        <v>231</v>
      </c>
      <c r="G553" s="289">
        <v>365</v>
      </c>
      <c r="H553" s="315">
        <f t="shared" si="81"/>
        <v>109500</v>
      </c>
      <c r="I553" s="245" t="s">
        <v>1344</v>
      </c>
      <c r="J553" s="245" t="s">
        <v>609</v>
      </c>
      <c r="K553" s="245" t="s">
        <v>16</v>
      </c>
      <c r="L553" s="289">
        <v>272</v>
      </c>
      <c r="O553" s="245" t="s">
        <v>55</v>
      </c>
      <c r="P553" s="326">
        <v>45967</v>
      </c>
      <c r="Q553" s="419">
        <f t="shared" ca="1" si="83"/>
        <v>158</v>
      </c>
    </row>
    <row r="554" spans="1:17" s="245" customFormat="1" hidden="1">
      <c r="A554" s="289">
        <f t="shared" si="82"/>
        <v>552</v>
      </c>
      <c r="B554" s="284">
        <v>45906</v>
      </c>
      <c r="C554" s="245" t="str">
        <f t="shared" si="84"/>
        <v>MP0552</v>
      </c>
      <c r="D554" s="245" t="s">
        <v>1383</v>
      </c>
      <c r="E554" s="289">
        <v>500</v>
      </c>
      <c r="F554" s="289" t="s">
        <v>231</v>
      </c>
      <c r="G554" s="289">
        <v>219</v>
      </c>
      <c r="H554" s="315">
        <f t="shared" si="81"/>
        <v>109500</v>
      </c>
      <c r="I554" s="245" t="s">
        <v>1384</v>
      </c>
      <c r="J554" s="245" t="s">
        <v>60</v>
      </c>
      <c r="K554" s="245" t="s">
        <v>16</v>
      </c>
      <c r="L554" s="289"/>
      <c r="O554" s="245" t="s">
        <v>55</v>
      </c>
      <c r="P554" s="326">
        <v>45971</v>
      </c>
      <c r="Q554" s="419">
        <f t="shared" ca="1" si="83"/>
        <v>154</v>
      </c>
    </row>
    <row r="555" spans="1:17" s="245" customFormat="1" hidden="1">
      <c r="A555" s="289">
        <f t="shared" si="82"/>
        <v>553</v>
      </c>
      <c r="B555" s="284">
        <v>45908</v>
      </c>
      <c r="C555" s="245" t="str">
        <f t="shared" si="84"/>
        <v>MP0553</v>
      </c>
      <c r="D555" s="245" t="s">
        <v>1030</v>
      </c>
      <c r="E555" s="289">
        <v>300</v>
      </c>
      <c r="F555" s="289">
        <v>2500</v>
      </c>
      <c r="G555" s="289">
        <v>215</v>
      </c>
      <c r="H555" s="315">
        <f t="shared" si="81"/>
        <v>64500</v>
      </c>
      <c r="I555" s="245" t="s">
        <v>125</v>
      </c>
      <c r="J555" s="245" t="s">
        <v>113</v>
      </c>
      <c r="K555" s="245" t="s">
        <v>1031</v>
      </c>
      <c r="L555" s="289"/>
      <c r="O555" s="245" t="s">
        <v>55</v>
      </c>
      <c r="P555" s="326">
        <v>45990</v>
      </c>
      <c r="Q555" s="419">
        <f t="shared" ca="1" si="83"/>
        <v>135</v>
      </c>
    </row>
    <row r="556" spans="1:17" s="210" customFormat="1" hidden="1">
      <c r="A556" s="264">
        <f t="shared" si="82"/>
        <v>554</v>
      </c>
      <c r="B556" s="225">
        <v>45908</v>
      </c>
      <c r="C556" s="210" t="str">
        <f t="shared" si="84"/>
        <v>MP0554</v>
      </c>
      <c r="D556" s="210" t="s">
        <v>1385</v>
      </c>
      <c r="E556" s="264">
        <v>5000</v>
      </c>
      <c r="F556" s="264">
        <v>99</v>
      </c>
      <c r="G556" s="264">
        <v>9.48</v>
      </c>
      <c r="H556" s="235">
        <f t="shared" si="81"/>
        <v>47400</v>
      </c>
      <c r="I556" s="210" t="s">
        <v>51</v>
      </c>
      <c r="J556" s="210" t="s">
        <v>782</v>
      </c>
      <c r="K556" s="210" t="s">
        <v>1369</v>
      </c>
      <c r="L556" s="264"/>
      <c r="O556" s="210" t="s">
        <v>135</v>
      </c>
      <c r="P556" s="320">
        <v>45955</v>
      </c>
      <c r="Q556" s="421">
        <f t="shared" ca="1" si="83"/>
        <v>170</v>
      </c>
    </row>
    <row r="557" spans="1:17" s="245" customFormat="1" hidden="1">
      <c r="A557" s="289">
        <f t="shared" si="82"/>
        <v>555</v>
      </c>
      <c r="B557" s="284">
        <v>45919</v>
      </c>
      <c r="C557" s="245" t="str">
        <f t="shared" si="84"/>
        <v>MP0555</v>
      </c>
      <c r="D557" s="245" t="s">
        <v>1386</v>
      </c>
      <c r="E557" s="289">
        <v>2400</v>
      </c>
      <c r="F557" s="289">
        <v>55</v>
      </c>
      <c r="G557" s="289">
        <v>9</v>
      </c>
      <c r="H557" s="315">
        <f t="shared" si="81"/>
        <v>21600</v>
      </c>
      <c r="I557" s="245" t="s">
        <v>237</v>
      </c>
      <c r="J557" s="245" t="s">
        <v>782</v>
      </c>
      <c r="K557" s="245" t="s">
        <v>20</v>
      </c>
      <c r="L557" s="289"/>
      <c r="O557" s="245" t="s">
        <v>55</v>
      </c>
      <c r="P557" s="326">
        <v>45981</v>
      </c>
      <c r="Q557" s="419">
        <f t="shared" ca="1" si="83"/>
        <v>144</v>
      </c>
    </row>
    <row r="558" spans="1:17" s="250" customFormat="1" hidden="1">
      <c r="A558" s="270">
        <f t="shared" si="82"/>
        <v>556</v>
      </c>
      <c r="B558" s="296">
        <v>45908</v>
      </c>
      <c r="C558" s="250" t="str">
        <f t="shared" si="84"/>
        <v>MP0556</v>
      </c>
      <c r="D558" s="250" t="s">
        <v>1387</v>
      </c>
      <c r="E558" s="270">
        <v>1000</v>
      </c>
      <c r="F558" s="270">
        <v>225</v>
      </c>
      <c r="G558" s="270"/>
      <c r="H558" s="355">
        <v>0</v>
      </c>
      <c r="I558" s="250" t="s">
        <v>1388</v>
      </c>
      <c r="J558" s="250" t="s">
        <v>1389</v>
      </c>
      <c r="K558" s="250" t="s">
        <v>27</v>
      </c>
      <c r="L558" s="270"/>
      <c r="O558" s="250" t="s">
        <v>370</v>
      </c>
      <c r="P558" s="308">
        <v>45920.737488425926</v>
      </c>
      <c r="Q558" s="420">
        <f t="shared" ca="1" si="83"/>
        <v>204.26251157407387</v>
      </c>
    </row>
    <row r="559" spans="1:17" s="245" customFormat="1" hidden="1">
      <c r="A559" s="289">
        <f t="shared" si="82"/>
        <v>557</v>
      </c>
      <c r="B559" s="284">
        <v>45918</v>
      </c>
      <c r="C559" s="245" t="str">
        <f t="shared" si="84"/>
        <v>MP0557</v>
      </c>
      <c r="D559" s="245" t="s">
        <v>1390</v>
      </c>
      <c r="E559" s="289">
        <v>3000</v>
      </c>
      <c r="F559" s="289">
        <v>120</v>
      </c>
      <c r="G559" s="289">
        <v>13</v>
      </c>
      <c r="H559" s="315">
        <f t="shared" si="81"/>
        <v>39000</v>
      </c>
      <c r="I559" s="245" t="s">
        <v>237</v>
      </c>
      <c r="J559" s="245" t="s">
        <v>930</v>
      </c>
      <c r="K559" s="245" t="s">
        <v>1289</v>
      </c>
      <c r="L559" s="289">
        <v>2500</v>
      </c>
      <c r="O559" s="245" t="s">
        <v>55</v>
      </c>
      <c r="P559" s="326">
        <v>45969</v>
      </c>
      <c r="Q559" s="419">
        <f t="shared" ca="1" si="83"/>
        <v>156</v>
      </c>
    </row>
    <row r="560" spans="1:17" s="250" customFormat="1" hidden="1">
      <c r="A560" s="270">
        <f t="shared" si="82"/>
        <v>558</v>
      </c>
      <c r="B560" s="296">
        <v>45908</v>
      </c>
      <c r="C560" s="250" t="str">
        <f t="shared" si="84"/>
        <v>MP0558</v>
      </c>
      <c r="D560" s="250" t="s">
        <v>1391</v>
      </c>
      <c r="E560" s="270">
        <v>1000</v>
      </c>
      <c r="F560" s="270">
        <v>190</v>
      </c>
      <c r="G560" s="270"/>
      <c r="H560" s="355">
        <v>0</v>
      </c>
      <c r="I560" s="250" t="s">
        <v>1392</v>
      </c>
      <c r="J560" s="250" t="s">
        <v>1389</v>
      </c>
      <c r="K560" s="250" t="s">
        <v>1156</v>
      </c>
      <c r="L560" s="270"/>
      <c r="O560" s="250" t="s">
        <v>370</v>
      </c>
      <c r="P560" s="308">
        <v>45944.563888888886</v>
      </c>
      <c r="Q560" s="420">
        <f t="shared" ca="1" si="83"/>
        <v>180.43611111111386</v>
      </c>
    </row>
    <row r="561" spans="1:17" s="250" customFormat="1" hidden="1">
      <c r="A561" s="270">
        <f t="shared" si="82"/>
        <v>559</v>
      </c>
      <c r="B561" s="296">
        <v>45912</v>
      </c>
      <c r="C561" s="250" t="str">
        <f t="shared" si="84"/>
        <v>MP0559</v>
      </c>
      <c r="D561" s="250" t="s">
        <v>1393</v>
      </c>
      <c r="E561" s="270">
        <v>1000</v>
      </c>
      <c r="F561" s="270">
        <v>395</v>
      </c>
      <c r="G561" s="270"/>
      <c r="H561" s="355">
        <v>0</v>
      </c>
      <c r="I561" s="250" t="s">
        <v>1394</v>
      </c>
      <c r="L561" s="270"/>
      <c r="M561" s="250" t="s">
        <v>1395</v>
      </c>
      <c r="O561" s="250" t="s">
        <v>370</v>
      </c>
      <c r="P561" s="308"/>
      <c r="Q561" s="420">
        <f t="shared" ca="1" si="83"/>
        <v>46125</v>
      </c>
    </row>
    <row r="562" spans="1:17" s="245" customFormat="1" hidden="1">
      <c r="A562" s="289">
        <f t="shared" si="82"/>
        <v>560</v>
      </c>
      <c r="B562" s="284">
        <v>45912</v>
      </c>
      <c r="C562" s="245" t="str">
        <f t="shared" si="84"/>
        <v>MP0560</v>
      </c>
      <c r="D562" s="245" t="s">
        <v>1396</v>
      </c>
      <c r="E562" s="289">
        <v>300</v>
      </c>
      <c r="F562" s="289">
        <v>140</v>
      </c>
      <c r="G562" s="289">
        <v>70</v>
      </c>
      <c r="H562" s="315">
        <f t="shared" si="81"/>
        <v>21000</v>
      </c>
      <c r="I562" s="245" t="s">
        <v>1397</v>
      </c>
      <c r="J562" s="245" t="s">
        <v>1398</v>
      </c>
      <c r="K562" s="245" t="s">
        <v>1399</v>
      </c>
      <c r="L562" s="289"/>
      <c r="M562" s="245" t="s">
        <v>869</v>
      </c>
      <c r="O562" s="245" t="s">
        <v>55</v>
      </c>
      <c r="P562" s="326">
        <v>45973</v>
      </c>
      <c r="Q562" s="419">
        <f t="shared" ca="1" si="83"/>
        <v>152</v>
      </c>
    </row>
    <row r="563" spans="1:17" s="245" customFormat="1" hidden="1">
      <c r="A563" s="289">
        <f t="shared" si="82"/>
        <v>561</v>
      </c>
      <c r="B563" s="284">
        <v>45912</v>
      </c>
      <c r="C563" s="245" t="str">
        <f t="shared" si="84"/>
        <v>MP0561</v>
      </c>
      <c r="D563" s="245" t="s">
        <v>1400</v>
      </c>
      <c r="E563" s="289">
        <v>300</v>
      </c>
      <c r="F563" s="289">
        <v>190</v>
      </c>
      <c r="G563" s="289">
        <v>90</v>
      </c>
      <c r="H563" s="315">
        <f t="shared" si="81"/>
        <v>27000</v>
      </c>
      <c r="I563" s="245" t="s">
        <v>1401</v>
      </c>
      <c r="J563" s="245" t="s">
        <v>1402</v>
      </c>
      <c r="K563" s="245" t="s">
        <v>2</v>
      </c>
      <c r="L563" s="289"/>
      <c r="M563" s="245" t="s">
        <v>1403</v>
      </c>
      <c r="O563" s="245" t="s">
        <v>55</v>
      </c>
      <c r="P563" s="326">
        <v>45973</v>
      </c>
      <c r="Q563" s="419">
        <f t="shared" ca="1" si="83"/>
        <v>152</v>
      </c>
    </row>
    <row r="564" spans="1:17" s="210" customFormat="1" hidden="1">
      <c r="A564" s="264">
        <f t="shared" si="82"/>
        <v>562</v>
      </c>
      <c r="B564" s="225">
        <v>45915</v>
      </c>
      <c r="C564" s="210" t="str">
        <f t="shared" si="84"/>
        <v>MP0562</v>
      </c>
      <c r="D564" s="210" t="s">
        <v>1404</v>
      </c>
      <c r="E564" s="264">
        <v>500</v>
      </c>
      <c r="F564" s="264">
        <v>120</v>
      </c>
      <c r="G564" s="264">
        <v>325</v>
      </c>
      <c r="H564" s="235">
        <f t="shared" si="81"/>
        <v>162500</v>
      </c>
      <c r="I564" s="386" t="s">
        <v>1405</v>
      </c>
      <c r="J564" s="210" t="s">
        <v>1092</v>
      </c>
      <c r="K564" s="210" t="s">
        <v>1037</v>
      </c>
      <c r="L564" s="264" t="s">
        <v>1406</v>
      </c>
      <c r="N564" s="210" t="s">
        <v>620</v>
      </c>
      <c r="O564" s="210" t="s">
        <v>135</v>
      </c>
      <c r="P564" s="320">
        <v>45969</v>
      </c>
      <c r="Q564" s="421">
        <f t="shared" ca="1" si="83"/>
        <v>156</v>
      </c>
    </row>
    <row r="565" spans="1:17" s="210" customFormat="1" hidden="1">
      <c r="A565" s="264">
        <f t="shared" si="82"/>
        <v>563</v>
      </c>
      <c r="B565" s="225">
        <v>45915</v>
      </c>
      <c r="C565" s="210" t="str">
        <f t="shared" si="84"/>
        <v>MP0563</v>
      </c>
      <c r="D565" s="210" t="s">
        <v>1407</v>
      </c>
      <c r="E565" s="264">
        <v>200</v>
      </c>
      <c r="F565" s="264">
        <v>195</v>
      </c>
      <c r="G565" s="264">
        <v>325</v>
      </c>
      <c r="H565" s="235">
        <f t="shared" si="81"/>
        <v>65000</v>
      </c>
      <c r="I565" s="386" t="s">
        <v>1405</v>
      </c>
      <c r="J565" s="210" t="s">
        <v>1092</v>
      </c>
      <c r="K565" s="210" t="s">
        <v>1037</v>
      </c>
      <c r="L565" s="264"/>
      <c r="M565" s="210" t="s">
        <v>1135</v>
      </c>
      <c r="O565" s="210" t="s">
        <v>135</v>
      </c>
      <c r="P565" s="320">
        <v>45980</v>
      </c>
      <c r="Q565" s="421">
        <f t="shared" ca="1" si="83"/>
        <v>145</v>
      </c>
    </row>
    <row r="566" spans="1:17" s="245" customFormat="1" hidden="1">
      <c r="A566" s="289">
        <f t="shared" si="82"/>
        <v>564</v>
      </c>
      <c r="B566" s="284">
        <v>45915</v>
      </c>
      <c r="C566" s="245" t="str">
        <f t="shared" si="84"/>
        <v>MP0564</v>
      </c>
      <c r="D566" s="245" t="s">
        <v>1408</v>
      </c>
      <c r="E566" s="289">
        <v>25000</v>
      </c>
      <c r="F566" s="289" t="s">
        <v>1409</v>
      </c>
      <c r="G566" s="289">
        <v>2.2999999999999998</v>
      </c>
      <c r="H566" s="315">
        <f t="shared" si="81"/>
        <v>57499.999999999993</v>
      </c>
      <c r="I566" s="245" t="s">
        <v>1410</v>
      </c>
      <c r="J566" s="245" t="s">
        <v>1411</v>
      </c>
      <c r="K566" s="245" t="s">
        <v>10</v>
      </c>
      <c r="L566" s="289"/>
      <c r="O566" s="245" t="s">
        <v>55</v>
      </c>
      <c r="P566" s="326">
        <v>45919</v>
      </c>
      <c r="Q566" s="419">
        <f t="shared" ca="1" si="83"/>
        <v>206</v>
      </c>
    </row>
    <row r="567" spans="1:17" s="245" customFormat="1" hidden="1">
      <c r="A567" s="289">
        <f t="shared" si="82"/>
        <v>565</v>
      </c>
      <c r="B567" s="284">
        <v>45915</v>
      </c>
      <c r="C567" s="245" t="str">
        <f t="shared" si="84"/>
        <v>MP0565</v>
      </c>
      <c r="D567" s="245" t="s">
        <v>1412</v>
      </c>
      <c r="E567" s="289">
        <v>3000</v>
      </c>
      <c r="F567" s="289">
        <v>180</v>
      </c>
      <c r="G567" s="289">
        <v>25</v>
      </c>
      <c r="H567" s="315">
        <f t="shared" si="81"/>
        <v>75000</v>
      </c>
      <c r="I567" s="245" t="s">
        <v>1413</v>
      </c>
      <c r="J567" s="245" t="s">
        <v>1411</v>
      </c>
      <c r="K567" s="245" t="s">
        <v>10</v>
      </c>
      <c r="L567" s="289"/>
      <c r="O567" s="245" t="s">
        <v>55</v>
      </c>
      <c r="P567" s="326">
        <v>45985</v>
      </c>
      <c r="Q567" s="419">
        <f t="shared" ca="1" si="83"/>
        <v>140</v>
      </c>
    </row>
    <row r="568" spans="1:17" s="245" customFormat="1" hidden="1">
      <c r="A568" s="289">
        <f t="shared" si="82"/>
        <v>566</v>
      </c>
      <c r="B568" s="284">
        <v>45915</v>
      </c>
      <c r="C568" s="245" t="str">
        <f t="shared" si="84"/>
        <v>MP0566</v>
      </c>
      <c r="D568" s="392" t="s">
        <v>1414</v>
      </c>
      <c r="E568" s="289">
        <v>25000</v>
      </c>
      <c r="F568" s="289">
        <v>24.5</v>
      </c>
      <c r="G568" s="289">
        <v>2.8</v>
      </c>
      <c r="H568" s="315">
        <f t="shared" si="81"/>
        <v>70000</v>
      </c>
      <c r="I568" s="245" t="s">
        <v>1415</v>
      </c>
      <c r="J568" s="245" t="s">
        <v>1411</v>
      </c>
      <c r="K568" s="245" t="s">
        <v>10</v>
      </c>
      <c r="L568" s="289"/>
      <c r="O568" s="245" t="s">
        <v>55</v>
      </c>
      <c r="P568" s="326">
        <v>45981</v>
      </c>
      <c r="Q568" s="419">
        <f t="shared" ca="1" si="83"/>
        <v>144</v>
      </c>
    </row>
    <row r="569" spans="1:17" s="245" customFormat="1" hidden="1">
      <c r="A569" s="289">
        <f t="shared" si="82"/>
        <v>567</v>
      </c>
      <c r="B569" s="284">
        <v>45915</v>
      </c>
      <c r="C569" s="245" t="str">
        <f t="shared" si="84"/>
        <v>MP0567</v>
      </c>
      <c r="D569" s="245" t="s">
        <v>1416</v>
      </c>
      <c r="E569" s="289">
        <v>1200</v>
      </c>
      <c r="F569" s="289">
        <v>180</v>
      </c>
      <c r="G569" s="289">
        <v>13.75</v>
      </c>
      <c r="H569" s="315">
        <f t="shared" si="81"/>
        <v>16500</v>
      </c>
      <c r="I569" s="245" t="s">
        <v>1417</v>
      </c>
      <c r="J569" s="245" t="s">
        <v>930</v>
      </c>
      <c r="K569" s="245" t="s">
        <v>20</v>
      </c>
      <c r="L569" s="289">
        <v>1181</v>
      </c>
      <c r="O569" s="245" t="s">
        <v>55</v>
      </c>
      <c r="P569" s="326">
        <v>45985</v>
      </c>
      <c r="Q569" s="419">
        <f t="shared" ca="1" si="83"/>
        <v>140</v>
      </c>
    </row>
    <row r="570" spans="1:17" s="245" customFormat="1" hidden="1">
      <c r="A570" s="289">
        <f t="shared" si="82"/>
        <v>568</v>
      </c>
      <c r="B570" s="284">
        <v>45915</v>
      </c>
      <c r="C570" s="245" t="str">
        <f>IF(B570="","",_xlfn.CONCAT("MP0",A570))</f>
        <v>MP0568</v>
      </c>
      <c r="D570" s="246" t="s">
        <v>970</v>
      </c>
      <c r="E570" s="247">
        <v>300</v>
      </c>
      <c r="F570" s="247" t="s">
        <v>1418</v>
      </c>
      <c r="G570" s="278">
        <v>115</v>
      </c>
      <c r="H570" s="246">
        <f t="shared" si="81"/>
        <v>34500</v>
      </c>
      <c r="I570" s="246" t="s">
        <v>971</v>
      </c>
      <c r="J570" s="246" t="s">
        <v>113</v>
      </c>
      <c r="K570" s="246" t="s">
        <v>2</v>
      </c>
      <c r="L570" s="289"/>
      <c r="O570" s="245" t="s">
        <v>55</v>
      </c>
      <c r="P570" s="326">
        <v>45945</v>
      </c>
      <c r="Q570" s="419">
        <f t="shared" ca="1" si="83"/>
        <v>180</v>
      </c>
    </row>
    <row r="571" spans="1:17" s="245" customFormat="1" hidden="1">
      <c r="A571" s="289">
        <f t="shared" si="82"/>
        <v>569</v>
      </c>
      <c r="B571" s="284">
        <v>45915</v>
      </c>
      <c r="C571" s="245" t="str">
        <f t="shared" si="84"/>
        <v>MP0569</v>
      </c>
      <c r="D571" s="245" t="s">
        <v>1419</v>
      </c>
      <c r="E571" s="289">
        <v>5000</v>
      </c>
      <c r="F571" s="289">
        <v>132</v>
      </c>
      <c r="G571" s="289">
        <v>8.25</v>
      </c>
      <c r="H571" s="315">
        <f t="shared" si="81"/>
        <v>41250</v>
      </c>
      <c r="I571" s="245" t="s">
        <v>1420</v>
      </c>
      <c r="J571" s="245" t="s">
        <v>144</v>
      </c>
      <c r="K571" s="245" t="s">
        <v>1187</v>
      </c>
      <c r="L571" s="289"/>
      <c r="O571" s="245" t="s">
        <v>55</v>
      </c>
      <c r="P571" s="326">
        <v>45967</v>
      </c>
      <c r="Q571" s="419">
        <f t="shared" ca="1" si="83"/>
        <v>158</v>
      </c>
    </row>
    <row r="572" spans="1:17" s="245" customFormat="1" hidden="1">
      <c r="A572" s="289">
        <f t="shared" si="82"/>
        <v>570</v>
      </c>
      <c r="B572" s="284">
        <v>45915</v>
      </c>
      <c r="C572" s="245" t="str">
        <f t="shared" si="84"/>
        <v>MP0570</v>
      </c>
      <c r="D572" s="277" t="s">
        <v>790</v>
      </c>
      <c r="E572" s="337">
        <v>300</v>
      </c>
      <c r="F572" s="337">
        <v>1810</v>
      </c>
      <c r="G572" s="337">
        <v>106</v>
      </c>
      <c r="H572" s="277">
        <f t="shared" si="81"/>
        <v>31800</v>
      </c>
      <c r="I572" s="277" t="s">
        <v>74</v>
      </c>
      <c r="J572" s="277" t="s">
        <v>60</v>
      </c>
      <c r="K572" s="277" t="s">
        <v>22</v>
      </c>
      <c r="L572" s="338"/>
      <c r="N572" s="277"/>
      <c r="O572" s="277" t="s">
        <v>55</v>
      </c>
      <c r="P572" s="328">
        <v>45931</v>
      </c>
      <c r="Q572" s="422">
        <f t="shared" ca="1" si="83"/>
        <v>194</v>
      </c>
    </row>
    <row r="573" spans="1:17" s="245" customFormat="1" hidden="1">
      <c r="A573" s="289">
        <f t="shared" si="82"/>
        <v>571</v>
      </c>
      <c r="B573" s="284">
        <v>45915</v>
      </c>
      <c r="C573" s="245" t="str">
        <f t="shared" si="84"/>
        <v>MP0571</v>
      </c>
      <c r="D573" s="245" t="s">
        <v>1421</v>
      </c>
      <c r="E573" s="289">
        <v>5000</v>
      </c>
      <c r="F573" s="289" t="s">
        <v>231</v>
      </c>
      <c r="G573" s="289">
        <v>7</v>
      </c>
      <c r="H573" s="315">
        <f t="shared" si="81"/>
        <v>35000</v>
      </c>
      <c r="I573" s="245" t="s">
        <v>1422</v>
      </c>
      <c r="J573" s="245" t="s">
        <v>634</v>
      </c>
      <c r="K573" s="245" t="s">
        <v>1289</v>
      </c>
      <c r="L573" s="289"/>
      <c r="O573" s="245" t="s">
        <v>55</v>
      </c>
      <c r="P573" s="326">
        <v>45960</v>
      </c>
      <c r="Q573" s="419">
        <f t="shared" ca="1" si="83"/>
        <v>165</v>
      </c>
    </row>
    <row r="574" spans="1:17" s="245" customFormat="1" hidden="1">
      <c r="A574" s="289">
        <f t="shared" si="82"/>
        <v>572</v>
      </c>
      <c r="B574" s="284">
        <v>45915</v>
      </c>
      <c r="C574" s="245" t="str">
        <f t="shared" si="84"/>
        <v>MP0572</v>
      </c>
      <c r="D574" s="245" t="s">
        <v>1423</v>
      </c>
      <c r="E574" s="289">
        <v>5000</v>
      </c>
      <c r="F574" s="289" t="s">
        <v>231</v>
      </c>
      <c r="G574" s="289">
        <v>9</v>
      </c>
      <c r="H574" s="315">
        <f t="shared" ref="H574" si="85">IF(G574="","",E574*G574)</f>
        <v>45000</v>
      </c>
      <c r="I574" s="245" t="s">
        <v>1422</v>
      </c>
      <c r="J574" s="245" t="s">
        <v>634</v>
      </c>
      <c r="K574" s="245" t="s">
        <v>1289</v>
      </c>
      <c r="L574" s="289"/>
      <c r="O574" s="245" t="s">
        <v>55</v>
      </c>
      <c r="P574" s="326">
        <v>45960</v>
      </c>
      <c r="Q574" s="419">
        <f t="shared" ca="1" si="83"/>
        <v>165</v>
      </c>
    </row>
    <row r="575" spans="1:17" s="245" customFormat="1" hidden="1">
      <c r="A575" s="289">
        <f t="shared" si="82"/>
        <v>573</v>
      </c>
      <c r="B575" s="284">
        <v>45915</v>
      </c>
      <c r="C575" s="245" t="str">
        <f t="shared" si="84"/>
        <v>MP0573</v>
      </c>
      <c r="D575" s="245" t="s">
        <v>1424</v>
      </c>
      <c r="E575" s="289">
        <v>5000</v>
      </c>
      <c r="F575" s="289" t="s">
        <v>231</v>
      </c>
      <c r="G575" s="289">
        <v>13</v>
      </c>
      <c r="H575" s="315">
        <f t="shared" si="81"/>
        <v>65000</v>
      </c>
      <c r="I575" s="245" t="s">
        <v>1422</v>
      </c>
      <c r="J575" s="245" t="s">
        <v>634</v>
      </c>
      <c r="K575" s="245" t="s">
        <v>1289</v>
      </c>
      <c r="L575" s="289"/>
      <c r="O575" s="245" t="s">
        <v>55</v>
      </c>
      <c r="P575" s="326">
        <v>45960</v>
      </c>
      <c r="Q575" s="419">
        <f t="shared" ca="1" si="83"/>
        <v>165</v>
      </c>
    </row>
    <row r="576" spans="1:17" s="245" customFormat="1" hidden="1">
      <c r="A576" s="289">
        <f t="shared" si="82"/>
        <v>574</v>
      </c>
      <c r="B576" s="284">
        <v>45915</v>
      </c>
      <c r="C576" s="245" t="str">
        <f t="shared" si="84"/>
        <v>MP0574</v>
      </c>
      <c r="D576" s="245" t="s">
        <v>1425</v>
      </c>
      <c r="E576" s="289">
        <v>25000</v>
      </c>
      <c r="F576" s="289" t="s">
        <v>1426</v>
      </c>
      <c r="G576" s="289">
        <v>2.2999999999999998</v>
      </c>
      <c r="H576" s="315">
        <f t="shared" ref="H576:H577" si="86">IF(G576="","",E576*G576)</f>
        <v>57499.999999999993</v>
      </c>
      <c r="I576" s="245" t="s">
        <v>1410</v>
      </c>
      <c r="J576" s="245" t="s">
        <v>1411</v>
      </c>
      <c r="K576" s="245" t="s">
        <v>10</v>
      </c>
      <c r="L576" s="289"/>
      <c r="O576" s="245" t="s">
        <v>55</v>
      </c>
      <c r="P576" s="326">
        <v>45969</v>
      </c>
      <c r="Q576" s="419">
        <f t="shared" ca="1" si="83"/>
        <v>156</v>
      </c>
    </row>
    <row r="577" spans="1:17" s="245" customFormat="1" hidden="1">
      <c r="A577" s="289">
        <f t="shared" si="82"/>
        <v>575</v>
      </c>
      <c r="B577" s="284">
        <v>45915</v>
      </c>
      <c r="C577" s="245" t="str">
        <f t="shared" si="84"/>
        <v>MP0575</v>
      </c>
      <c r="D577" s="246" t="s">
        <v>866</v>
      </c>
      <c r="E577" s="247">
        <v>1200</v>
      </c>
      <c r="F577" s="247">
        <v>111.2</v>
      </c>
      <c r="G577" s="278">
        <v>20.3</v>
      </c>
      <c r="H577" s="246">
        <f t="shared" si="86"/>
        <v>24360</v>
      </c>
      <c r="I577" s="246" t="s">
        <v>737</v>
      </c>
      <c r="J577" s="246" t="s">
        <v>738</v>
      </c>
      <c r="K577" s="246" t="s">
        <v>20</v>
      </c>
      <c r="L577" s="248">
        <v>1235</v>
      </c>
      <c r="M577" s="297"/>
      <c r="O577" s="245" t="s">
        <v>55</v>
      </c>
      <c r="P577" s="326">
        <v>46003</v>
      </c>
      <c r="Q577" s="419">
        <f t="shared" ca="1" si="83"/>
        <v>122</v>
      </c>
    </row>
    <row r="578" spans="1:17" s="250" customFormat="1" hidden="1">
      <c r="A578" s="270">
        <f t="shared" si="82"/>
        <v>576</v>
      </c>
      <c r="B578" s="296">
        <v>45915</v>
      </c>
      <c r="C578" s="250" t="str">
        <f t="shared" si="84"/>
        <v>MP0576</v>
      </c>
      <c r="D578" s="250" t="s">
        <v>1427</v>
      </c>
      <c r="E578" s="270">
        <v>1000</v>
      </c>
      <c r="F578" s="270"/>
      <c r="G578" s="270">
        <v>38</v>
      </c>
      <c r="H578" s="355"/>
      <c r="I578" s="250" t="s">
        <v>1428</v>
      </c>
      <c r="J578" s="250" t="s">
        <v>1429</v>
      </c>
      <c r="K578" s="250" t="s">
        <v>1156</v>
      </c>
      <c r="L578" s="270"/>
      <c r="O578" s="250" t="s">
        <v>370</v>
      </c>
      <c r="P578" s="308">
        <v>45955</v>
      </c>
      <c r="Q578" s="420">
        <f t="shared" ca="1" si="83"/>
        <v>170</v>
      </c>
    </row>
    <row r="579" spans="1:17" s="245" customFormat="1" hidden="1">
      <c r="A579" s="289">
        <f t="shared" si="82"/>
        <v>577</v>
      </c>
      <c r="B579" s="284">
        <v>45926</v>
      </c>
      <c r="C579" s="245" t="str">
        <f t="shared" si="84"/>
        <v>MP0577</v>
      </c>
      <c r="D579" s="245" t="s">
        <v>1430</v>
      </c>
      <c r="E579" s="289">
        <v>10000</v>
      </c>
      <c r="F579" s="289" t="s">
        <v>1431</v>
      </c>
      <c r="G579" s="289">
        <v>5.8</v>
      </c>
      <c r="H579" s="315">
        <f t="shared" si="81"/>
        <v>58000</v>
      </c>
      <c r="I579" s="319" t="s">
        <v>1432</v>
      </c>
      <c r="K579" s="245" t="s">
        <v>10</v>
      </c>
      <c r="L579" s="289"/>
      <c r="O579" s="245" t="s">
        <v>55</v>
      </c>
      <c r="P579" s="326">
        <v>46029</v>
      </c>
      <c r="Q579" s="419">
        <f t="shared" ca="1" si="83"/>
        <v>96</v>
      </c>
    </row>
    <row r="580" spans="1:17" s="245" customFormat="1" hidden="1">
      <c r="A580" s="289">
        <f t="shared" si="82"/>
        <v>578</v>
      </c>
      <c r="B580" s="284">
        <v>45926</v>
      </c>
      <c r="C580" s="245" t="str">
        <f t="shared" si="84"/>
        <v>MP0578</v>
      </c>
      <c r="D580" s="245" t="s">
        <v>1433</v>
      </c>
      <c r="E580" s="289">
        <v>3000</v>
      </c>
      <c r="F580" s="289">
        <v>60</v>
      </c>
      <c r="G580" s="289">
        <v>6.75</v>
      </c>
      <c r="H580" s="315">
        <f t="shared" ref="H580:H646" si="87">IF(G580="","",E580*G580)</f>
        <v>20250</v>
      </c>
      <c r="I580" s="245" t="s">
        <v>1434</v>
      </c>
      <c r="J580" s="245" t="s">
        <v>1435</v>
      </c>
      <c r="K580" s="245" t="s">
        <v>1134</v>
      </c>
      <c r="L580" s="289"/>
      <c r="O580" s="245" t="s">
        <v>55</v>
      </c>
      <c r="P580" s="326">
        <v>45934</v>
      </c>
      <c r="Q580" s="419">
        <f t="shared" ca="1" si="83"/>
        <v>191</v>
      </c>
    </row>
    <row r="581" spans="1:17" s="245" customFormat="1" hidden="1">
      <c r="A581" s="289">
        <f t="shared" si="82"/>
        <v>579</v>
      </c>
      <c r="B581" s="284">
        <v>45926</v>
      </c>
      <c r="C581" s="245" t="str">
        <f t="shared" si="84"/>
        <v>MP0579</v>
      </c>
      <c r="D581" s="245" t="s">
        <v>1436</v>
      </c>
      <c r="E581" s="289">
        <v>2000</v>
      </c>
      <c r="F581" s="289">
        <v>68</v>
      </c>
      <c r="G581" s="289">
        <v>6.75</v>
      </c>
      <c r="H581" s="315">
        <f t="shared" si="87"/>
        <v>13500</v>
      </c>
      <c r="I581" s="245" t="s">
        <v>1434</v>
      </c>
      <c r="K581" s="245" t="s">
        <v>1134</v>
      </c>
      <c r="L581" s="289"/>
      <c r="O581" s="245" t="s">
        <v>55</v>
      </c>
      <c r="P581" s="326">
        <v>45934</v>
      </c>
      <c r="Q581" s="419">
        <f t="shared" ca="1" si="83"/>
        <v>191</v>
      </c>
    </row>
    <row r="582" spans="1:17" s="245" customFormat="1" hidden="1">
      <c r="A582" s="289">
        <f t="shared" ref="A582:A645" si="88">IF(B582="","",ROW()-2)</f>
        <v>580</v>
      </c>
      <c r="B582" s="428">
        <v>45926</v>
      </c>
      <c r="C582" s="245" t="str">
        <f t="shared" si="84"/>
        <v>MP0580</v>
      </c>
      <c r="D582" s="245" t="s">
        <v>1437</v>
      </c>
      <c r="E582" s="289">
        <v>300</v>
      </c>
      <c r="F582" s="289" t="s">
        <v>1438</v>
      </c>
      <c r="G582" s="289">
        <v>140</v>
      </c>
      <c r="H582" s="315">
        <f t="shared" si="87"/>
        <v>42000</v>
      </c>
      <c r="I582" s="245" t="s">
        <v>1439</v>
      </c>
      <c r="J582" s="245" t="s">
        <v>1092</v>
      </c>
      <c r="K582" s="245" t="s">
        <v>2</v>
      </c>
      <c r="L582" s="289"/>
      <c r="O582" s="245" t="s">
        <v>55</v>
      </c>
      <c r="P582" s="326">
        <v>46021</v>
      </c>
      <c r="Q582" s="419">
        <f t="shared" ca="1" si="83"/>
        <v>104</v>
      </c>
    </row>
    <row r="583" spans="1:17" s="250" customFormat="1" hidden="1">
      <c r="A583" s="270">
        <f t="shared" si="88"/>
        <v>581</v>
      </c>
      <c r="B583" s="296">
        <v>45926</v>
      </c>
      <c r="C583" s="250" t="str">
        <f t="shared" si="84"/>
        <v>MP0581</v>
      </c>
      <c r="D583" s="250" t="s">
        <v>1440</v>
      </c>
      <c r="E583" s="270">
        <v>500</v>
      </c>
      <c r="F583" s="270">
        <v>62</v>
      </c>
      <c r="G583" s="270">
        <v>108</v>
      </c>
      <c r="H583" s="355">
        <v>0</v>
      </c>
      <c r="I583" s="250" t="s">
        <v>1441</v>
      </c>
      <c r="J583" s="250" t="s">
        <v>1092</v>
      </c>
      <c r="K583" s="250" t="s">
        <v>1442</v>
      </c>
      <c r="L583" s="270"/>
      <c r="O583" s="250" t="s">
        <v>370</v>
      </c>
      <c r="P583" s="308">
        <v>45962</v>
      </c>
      <c r="Q583" s="420">
        <f t="shared" ca="1" si="83"/>
        <v>163</v>
      </c>
    </row>
    <row r="584" spans="1:17" s="245" customFormat="1" hidden="1">
      <c r="A584" s="289">
        <f t="shared" si="88"/>
        <v>582</v>
      </c>
      <c r="B584" s="284">
        <v>45926</v>
      </c>
      <c r="C584" s="245" t="str">
        <f t="shared" si="84"/>
        <v>MP0582</v>
      </c>
      <c r="D584" s="245" t="s">
        <v>1443</v>
      </c>
      <c r="E584" s="289">
        <v>500</v>
      </c>
      <c r="F584" s="289">
        <v>72</v>
      </c>
      <c r="G584" s="289">
        <v>70</v>
      </c>
      <c r="H584" s="315">
        <f t="shared" si="87"/>
        <v>35000</v>
      </c>
      <c r="I584" s="245" t="s">
        <v>1284</v>
      </c>
      <c r="J584" s="245" t="s">
        <v>1092</v>
      </c>
      <c r="K584" s="245" t="s">
        <v>1442</v>
      </c>
      <c r="L584" s="289"/>
      <c r="M584" s="245" t="s">
        <v>1135</v>
      </c>
      <c r="O584" s="245" t="s">
        <v>55</v>
      </c>
      <c r="P584" s="326">
        <v>46016</v>
      </c>
      <c r="Q584" s="419">
        <f t="shared" ca="1" si="83"/>
        <v>109</v>
      </c>
    </row>
    <row r="585" spans="1:17" s="245" customFormat="1" hidden="1">
      <c r="A585" s="289">
        <f t="shared" si="88"/>
        <v>583</v>
      </c>
      <c r="B585" s="284">
        <v>45926</v>
      </c>
      <c r="C585" s="245" t="str">
        <f t="shared" si="84"/>
        <v>MP0583</v>
      </c>
      <c r="D585" s="245" t="s">
        <v>919</v>
      </c>
      <c r="E585" s="289">
        <v>300</v>
      </c>
      <c r="F585" s="289">
        <v>200</v>
      </c>
      <c r="G585" s="289">
        <v>100</v>
      </c>
      <c r="H585" s="315">
        <f t="shared" si="87"/>
        <v>30000</v>
      </c>
      <c r="I585" s="370" t="s">
        <v>1444</v>
      </c>
      <c r="J585" s="245" t="s">
        <v>1092</v>
      </c>
      <c r="K585" s="245" t="s">
        <v>2</v>
      </c>
      <c r="L585" s="289"/>
      <c r="O585" s="245" t="s">
        <v>55</v>
      </c>
      <c r="P585" s="326">
        <v>45972</v>
      </c>
      <c r="Q585" s="419">
        <f t="shared" ca="1" si="83"/>
        <v>153</v>
      </c>
    </row>
    <row r="586" spans="1:17" s="250" customFormat="1" hidden="1">
      <c r="A586" s="270">
        <f t="shared" si="88"/>
        <v>584</v>
      </c>
      <c r="B586" s="296">
        <v>45926</v>
      </c>
      <c r="C586" s="250" t="str">
        <f t="shared" si="84"/>
        <v>MP0584</v>
      </c>
      <c r="D586" s="250" t="s">
        <v>1445</v>
      </c>
      <c r="E586" s="270">
        <v>500</v>
      </c>
      <c r="F586" s="270">
        <v>90</v>
      </c>
      <c r="G586" s="270"/>
      <c r="H586" s="355">
        <v>0</v>
      </c>
      <c r="I586" s="250" t="s">
        <v>1446</v>
      </c>
      <c r="J586" s="250" t="s">
        <v>1092</v>
      </c>
      <c r="K586" s="250" t="s">
        <v>1026</v>
      </c>
      <c r="L586" s="270"/>
      <c r="O586" s="250" t="s">
        <v>370</v>
      </c>
      <c r="P586" s="308">
        <v>45962</v>
      </c>
      <c r="Q586" s="420">
        <f t="shared" ca="1" si="83"/>
        <v>163</v>
      </c>
    </row>
    <row r="587" spans="1:17" s="245" customFormat="1" hidden="1">
      <c r="A587" s="289">
        <f t="shared" si="88"/>
        <v>585</v>
      </c>
      <c r="B587" s="284">
        <v>45926</v>
      </c>
      <c r="C587" s="245" t="str">
        <f t="shared" si="84"/>
        <v>MP0585</v>
      </c>
      <c r="D587" s="370" t="s">
        <v>1447</v>
      </c>
      <c r="E587" s="289">
        <v>300</v>
      </c>
      <c r="F587" s="289">
        <v>58</v>
      </c>
      <c r="G587" s="289">
        <v>52</v>
      </c>
      <c r="H587" s="315">
        <f t="shared" si="87"/>
        <v>15600</v>
      </c>
      <c r="I587" s="245" t="s">
        <v>1448</v>
      </c>
      <c r="J587" s="245" t="s">
        <v>1092</v>
      </c>
      <c r="K587" s="245" t="s">
        <v>697</v>
      </c>
      <c r="L587" s="289"/>
      <c r="M587" s="245" t="s">
        <v>1449</v>
      </c>
      <c r="O587" s="245" t="s">
        <v>55</v>
      </c>
      <c r="P587" s="326">
        <v>46049</v>
      </c>
      <c r="Q587" s="419">
        <f t="shared" ca="1" si="83"/>
        <v>76</v>
      </c>
    </row>
    <row r="588" spans="1:17" s="245" customFormat="1" hidden="1">
      <c r="A588" s="289">
        <f t="shared" si="88"/>
        <v>586</v>
      </c>
      <c r="B588" s="284">
        <v>45962</v>
      </c>
      <c r="C588" s="245" t="str">
        <f t="shared" si="84"/>
        <v>MP0586</v>
      </c>
      <c r="D588" s="245" t="s">
        <v>1450</v>
      </c>
      <c r="E588" s="289">
        <v>500</v>
      </c>
      <c r="F588" s="289">
        <v>48</v>
      </c>
      <c r="G588" s="289">
        <v>42</v>
      </c>
      <c r="H588" s="315">
        <f t="shared" si="87"/>
        <v>21000</v>
      </c>
      <c r="I588" s="245" t="s">
        <v>1448</v>
      </c>
      <c r="J588" s="245" t="s">
        <v>1092</v>
      </c>
      <c r="K588" s="245" t="s">
        <v>697</v>
      </c>
      <c r="L588" s="289"/>
      <c r="M588" s="245" t="s">
        <v>1449</v>
      </c>
      <c r="O588" s="245" t="s">
        <v>55</v>
      </c>
      <c r="P588" s="326">
        <v>46057</v>
      </c>
      <c r="Q588" s="419">
        <f t="shared" ca="1" si="83"/>
        <v>68</v>
      </c>
    </row>
    <row r="589" spans="1:17" s="245" customFormat="1" hidden="1">
      <c r="A589" s="289">
        <f t="shared" si="88"/>
        <v>587</v>
      </c>
      <c r="B589" s="284">
        <v>45926</v>
      </c>
      <c r="C589" s="245" t="str">
        <f t="shared" si="84"/>
        <v>MP0587</v>
      </c>
      <c r="D589" s="246" t="s">
        <v>847</v>
      </c>
      <c r="E589" s="247">
        <v>1200</v>
      </c>
      <c r="F589" s="247">
        <v>140</v>
      </c>
      <c r="G589" s="247">
        <v>13.5</v>
      </c>
      <c r="H589" s="246">
        <f t="shared" si="87"/>
        <v>16200</v>
      </c>
      <c r="I589" s="246" t="s">
        <v>269</v>
      </c>
      <c r="J589" s="246" t="s">
        <v>265</v>
      </c>
      <c r="K589" s="246" t="s">
        <v>683</v>
      </c>
      <c r="L589" s="248">
        <v>840</v>
      </c>
      <c r="M589" s="245" t="s">
        <v>1451</v>
      </c>
      <c r="O589" s="245" t="s">
        <v>55</v>
      </c>
      <c r="P589" s="326">
        <v>45979</v>
      </c>
      <c r="Q589" s="419">
        <f t="shared" ca="1" si="83"/>
        <v>146</v>
      </c>
    </row>
    <row r="590" spans="1:17" s="245" customFormat="1" hidden="1">
      <c r="A590" s="289">
        <f t="shared" si="88"/>
        <v>588</v>
      </c>
      <c r="B590" s="284">
        <v>45926</v>
      </c>
      <c r="C590" s="245" t="str">
        <f t="shared" si="84"/>
        <v>MP0588</v>
      </c>
      <c r="D590" s="245" t="s">
        <v>467</v>
      </c>
      <c r="E590" s="289">
        <v>1500</v>
      </c>
      <c r="F590" s="289">
        <v>645</v>
      </c>
      <c r="G590" s="289">
        <v>118</v>
      </c>
      <c r="H590" s="246">
        <f t="shared" si="87"/>
        <v>177000</v>
      </c>
      <c r="I590" s="245" t="s">
        <v>264</v>
      </c>
      <c r="J590" s="245" t="s">
        <v>775</v>
      </c>
      <c r="K590" s="245" t="s">
        <v>10</v>
      </c>
      <c r="L590" s="289">
        <v>1240</v>
      </c>
      <c r="O590" s="245" t="s">
        <v>55</v>
      </c>
      <c r="P590" s="326">
        <v>45972</v>
      </c>
      <c r="Q590" s="419">
        <f t="shared" ca="1" si="83"/>
        <v>153</v>
      </c>
    </row>
    <row r="591" spans="1:17" s="245" customFormat="1" hidden="1">
      <c r="A591" s="289">
        <f t="shared" si="88"/>
        <v>589</v>
      </c>
      <c r="B591" s="284">
        <v>45926</v>
      </c>
      <c r="C591" s="245" t="str">
        <f t="shared" si="84"/>
        <v>MP0589</v>
      </c>
      <c r="D591" s="245" t="s">
        <v>1033</v>
      </c>
      <c r="E591" s="289">
        <v>2000</v>
      </c>
      <c r="F591" s="289">
        <v>186</v>
      </c>
      <c r="G591" s="289">
        <v>20.5</v>
      </c>
      <c r="H591" s="246">
        <f t="shared" si="87"/>
        <v>41000</v>
      </c>
      <c r="I591" s="245" t="s">
        <v>264</v>
      </c>
      <c r="J591" s="245" t="s">
        <v>265</v>
      </c>
      <c r="K591" s="245" t="s">
        <v>23</v>
      </c>
      <c r="L591" s="289">
        <v>995</v>
      </c>
      <c r="O591" s="245" t="s">
        <v>55</v>
      </c>
      <c r="P591" s="326">
        <v>46002</v>
      </c>
      <c r="Q591" s="419">
        <f t="shared" ca="1" si="83"/>
        <v>123</v>
      </c>
    </row>
    <row r="592" spans="1:17" s="245" customFormat="1" hidden="1">
      <c r="A592" s="289">
        <f t="shared" si="88"/>
        <v>590</v>
      </c>
      <c r="B592" s="284">
        <v>45926</v>
      </c>
      <c r="C592" s="245" t="str">
        <f t="shared" si="84"/>
        <v>MP0590</v>
      </c>
      <c r="D592" s="246" t="s">
        <v>233</v>
      </c>
      <c r="E592" s="247">
        <v>300</v>
      </c>
      <c r="F592" s="247" t="s">
        <v>1452</v>
      </c>
      <c r="G592" s="247">
        <v>405</v>
      </c>
      <c r="H592" s="246">
        <f t="shared" si="87"/>
        <v>121500</v>
      </c>
      <c r="I592" s="246" t="s">
        <v>152</v>
      </c>
      <c r="J592" s="246" t="s">
        <v>60</v>
      </c>
      <c r="K592" s="246" t="s">
        <v>16</v>
      </c>
      <c r="L592" s="289"/>
      <c r="O592" s="245" t="s">
        <v>55</v>
      </c>
      <c r="P592" s="326">
        <v>45989</v>
      </c>
      <c r="Q592" s="419">
        <f t="shared" ca="1" si="83"/>
        <v>136</v>
      </c>
    </row>
    <row r="593" spans="1:17" s="245" customFormat="1" hidden="1">
      <c r="A593" s="289">
        <f t="shared" si="88"/>
        <v>591</v>
      </c>
      <c r="B593" s="284">
        <v>45926</v>
      </c>
      <c r="C593" s="245" t="str">
        <f t="shared" si="84"/>
        <v>MP0591</v>
      </c>
      <c r="D593" s="245" t="s">
        <v>1453</v>
      </c>
      <c r="E593" s="289">
        <v>300</v>
      </c>
      <c r="F593" s="289">
        <v>1250</v>
      </c>
      <c r="G593" s="289">
        <v>85</v>
      </c>
      <c r="H593" s="315">
        <f t="shared" si="87"/>
        <v>25500</v>
      </c>
      <c r="I593" s="245" t="s">
        <v>1364</v>
      </c>
      <c r="J593" s="245" t="s">
        <v>609</v>
      </c>
      <c r="K593" s="245" t="s">
        <v>1442</v>
      </c>
      <c r="L593" s="289"/>
      <c r="O593" s="245" t="s">
        <v>55</v>
      </c>
      <c r="P593" s="326">
        <v>46008</v>
      </c>
      <c r="Q593" s="419">
        <f t="shared" ca="1" si="83"/>
        <v>117</v>
      </c>
    </row>
    <row r="594" spans="1:17" s="245" customFormat="1" hidden="1">
      <c r="A594" s="289">
        <f t="shared" si="88"/>
        <v>592</v>
      </c>
      <c r="B594" s="284">
        <v>45926</v>
      </c>
      <c r="C594" s="245" t="str">
        <f t="shared" si="84"/>
        <v>MP0592</v>
      </c>
      <c r="D594" s="245" t="s">
        <v>1360</v>
      </c>
      <c r="E594" s="289">
        <v>500</v>
      </c>
      <c r="F594" s="289">
        <v>1275</v>
      </c>
      <c r="G594" s="289">
        <v>94</v>
      </c>
      <c r="H594" s="315">
        <f t="shared" si="87"/>
        <v>47000</v>
      </c>
      <c r="I594" s="245" t="s">
        <v>1361</v>
      </c>
      <c r="J594" s="245" t="s">
        <v>609</v>
      </c>
      <c r="K594" s="245" t="s">
        <v>1442</v>
      </c>
      <c r="L594" s="289"/>
      <c r="O594" s="245" t="s">
        <v>55</v>
      </c>
      <c r="P594" s="326">
        <v>45950</v>
      </c>
      <c r="Q594" s="419">
        <f t="shared" ca="1" si="83"/>
        <v>175</v>
      </c>
    </row>
    <row r="595" spans="1:17" s="245" customFormat="1" hidden="1">
      <c r="A595" s="289">
        <f t="shared" si="88"/>
        <v>593</v>
      </c>
      <c r="B595" s="284">
        <v>45926</v>
      </c>
      <c r="C595" s="245" t="str">
        <f t="shared" si="84"/>
        <v>MP0593</v>
      </c>
      <c r="D595" s="245" t="s">
        <v>1362</v>
      </c>
      <c r="E595" s="289">
        <v>300</v>
      </c>
      <c r="F595" s="289">
        <v>1575</v>
      </c>
      <c r="G595" s="289">
        <v>100</v>
      </c>
      <c r="H595" s="315">
        <f t="shared" si="87"/>
        <v>30000</v>
      </c>
      <c r="I595" s="245" t="s">
        <v>1361</v>
      </c>
      <c r="J595" s="245" t="s">
        <v>609</v>
      </c>
      <c r="K595" s="245" t="s">
        <v>1442</v>
      </c>
      <c r="L595" s="289"/>
      <c r="O595" s="245" t="s">
        <v>55</v>
      </c>
      <c r="P595" s="326">
        <v>45996</v>
      </c>
      <c r="Q595" s="419">
        <f t="shared" ca="1" si="83"/>
        <v>129</v>
      </c>
    </row>
    <row r="596" spans="1:17" s="245" customFormat="1" hidden="1">
      <c r="A596" s="289">
        <f t="shared" si="88"/>
        <v>594</v>
      </c>
      <c r="B596" s="284">
        <v>45926</v>
      </c>
      <c r="C596" s="245" t="str">
        <f t="shared" si="84"/>
        <v>MP0594</v>
      </c>
      <c r="D596" s="245" t="s">
        <v>1365</v>
      </c>
      <c r="E596" s="289">
        <v>500</v>
      </c>
      <c r="F596" s="289">
        <v>1450</v>
      </c>
      <c r="G596" s="289">
        <v>90</v>
      </c>
      <c r="H596" s="315">
        <f t="shared" si="87"/>
        <v>45000</v>
      </c>
      <c r="I596" s="245" t="s">
        <v>1364</v>
      </c>
      <c r="J596" s="245" t="s">
        <v>609</v>
      </c>
      <c r="K596" s="245" t="s">
        <v>1442</v>
      </c>
      <c r="L596" s="289"/>
      <c r="O596" s="245" t="s">
        <v>55</v>
      </c>
      <c r="P596" s="326">
        <v>45993</v>
      </c>
      <c r="Q596" s="419">
        <f t="shared" ca="1" si="83"/>
        <v>132</v>
      </c>
    </row>
    <row r="597" spans="1:17" s="245" customFormat="1" hidden="1">
      <c r="A597" s="289">
        <f t="shared" si="88"/>
        <v>595</v>
      </c>
      <c r="B597" s="284">
        <v>45926</v>
      </c>
      <c r="C597" s="245" t="str">
        <f t="shared" si="84"/>
        <v>MP0595</v>
      </c>
      <c r="D597" s="245" t="s">
        <v>815</v>
      </c>
      <c r="E597" s="289">
        <v>1500</v>
      </c>
      <c r="F597" s="289">
        <v>123</v>
      </c>
      <c r="G597" s="289">
        <v>14.5</v>
      </c>
      <c r="H597" s="315">
        <f t="shared" si="87"/>
        <v>21750</v>
      </c>
      <c r="I597" s="245" t="s">
        <v>1454</v>
      </c>
      <c r="J597" s="245" t="s">
        <v>265</v>
      </c>
      <c r="K597" s="245" t="s">
        <v>20</v>
      </c>
      <c r="L597" s="289"/>
      <c r="O597" s="245" t="s">
        <v>55</v>
      </c>
      <c r="P597" s="326">
        <v>45981</v>
      </c>
      <c r="Q597" s="419">
        <f t="shared" ca="1" si="83"/>
        <v>144</v>
      </c>
    </row>
    <row r="598" spans="1:17" s="245" customFormat="1" hidden="1">
      <c r="A598" s="289">
        <f t="shared" si="88"/>
        <v>596</v>
      </c>
      <c r="B598" s="284">
        <v>45926</v>
      </c>
      <c r="C598" s="245" t="str">
        <f t="shared" si="84"/>
        <v>MP0596</v>
      </c>
      <c r="D598" s="245" t="s">
        <v>1455</v>
      </c>
      <c r="E598" s="289">
        <v>1000</v>
      </c>
      <c r="F598" s="289">
        <v>220</v>
      </c>
      <c r="G598" s="289">
        <v>155</v>
      </c>
      <c r="H598" s="315">
        <f t="shared" si="87"/>
        <v>155000</v>
      </c>
      <c r="I598" s="245" t="s">
        <v>1456</v>
      </c>
      <c r="J598" s="245" t="s">
        <v>1092</v>
      </c>
      <c r="K598" s="245" t="s">
        <v>1322</v>
      </c>
      <c r="L598" s="289"/>
      <c r="M598" s="245" t="s">
        <v>620</v>
      </c>
      <c r="N598" s="245" t="s">
        <v>620</v>
      </c>
      <c r="O598" s="245" t="s">
        <v>55</v>
      </c>
      <c r="P598" s="326">
        <v>46020</v>
      </c>
      <c r="Q598" s="419">
        <f t="shared" ca="1" si="83"/>
        <v>105</v>
      </c>
    </row>
    <row r="599" spans="1:17" s="245" customFormat="1" hidden="1">
      <c r="A599" s="289">
        <f t="shared" si="88"/>
        <v>597</v>
      </c>
      <c r="B599" s="284">
        <v>45926</v>
      </c>
      <c r="C599" s="245" t="str">
        <f t="shared" si="84"/>
        <v>MP0597</v>
      </c>
      <c r="D599" s="246" t="s">
        <v>188</v>
      </c>
      <c r="E599" s="247">
        <v>500</v>
      </c>
      <c r="F599" s="247">
        <v>900</v>
      </c>
      <c r="G599" s="247">
        <v>37</v>
      </c>
      <c r="H599" s="246">
        <f t="shared" si="87"/>
        <v>18500</v>
      </c>
      <c r="I599" s="246" t="s">
        <v>66</v>
      </c>
      <c r="J599" s="246" t="s">
        <v>60</v>
      </c>
      <c r="K599" s="246" t="s">
        <v>22</v>
      </c>
      <c r="L599" s="248"/>
      <c r="M599" s="249"/>
      <c r="N599" s="246" t="s">
        <v>186</v>
      </c>
      <c r="O599" s="246" t="s">
        <v>55</v>
      </c>
      <c r="P599" s="328">
        <v>45995</v>
      </c>
      <c r="Q599" s="422">
        <f t="shared" ca="1" si="83"/>
        <v>130</v>
      </c>
    </row>
    <row r="600" spans="1:17" s="245" customFormat="1" hidden="1">
      <c r="A600" s="289">
        <f t="shared" si="88"/>
        <v>598</v>
      </c>
      <c r="B600" s="284">
        <v>45929</v>
      </c>
      <c r="C600" s="245" t="str">
        <f t="shared" si="84"/>
        <v>MP0598</v>
      </c>
      <c r="D600" s="245" t="s">
        <v>907</v>
      </c>
      <c r="E600" s="289">
        <v>3000</v>
      </c>
      <c r="F600" s="289">
        <v>131</v>
      </c>
      <c r="G600" s="289">
        <v>6.5</v>
      </c>
      <c r="H600" s="315">
        <f t="shared" si="87"/>
        <v>19500</v>
      </c>
      <c r="I600" s="245" t="s">
        <v>1457</v>
      </c>
      <c r="J600" s="245" t="s">
        <v>1458</v>
      </c>
      <c r="K600" s="245" t="s">
        <v>1459</v>
      </c>
      <c r="L600" s="289"/>
      <c r="O600" s="245" t="s">
        <v>55</v>
      </c>
      <c r="P600" s="326">
        <v>46008</v>
      </c>
      <c r="Q600" s="419">
        <f t="shared" ca="1" si="83"/>
        <v>117</v>
      </c>
    </row>
    <row r="601" spans="1:17" s="245" customFormat="1" hidden="1">
      <c r="A601" s="289">
        <f t="shared" si="88"/>
        <v>599</v>
      </c>
      <c r="B601" s="284">
        <v>45929</v>
      </c>
      <c r="C601" s="245" t="str">
        <f t="shared" si="84"/>
        <v>MP0599</v>
      </c>
      <c r="D601" s="245" t="s">
        <v>1460</v>
      </c>
      <c r="E601" s="289">
        <v>500</v>
      </c>
      <c r="F601" s="289">
        <v>145</v>
      </c>
      <c r="G601" s="289">
        <v>85</v>
      </c>
      <c r="H601" s="315">
        <f t="shared" si="87"/>
        <v>42500</v>
      </c>
      <c r="I601" s="370" t="s">
        <v>66</v>
      </c>
      <c r="J601" s="245" t="s">
        <v>87</v>
      </c>
      <c r="K601" s="245" t="s">
        <v>1042</v>
      </c>
      <c r="L601" s="289">
        <v>493</v>
      </c>
      <c r="O601" s="245" t="s">
        <v>55</v>
      </c>
      <c r="P601" s="326">
        <v>45985</v>
      </c>
      <c r="Q601" s="419">
        <f t="shared" ref="Q601:Q612" ca="1" si="89">TODAY()-P601</f>
        <v>140</v>
      </c>
    </row>
    <row r="602" spans="1:17" s="245" customFormat="1" hidden="1">
      <c r="A602" s="289">
        <f t="shared" si="88"/>
        <v>600</v>
      </c>
      <c r="B602" s="284">
        <v>45929</v>
      </c>
      <c r="C602" s="245" t="str">
        <f t="shared" si="84"/>
        <v>MP0600</v>
      </c>
      <c r="D602" s="245" t="s">
        <v>137</v>
      </c>
      <c r="E602" s="289">
        <v>300</v>
      </c>
      <c r="F602" s="289" t="s">
        <v>1461</v>
      </c>
      <c r="G602" s="289">
        <v>68</v>
      </c>
      <c r="H602" s="315">
        <f t="shared" si="87"/>
        <v>20400</v>
      </c>
      <c r="I602" s="245" t="s">
        <v>66</v>
      </c>
      <c r="J602" s="245" t="s">
        <v>60</v>
      </c>
      <c r="K602" s="245" t="s">
        <v>22</v>
      </c>
      <c r="L602" s="289"/>
      <c r="M602" s="245" t="s">
        <v>1462</v>
      </c>
      <c r="N602" s="245" t="s">
        <v>54</v>
      </c>
      <c r="O602" s="245" t="s">
        <v>55</v>
      </c>
      <c r="P602" s="326">
        <v>45986</v>
      </c>
      <c r="Q602" s="419">
        <f t="shared" ca="1" si="89"/>
        <v>139</v>
      </c>
    </row>
    <row r="603" spans="1:17" s="245" customFormat="1" hidden="1">
      <c r="A603" s="289">
        <f t="shared" si="88"/>
        <v>601</v>
      </c>
      <c r="B603" s="284">
        <v>45929</v>
      </c>
      <c r="C603" s="245" t="str">
        <f t="shared" ref="C603:C666" si="90">IF(B603="","",_xlfn.CONCAT("MP0",A603))</f>
        <v>MP0601</v>
      </c>
      <c r="D603" s="245" t="s">
        <v>1463</v>
      </c>
      <c r="E603" s="289">
        <v>3000</v>
      </c>
      <c r="F603" s="289">
        <v>178</v>
      </c>
      <c r="G603" s="289">
        <v>18</v>
      </c>
      <c r="H603" s="315">
        <f t="shared" si="87"/>
        <v>54000</v>
      </c>
      <c r="I603" s="245" t="s">
        <v>1464</v>
      </c>
      <c r="J603" s="245" t="s">
        <v>782</v>
      </c>
      <c r="K603" s="245" t="s">
        <v>1171</v>
      </c>
      <c r="L603" s="289"/>
      <c r="O603" s="245" t="s">
        <v>55</v>
      </c>
      <c r="P603" s="326">
        <v>45964</v>
      </c>
      <c r="Q603" s="419">
        <f t="shared" ca="1" si="89"/>
        <v>161</v>
      </c>
    </row>
    <row r="604" spans="1:17" s="245" customFormat="1" hidden="1">
      <c r="A604" s="289">
        <f t="shared" si="88"/>
        <v>602</v>
      </c>
      <c r="B604" s="284">
        <v>45929</v>
      </c>
      <c r="C604" s="245" t="str">
        <f t="shared" si="90"/>
        <v>MP0602</v>
      </c>
      <c r="D604" s="245" t="s">
        <v>276</v>
      </c>
      <c r="E604" s="289">
        <v>4000</v>
      </c>
      <c r="F604" s="289">
        <v>53</v>
      </c>
      <c r="G604" s="289">
        <v>8</v>
      </c>
      <c r="H604" s="315">
        <f t="shared" si="87"/>
        <v>32000</v>
      </c>
      <c r="I604" s="245" t="s">
        <v>1465</v>
      </c>
      <c r="J604" s="245" t="s">
        <v>1466</v>
      </c>
      <c r="K604" s="245" t="s">
        <v>1289</v>
      </c>
      <c r="L604" s="289"/>
      <c r="O604" s="245" t="s">
        <v>55</v>
      </c>
      <c r="P604" s="326">
        <v>45995</v>
      </c>
      <c r="Q604" s="419">
        <f t="shared" ca="1" si="89"/>
        <v>130</v>
      </c>
    </row>
    <row r="605" spans="1:17" s="245" customFormat="1" hidden="1">
      <c r="A605" s="289">
        <f t="shared" si="88"/>
        <v>603</v>
      </c>
      <c r="B605" s="284">
        <v>45929</v>
      </c>
      <c r="C605" s="245" t="str">
        <f t="shared" si="90"/>
        <v>MP0603</v>
      </c>
      <c r="D605" s="245" t="s">
        <v>1467</v>
      </c>
      <c r="E605" s="289">
        <v>4000</v>
      </c>
      <c r="F605" s="289">
        <v>44</v>
      </c>
      <c r="G605" s="289">
        <v>7.5</v>
      </c>
      <c r="H605" s="315">
        <f t="shared" si="87"/>
        <v>30000</v>
      </c>
      <c r="I605" s="245" t="s">
        <v>1465</v>
      </c>
      <c r="J605" s="245" t="s">
        <v>1466</v>
      </c>
      <c r="K605" s="245" t="s">
        <v>1289</v>
      </c>
      <c r="L605" s="289"/>
      <c r="O605" s="245" t="s">
        <v>55</v>
      </c>
      <c r="P605" s="326">
        <v>45995</v>
      </c>
      <c r="Q605" s="419">
        <f t="shared" ca="1" si="89"/>
        <v>130</v>
      </c>
    </row>
    <row r="606" spans="1:17" s="245" customFormat="1" hidden="1">
      <c r="A606" s="289">
        <f t="shared" si="88"/>
        <v>604</v>
      </c>
      <c r="B606" s="284">
        <v>45929</v>
      </c>
      <c r="C606" s="245" t="str">
        <f t="shared" si="90"/>
        <v>MP0604</v>
      </c>
      <c r="D606" s="245" t="s">
        <v>1468</v>
      </c>
      <c r="E606" s="289">
        <v>4000</v>
      </c>
      <c r="F606" s="289">
        <v>125</v>
      </c>
      <c r="G606" s="289">
        <v>7.5</v>
      </c>
      <c r="H606" s="315">
        <f t="shared" si="87"/>
        <v>30000</v>
      </c>
      <c r="I606" s="245" t="s">
        <v>1469</v>
      </c>
      <c r="J606" s="245" t="s">
        <v>1466</v>
      </c>
      <c r="K606" s="245" t="s">
        <v>1289</v>
      </c>
      <c r="L606" s="289"/>
      <c r="O606" s="245" t="s">
        <v>55</v>
      </c>
      <c r="P606" s="326">
        <v>45995</v>
      </c>
      <c r="Q606" s="419">
        <f t="shared" ca="1" si="89"/>
        <v>130</v>
      </c>
    </row>
    <row r="607" spans="1:17" s="245" customFormat="1" hidden="1">
      <c r="A607" s="289">
        <f t="shared" si="88"/>
        <v>605</v>
      </c>
      <c r="B607" s="284">
        <v>45934</v>
      </c>
      <c r="C607" s="245" t="str">
        <f t="shared" si="90"/>
        <v>MP0605</v>
      </c>
      <c r="D607" s="245" t="s">
        <v>1470</v>
      </c>
      <c r="E607" s="247">
        <v>2000</v>
      </c>
      <c r="F607" s="247">
        <v>365</v>
      </c>
      <c r="G607" s="247">
        <v>29.7</v>
      </c>
      <c r="H607" s="246">
        <f t="shared" si="87"/>
        <v>59400</v>
      </c>
      <c r="I607" s="246" t="s">
        <v>242</v>
      </c>
      <c r="J607" s="246" t="s">
        <v>238</v>
      </c>
      <c r="K607" s="246" t="s">
        <v>1289</v>
      </c>
      <c r="L607" s="289"/>
      <c r="M607" s="245" t="s">
        <v>1471</v>
      </c>
      <c r="O607" s="245" t="s">
        <v>55</v>
      </c>
      <c r="P607" s="326">
        <v>46008</v>
      </c>
      <c r="Q607" s="419">
        <f t="shared" ca="1" si="89"/>
        <v>117</v>
      </c>
    </row>
    <row r="608" spans="1:17" s="245" customFormat="1" hidden="1">
      <c r="A608" s="289">
        <f t="shared" si="88"/>
        <v>606</v>
      </c>
      <c r="B608" s="284">
        <v>45934</v>
      </c>
      <c r="C608" s="245" t="str">
        <f t="shared" si="90"/>
        <v>MP0606</v>
      </c>
      <c r="D608" s="245" t="s">
        <v>1472</v>
      </c>
      <c r="E608" s="289"/>
      <c r="F608" s="289"/>
      <c r="G608" s="289"/>
      <c r="H608" s="315" t="str">
        <f t="shared" si="87"/>
        <v/>
      </c>
      <c r="L608" s="289"/>
      <c r="M608" s="245" t="s">
        <v>1473</v>
      </c>
      <c r="O608" s="245" t="s">
        <v>55</v>
      </c>
      <c r="P608" s="326">
        <v>46006</v>
      </c>
      <c r="Q608" s="419">
        <f t="shared" ca="1" si="89"/>
        <v>119</v>
      </c>
    </row>
    <row r="609" spans="1:17" s="245" customFormat="1" hidden="1">
      <c r="A609" s="289">
        <f t="shared" si="88"/>
        <v>607</v>
      </c>
      <c r="B609" s="284">
        <v>45934</v>
      </c>
      <c r="C609" s="245" t="str">
        <f t="shared" si="90"/>
        <v>MP0607</v>
      </c>
      <c r="D609" s="245" t="s">
        <v>1474</v>
      </c>
      <c r="E609" s="289">
        <v>300</v>
      </c>
      <c r="F609" s="289" t="s">
        <v>1475</v>
      </c>
      <c r="G609" s="289">
        <v>140</v>
      </c>
      <c r="H609" s="315">
        <f t="shared" si="87"/>
        <v>42000</v>
      </c>
      <c r="I609" s="245" t="s">
        <v>1476</v>
      </c>
      <c r="J609" s="245" t="s">
        <v>1092</v>
      </c>
      <c r="K609" s="245" t="s">
        <v>1442</v>
      </c>
      <c r="L609" s="289"/>
      <c r="M609" s="245" t="s">
        <v>1477</v>
      </c>
      <c r="O609" s="245" t="s">
        <v>55</v>
      </c>
      <c r="P609" s="326">
        <v>46003</v>
      </c>
      <c r="Q609" s="419">
        <f t="shared" ca="1" si="89"/>
        <v>122</v>
      </c>
    </row>
    <row r="610" spans="1:17" s="245" customFormat="1" hidden="1">
      <c r="A610" s="289">
        <f t="shared" si="88"/>
        <v>608</v>
      </c>
      <c r="B610" s="284">
        <v>45934</v>
      </c>
      <c r="C610" s="245" t="str">
        <f t="shared" si="90"/>
        <v>MP0608</v>
      </c>
      <c r="D610" s="245" t="s">
        <v>1478</v>
      </c>
      <c r="E610" s="289">
        <v>300</v>
      </c>
      <c r="F610" s="289">
        <v>182</v>
      </c>
      <c r="G610" s="289">
        <v>320</v>
      </c>
      <c r="H610" s="315">
        <f t="shared" si="87"/>
        <v>96000</v>
      </c>
      <c r="I610" s="245" t="s">
        <v>66</v>
      </c>
      <c r="J610" s="245" t="s">
        <v>1092</v>
      </c>
      <c r="K610" s="245" t="s">
        <v>1042</v>
      </c>
      <c r="L610" s="289"/>
      <c r="O610" s="245" t="s">
        <v>55</v>
      </c>
      <c r="P610" s="326">
        <v>45934</v>
      </c>
      <c r="Q610" s="419">
        <f t="shared" ca="1" si="89"/>
        <v>191</v>
      </c>
    </row>
    <row r="611" spans="1:17" s="245" customFormat="1" ht="30" hidden="1">
      <c r="A611" s="289">
        <f t="shared" si="88"/>
        <v>609</v>
      </c>
      <c r="B611" s="284">
        <v>45934</v>
      </c>
      <c r="C611" s="245" t="str">
        <f t="shared" si="90"/>
        <v>MP0609</v>
      </c>
      <c r="D611" s="245" t="s">
        <v>1479</v>
      </c>
      <c r="E611" s="289">
        <v>2000</v>
      </c>
      <c r="F611" s="289">
        <v>124</v>
      </c>
      <c r="G611" s="289">
        <v>13.5</v>
      </c>
      <c r="H611" s="315">
        <f t="shared" si="87"/>
        <v>27000</v>
      </c>
      <c r="I611" s="370" t="s">
        <v>1480</v>
      </c>
      <c r="J611" s="245" t="s">
        <v>930</v>
      </c>
      <c r="K611" s="245" t="s">
        <v>20</v>
      </c>
      <c r="L611" s="289">
        <v>2500</v>
      </c>
      <c r="O611" s="245" t="s">
        <v>55</v>
      </c>
      <c r="P611" s="326">
        <v>45939</v>
      </c>
      <c r="Q611" s="419">
        <f t="shared" ca="1" si="89"/>
        <v>186</v>
      </c>
    </row>
    <row r="612" spans="1:17" s="245" customFormat="1" ht="15.75" hidden="1">
      <c r="A612" s="289">
        <f t="shared" si="88"/>
        <v>610</v>
      </c>
      <c r="B612" s="284">
        <v>45934</v>
      </c>
      <c r="C612" s="245" t="str">
        <f t="shared" si="90"/>
        <v>MP0610</v>
      </c>
      <c r="D612" s="245" t="s">
        <v>824</v>
      </c>
      <c r="E612" s="247">
        <v>1200</v>
      </c>
      <c r="F612" s="247">
        <v>151</v>
      </c>
      <c r="G612" s="278">
        <v>13.75</v>
      </c>
      <c r="H612" s="246">
        <f t="shared" si="87"/>
        <v>16500</v>
      </c>
      <c r="I612" s="304" t="s">
        <v>1117</v>
      </c>
      <c r="J612" s="246" t="s">
        <v>265</v>
      </c>
      <c r="K612" s="246" t="s">
        <v>20</v>
      </c>
      <c r="L612" s="248"/>
      <c r="M612" s="249" t="s">
        <v>1078</v>
      </c>
      <c r="N612" s="246" t="s">
        <v>133</v>
      </c>
      <c r="O612" s="245" t="s">
        <v>55</v>
      </c>
      <c r="P612" s="328">
        <v>45985</v>
      </c>
      <c r="Q612" s="422">
        <f t="shared" ca="1" si="89"/>
        <v>140</v>
      </c>
    </row>
    <row r="613" spans="1:17" s="245" customFormat="1" hidden="1">
      <c r="A613" s="289">
        <f t="shared" si="88"/>
        <v>611</v>
      </c>
      <c r="B613" s="284">
        <v>45934</v>
      </c>
      <c r="C613" s="245" t="str">
        <f t="shared" si="90"/>
        <v>MP0611</v>
      </c>
      <c r="D613" s="245" t="s">
        <v>364</v>
      </c>
      <c r="E613" s="289">
        <v>300</v>
      </c>
      <c r="F613" s="289" t="s">
        <v>806</v>
      </c>
      <c r="G613" s="289">
        <v>85</v>
      </c>
      <c r="H613" s="246">
        <f t="shared" si="87"/>
        <v>25500</v>
      </c>
      <c r="I613" s="245" t="s">
        <v>365</v>
      </c>
      <c r="J613" s="277" t="s">
        <v>100</v>
      </c>
      <c r="K613" s="245" t="s">
        <v>2</v>
      </c>
      <c r="L613" s="289"/>
      <c r="N613" s="245" t="s">
        <v>200</v>
      </c>
      <c r="O613" s="245" t="s">
        <v>55</v>
      </c>
      <c r="P613" s="326">
        <v>45964</v>
      </c>
      <c r="Q613" s="419">
        <f t="shared" ref="Q613:Q675" ca="1" si="91">TODAY()-P613</f>
        <v>161</v>
      </c>
    </row>
    <row r="614" spans="1:17" s="245" customFormat="1" hidden="1">
      <c r="A614" s="289">
        <f t="shared" si="88"/>
        <v>612</v>
      </c>
      <c r="B614" s="284">
        <v>45934</v>
      </c>
      <c r="C614" s="245" t="str">
        <f t="shared" si="90"/>
        <v>MP0612</v>
      </c>
      <c r="D614" s="245" t="s">
        <v>1164</v>
      </c>
      <c r="E614" s="289">
        <v>1200</v>
      </c>
      <c r="F614" s="289">
        <v>80</v>
      </c>
      <c r="G614" s="289">
        <v>9</v>
      </c>
      <c r="H614" s="246">
        <f t="shared" si="87"/>
        <v>10800</v>
      </c>
      <c r="I614" s="245" t="s">
        <v>1158</v>
      </c>
      <c r="J614" s="245" t="s">
        <v>930</v>
      </c>
      <c r="K614" s="245" t="s">
        <v>20</v>
      </c>
      <c r="L614" s="289"/>
      <c r="O614" s="245" t="s">
        <v>55</v>
      </c>
      <c r="P614" s="328">
        <v>45986</v>
      </c>
      <c r="Q614" s="422">
        <f t="shared" ca="1" si="91"/>
        <v>139</v>
      </c>
    </row>
    <row r="615" spans="1:17" s="245" customFormat="1" hidden="1">
      <c r="A615" s="289">
        <f t="shared" si="88"/>
        <v>613</v>
      </c>
      <c r="B615" s="284">
        <v>45934</v>
      </c>
      <c r="C615" s="245" t="str">
        <f t="shared" si="90"/>
        <v>MP0613</v>
      </c>
      <c r="D615" s="245" t="s">
        <v>1159</v>
      </c>
      <c r="E615" s="289">
        <v>1200</v>
      </c>
      <c r="F615" s="289">
        <v>160</v>
      </c>
      <c r="G615" s="289">
        <v>13</v>
      </c>
      <c r="H615" s="246">
        <f t="shared" si="87"/>
        <v>15600</v>
      </c>
      <c r="I615" s="245" t="s">
        <v>1160</v>
      </c>
      <c r="J615" s="245" t="s">
        <v>930</v>
      </c>
      <c r="K615" s="245" t="s">
        <v>20</v>
      </c>
      <c r="L615" s="289"/>
      <c r="M615" s="245" t="s">
        <v>1161</v>
      </c>
      <c r="O615" s="245" t="s">
        <v>55</v>
      </c>
      <c r="P615" s="328">
        <v>45985</v>
      </c>
      <c r="Q615" s="422">
        <f t="shared" ca="1" si="91"/>
        <v>140</v>
      </c>
    </row>
    <row r="616" spans="1:17" s="245" customFormat="1" hidden="1">
      <c r="A616" s="289">
        <f t="shared" si="88"/>
        <v>614</v>
      </c>
      <c r="B616" s="284">
        <v>45934</v>
      </c>
      <c r="C616" s="245" t="str">
        <f t="shared" si="90"/>
        <v>MP0614</v>
      </c>
      <c r="D616" s="370" t="s">
        <v>428</v>
      </c>
      <c r="E616" s="289">
        <v>500</v>
      </c>
      <c r="F616" s="289">
        <v>910</v>
      </c>
      <c r="G616" s="289">
        <v>50</v>
      </c>
      <c r="H616" s="315">
        <v>25000</v>
      </c>
      <c r="I616" s="245" t="s">
        <v>59</v>
      </c>
      <c r="J616" s="245" t="s">
        <v>60</v>
      </c>
      <c r="K616" s="245" t="s">
        <v>26</v>
      </c>
      <c r="L616" s="289">
        <v>448</v>
      </c>
      <c r="M616" s="245" t="s">
        <v>419</v>
      </c>
      <c r="N616" s="245" t="s">
        <v>429</v>
      </c>
      <c r="O616" s="245" t="s">
        <v>55</v>
      </c>
      <c r="P616" s="326">
        <v>45985</v>
      </c>
      <c r="Q616" s="419">
        <f t="shared" ca="1" si="91"/>
        <v>140</v>
      </c>
    </row>
    <row r="617" spans="1:17" s="245" customFormat="1" hidden="1">
      <c r="A617" s="289">
        <f t="shared" si="88"/>
        <v>615</v>
      </c>
      <c r="B617" s="284">
        <v>45934</v>
      </c>
      <c r="C617" s="245" t="str">
        <f t="shared" si="90"/>
        <v>MP0615</v>
      </c>
      <c r="D617" s="246" t="s">
        <v>717</v>
      </c>
      <c r="E617" s="247">
        <v>150</v>
      </c>
      <c r="F617" s="247">
        <v>4910</v>
      </c>
      <c r="G617" s="247">
        <v>850</v>
      </c>
      <c r="H617" s="246">
        <f t="shared" ref="H617" si="92">IF(G617="","",E617*G617)</f>
        <v>127500</v>
      </c>
      <c r="I617" s="246" t="s">
        <v>152</v>
      </c>
      <c r="J617" s="246" t="s">
        <v>60</v>
      </c>
      <c r="K617" s="246" t="s">
        <v>4</v>
      </c>
      <c r="L617" s="248">
        <v>199</v>
      </c>
      <c r="M617" s="249" t="s">
        <v>840</v>
      </c>
      <c r="O617" s="245" t="s">
        <v>55</v>
      </c>
      <c r="P617" s="326">
        <v>45972</v>
      </c>
      <c r="Q617" s="419">
        <f t="shared" ca="1" si="91"/>
        <v>153</v>
      </c>
    </row>
    <row r="618" spans="1:17" s="245" customFormat="1" hidden="1">
      <c r="A618" s="289">
        <f t="shared" si="88"/>
        <v>616</v>
      </c>
      <c r="B618" s="284">
        <v>45934</v>
      </c>
      <c r="C618" s="245" t="str">
        <f t="shared" si="90"/>
        <v>MP0616</v>
      </c>
      <c r="D618" s="245" t="s">
        <v>1481</v>
      </c>
      <c r="E618" s="289">
        <v>3000</v>
      </c>
      <c r="F618" s="289" t="s">
        <v>231</v>
      </c>
      <c r="G618" s="289">
        <v>18</v>
      </c>
      <c r="H618" s="315">
        <f t="shared" si="87"/>
        <v>54000</v>
      </c>
      <c r="I618" s="245" t="s">
        <v>1482</v>
      </c>
      <c r="J618" s="245" t="s">
        <v>628</v>
      </c>
      <c r="K618" s="245" t="s">
        <v>1171</v>
      </c>
      <c r="L618" s="289"/>
      <c r="O618" s="245" t="s">
        <v>55</v>
      </c>
      <c r="P618" s="326">
        <v>45995</v>
      </c>
      <c r="Q618" s="419">
        <f t="shared" ca="1" si="91"/>
        <v>130</v>
      </c>
    </row>
    <row r="619" spans="1:17" s="245" customFormat="1" hidden="1">
      <c r="A619" s="289">
        <f t="shared" si="88"/>
        <v>617</v>
      </c>
      <c r="B619" s="284">
        <v>45936</v>
      </c>
      <c r="C619" s="245" t="str">
        <f t="shared" si="90"/>
        <v>MP0617</v>
      </c>
      <c r="D619" s="245" t="s">
        <v>1483</v>
      </c>
      <c r="E619" s="289">
        <v>300</v>
      </c>
      <c r="F619" s="289">
        <v>1020</v>
      </c>
      <c r="G619" s="289">
        <v>67</v>
      </c>
      <c r="H619" s="315">
        <f t="shared" si="87"/>
        <v>20100</v>
      </c>
      <c r="I619" s="245" t="s">
        <v>1484</v>
      </c>
      <c r="J619" s="245" t="s">
        <v>113</v>
      </c>
      <c r="K619" s="245" t="s">
        <v>9</v>
      </c>
      <c r="L619" s="289">
        <v>404</v>
      </c>
      <c r="O619" s="245" t="s">
        <v>55</v>
      </c>
      <c r="P619" s="326">
        <v>45985</v>
      </c>
      <c r="Q619" s="419">
        <f t="shared" ca="1" si="91"/>
        <v>140</v>
      </c>
    </row>
    <row r="620" spans="1:17" s="245" customFormat="1" hidden="1">
      <c r="A620" s="289">
        <f t="shared" si="88"/>
        <v>618</v>
      </c>
      <c r="B620" s="284">
        <v>45936</v>
      </c>
      <c r="C620" s="245" t="str">
        <f t="shared" si="90"/>
        <v>MP0618</v>
      </c>
      <c r="D620" s="279" t="s">
        <v>474</v>
      </c>
      <c r="E620" s="289">
        <v>300</v>
      </c>
      <c r="F620" s="289">
        <v>2340</v>
      </c>
      <c r="G620" s="289">
        <v>115</v>
      </c>
      <c r="H620" s="315">
        <f t="shared" si="87"/>
        <v>34500</v>
      </c>
      <c r="I620" s="245" t="s">
        <v>125</v>
      </c>
      <c r="J620" s="245" t="s">
        <v>87</v>
      </c>
      <c r="K620" s="245" t="s">
        <v>2</v>
      </c>
      <c r="L620" s="289">
        <v>350</v>
      </c>
      <c r="O620" s="245" t="s">
        <v>55</v>
      </c>
      <c r="P620" s="326">
        <v>45972</v>
      </c>
      <c r="Q620" s="419">
        <f t="shared" ca="1" si="91"/>
        <v>153</v>
      </c>
    </row>
    <row r="621" spans="1:17" s="245" customFormat="1" hidden="1">
      <c r="A621" s="289">
        <f t="shared" si="88"/>
        <v>619</v>
      </c>
      <c r="B621" s="284">
        <v>45937</v>
      </c>
      <c r="C621" s="245" t="str">
        <f t="shared" si="90"/>
        <v>MP0619</v>
      </c>
      <c r="D621" s="245" t="s">
        <v>1485</v>
      </c>
      <c r="E621" s="289">
        <v>300</v>
      </c>
      <c r="F621" s="289">
        <v>1740</v>
      </c>
      <c r="G621" s="289">
        <v>100</v>
      </c>
      <c r="H621" s="315">
        <f t="shared" si="87"/>
        <v>30000</v>
      </c>
      <c r="I621" s="245" t="s">
        <v>66</v>
      </c>
      <c r="J621" s="245" t="s">
        <v>60</v>
      </c>
      <c r="K621" s="245" t="s">
        <v>1042</v>
      </c>
      <c r="L621" s="289"/>
      <c r="O621" s="245" t="s">
        <v>55</v>
      </c>
      <c r="P621" s="326">
        <v>46003</v>
      </c>
      <c r="Q621" s="419">
        <f t="shared" ca="1" si="91"/>
        <v>122</v>
      </c>
    </row>
    <row r="622" spans="1:17" s="245" customFormat="1" hidden="1">
      <c r="A622" s="289">
        <f t="shared" si="88"/>
        <v>620</v>
      </c>
      <c r="B622" s="284">
        <v>45938</v>
      </c>
      <c r="C622" s="245" t="str">
        <f t="shared" si="90"/>
        <v>MP0620</v>
      </c>
      <c r="D622" s="245" t="s">
        <v>1486</v>
      </c>
      <c r="E622" s="289">
        <v>300</v>
      </c>
      <c r="F622" s="289">
        <v>2450</v>
      </c>
      <c r="G622" s="289">
        <v>190</v>
      </c>
      <c r="H622" s="315">
        <f t="shared" si="87"/>
        <v>57000</v>
      </c>
      <c r="I622" s="245" t="s">
        <v>66</v>
      </c>
      <c r="J622" s="245" t="s">
        <v>60</v>
      </c>
      <c r="K622" s="245" t="s">
        <v>1442</v>
      </c>
      <c r="L622" s="289"/>
      <c r="O622" s="245" t="s">
        <v>55</v>
      </c>
      <c r="P622" s="326">
        <v>45993</v>
      </c>
      <c r="Q622" s="419">
        <f t="shared" ca="1" si="91"/>
        <v>132</v>
      </c>
    </row>
    <row r="623" spans="1:17" s="245" customFormat="1" hidden="1">
      <c r="A623" s="289">
        <f t="shared" si="88"/>
        <v>621</v>
      </c>
      <c r="B623" s="284">
        <v>45938</v>
      </c>
      <c r="C623" s="245" t="str">
        <f t="shared" si="90"/>
        <v>MP0621</v>
      </c>
      <c r="D623" s="245" t="s">
        <v>1487</v>
      </c>
      <c r="E623" s="289">
        <v>2000</v>
      </c>
      <c r="F623" s="289">
        <v>185</v>
      </c>
      <c r="G623" s="289">
        <v>32</v>
      </c>
      <c r="H623" s="315">
        <f t="shared" si="87"/>
        <v>64000</v>
      </c>
      <c r="I623" s="245" t="s">
        <v>1488</v>
      </c>
      <c r="J623" s="277" t="s">
        <v>265</v>
      </c>
      <c r="K623" s="245" t="s">
        <v>23</v>
      </c>
      <c r="L623" s="289"/>
      <c r="O623" s="245" t="s">
        <v>55</v>
      </c>
      <c r="P623" s="326">
        <v>46022</v>
      </c>
      <c r="Q623" s="419">
        <f t="shared" ca="1" si="91"/>
        <v>103</v>
      </c>
    </row>
    <row r="624" spans="1:17" s="245" customFormat="1" hidden="1">
      <c r="A624" s="289">
        <f t="shared" si="88"/>
        <v>622</v>
      </c>
      <c r="B624" s="284">
        <v>45938</v>
      </c>
      <c r="C624" s="245" t="str">
        <f t="shared" si="90"/>
        <v>MP0622</v>
      </c>
      <c r="D624" s="245" t="s">
        <v>124</v>
      </c>
      <c r="E624" s="289">
        <v>500</v>
      </c>
      <c r="F624" s="289">
        <v>2340</v>
      </c>
      <c r="G624" s="289">
        <v>150</v>
      </c>
      <c r="H624" s="315">
        <f t="shared" si="87"/>
        <v>75000</v>
      </c>
      <c r="I624" s="245" t="s">
        <v>125</v>
      </c>
      <c r="J624" s="245" t="s">
        <v>113</v>
      </c>
      <c r="K624" s="245" t="s">
        <v>9</v>
      </c>
      <c r="L624" s="289"/>
      <c r="O624" s="246" t="s">
        <v>55</v>
      </c>
      <c r="P624" s="326">
        <v>45961</v>
      </c>
      <c r="Q624" s="419">
        <f t="shared" ca="1" si="91"/>
        <v>164</v>
      </c>
    </row>
    <row r="625" spans="1:17" s="245" customFormat="1" hidden="1">
      <c r="A625" s="289">
        <f t="shared" si="88"/>
        <v>623</v>
      </c>
      <c r="B625" s="284">
        <v>45939</v>
      </c>
      <c r="C625" s="245" t="str">
        <f t="shared" si="90"/>
        <v>MP0623</v>
      </c>
      <c r="D625" s="245" t="s">
        <v>530</v>
      </c>
      <c r="E625" s="289">
        <v>200</v>
      </c>
      <c r="F625" s="289">
        <v>4500</v>
      </c>
      <c r="G625" s="289">
        <v>280</v>
      </c>
      <c r="H625" s="315">
        <f t="shared" si="87"/>
        <v>56000</v>
      </c>
      <c r="I625" s="245" t="s">
        <v>152</v>
      </c>
      <c r="J625" s="245" t="s">
        <v>60</v>
      </c>
      <c r="K625" s="245" t="s">
        <v>4</v>
      </c>
      <c r="L625" s="289">
        <v>204</v>
      </c>
      <c r="O625" s="245" t="s">
        <v>55</v>
      </c>
      <c r="P625" s="326">
        <v>46010</v>
      </c>
      <c r="Q625" s="419">
        <f t="shared" ca="1" si="91"/>
        <v>115</v>
      </c>
    </row>
    <row r="626" spans="1:17" s="245" customFormat="1" hidden="1">
      <c r="A626" s="289">
        <f t="shared" si="88"/>
        <v>624</v>
      </c>
      <c r="B626" s="284">
        <v>45939</v>
      </c>
      <c r="C626" s="245" t="str">
        <f t="shared" si="90"/>
        <v>MP0624</v>
      </c>
      <c r="D626" s="245" t="s">
        <v>344</v>
      </c>
      <c r="E626" s="289">
        <v>250</v>
      </c>
      <c r="F626" s="289">
        <v>3100</v>
      </c>
      <c r="G626" s="289">
        <v>155</v>
      </c>
      <c r="H626" s="315">
        <f t="shared" si="87"/>
        <v>38750</v>
      </c>
      <c r="I626" s="245" t="s">
        <v>125</v>
      </c>
      <c r="J626" s="245" t="s">
        <v>113</v>
      </c>
      <c r="K626" s="245" t="s">
        <v>9</v>
      </c>
      <c r="L626" s="289">
        <v>303</v>
      </c>
      <c r="O626" s="245" t="s">
        <v>55</v>
      </c>
      <c r="P626" s="326">
        <v>45986</v>
      </c>
      <c r="Q626" s="419">
        <f t="shared" ca="1" si="91"/>
        <v>139</v>
      </c>
    </row>
    <row r="627" spans="1:17" s="245" customFormat="1" hidden="1">
      <c r="A627" s="289">
        <f t="shared" si="88"/>
        <v>625</v>
      </c>
      <c r="B627" s="284">
        <v>45939</v>
      </c>
      <c r="C627" s="245" t="str">
        <f t="shared" si="90"/>
        <v>MP0625</v>
      </c>
      <c r="D627" s="245" t="s">
        <v>158</v>
      </c>
      <c r="E627" s="289">
        <v>300</v>
      </c>
      <c r="F627" s="289">
        <v>1310</v>
      </c>
      <c r="G627" s="289">
        <v>90</v>
      </c>
      <c r="H627" s="315">
        <f t="shared" si="87"/>
        <v>27000</v>
      </c>
      <c r="I627" s="245" t="s">
        <v>66</v>
      </c>
      <c r="J627" s="245" t="s">
        <v>87</v>
      </c>
      <c r="K627" s="245" t="s">
        <v>15</v>
      </c>
      <c r="L627" s="289"/>
      <c r="O627" s="245" t="s">
        <v>55</v>
      </c>
      <c r="P627" s="326">
        <v>45976</v>
      </c>
      <c r="Q627" s="419">
        <f t="shared" ca="1" si="91"/>
        <v>149</v>
      </c>
    </row>
    <row r="628" spans="1:17" s="245" customFormat="1" hidden="1">
      <c r="A628" s="289">
        <f t="shared" si="88"/>
        <v>626</v>
      </c>
      <c r="B628" s="284">
        <v>45939</v>
      </c>
      <c r="C628" s="245" t="str">
        <f t="shared" si="90"/>
        <v>MP0626</v>
      </c>
      <c r="D628" s="245" t="s">
        <v>1489</v>
      </c>
      <c r="E628" s="289">
        <v>300</v>
      </c>
      <c r="F628" s="289">
        <v>1350</v>
      </c>
      <c r="G628" s="289">
        <v>100</v>
      </c>
      <c r="H628" s="315">
        <f t="shared" si="87"/>
        <v>30000</v>
      </c>
      <c r="I628" s="245" t="s">
        <v>66</v>
      </c>
      <c r="J628" s="245" t="s">
        <v>60</v>
      </c>
      <c r="K628" s="245" t="s">
        <v>4</v>
      </c>
      <c r="L628" s="289"/>
      <c r="O628" s="245" t="s">
        <v>55</v>
      </c>
      <c r="P628" s="326">
        <v>45980</v>
      </c>
      <c r="Q628" s="419">
        <f t="shared" ca="1" si="91"/>
        <v>145</v>
      </c>
    </row>
    <row r="629" spans="1:17" s="245" customFormat="1" hidden="1">
      <c r="A629" s="289">
        <f t="shared" si="88"/>
        <v>627</v>
      </c>
      <c r="B629" s="284">
        <v>45939</v>
      </c>
      <c r="C629" s="245" t="str">
        <f t="shared" si="90"/>
        <v>MP0627</v>
      </c>
      <c r="D629" s="245" t="s">
        <v>1490</v>
      </c>
      <c r="E629" s="289">
        <v>300</v>
      </c>
      <c r="F629" s="289">
        <v>910</v>
      </c>
      <c r="G629" s="289">
        <v>65</v>
      </c>
      <c r="H629" s="315">
        <f t="shared" si="87"/>
        <v>19500</v>
      </c>
      <c r="I629" s="245" t="s">
        <v>59</v>
      </c>
      <c r="J629" s="245" t="s">
        <v>60</v>
      </c>
      <c r="K629" s="245" t="s">
        <v>22</v>
      </c>
      <c r="L629" s="289"/>
      <c r="M629" s="245" t="s">
        <v>1462</v>
      </c>
      <c r="O629" s="245" t="s">
        <v>55</v>
      </c>
      <c r="P629" s="326">
        <v>46002</v>
      </c>
      <c r="Q629" s="419">
        <f t="shared" ca="1" si="91"/>
        <v>123</v>
      </c>
    </row>
    <row r="630" spans="1:17" s="245" customFormat="1" hidden="1">
      <c r="A630" s="289">
        <f t="shared" si="88"/>
        <v>628</v>
      </c>
      <c r="B630" s="284">
        <v>45941</v>
      </c>
      <c r="C630" s="245" t="str">
        <f t="shared" si="90"/>
        <v>MP0628</v>
      </c>
      <c r="D630" s="245" t="s">
        <v>487</v>
      </c>
      <c r="E630" s="289">
        <v>3000</v>
      </c>
      <c r="F630" s="289">
        <v>79</v>
      </c>
      <c r="G630" s="289">
        <v>10</v>
      </c>
      <c r="H630" s="315">
        <f t="shared" si="87"/>
        <v>30000</v>
      </c>
      <c r="I630" s="245" t="s">
        <v>1491</v>
      </c>
      <c r="J630" s="245" t="s">
        <v>930</v>
      </c>
      <c r="K630" s="245" t="s">
        <v>20</v>
      </c>
      <c r="L630" s="289"/>
      <c r="O630" s="245" t="s">
        <v>55</v>
      </c>
      <c r="P630" s="326">
        <v>46003</v>
      </c>
      <c r="Q630" s="419">
        <f t="shared" ca="1" si="91"/>
        <v>122</v>
      </c>
    </row>
    <row r="631" spans="1:17" s="361" customFormat="1" hidden="1">
      <c r="A631" s="359">
        <f t="shared" si="88"/>
        <v>629</v>
      </c>
      <c r="B631" s="360">
        <v>45941</v>
      </c>
      <c r="C631" s="361" t="str">
        <f t="shared" si="90"/>
        <v>MP0629</v>
      </c>
      <c r="D631" s="361" t="s">
        <v>1492</v>
      </c>
      <c r="E631" s="359">
        <v>300</v>
      </c>
      <c r="F631" s="359">
        <v>830</v>
      </c>
      <c r="G631" s="359">
        <v>82</v>
      </c>
      <c r="H631" s="362">
        <f t="shared" si="87"/>
        <v>24600</v>
      </c>
      <c r="I631" s="361" t="s">
        <v>66</v>
      </c>
      <c r="J631" s="361" t="s">
        <v>60</v>
      </c>
      <c r="K631" s="361" t="s">
        <v>4</v>
      </c>
      <c r="L631" s="359"/>
      <c r="M631" s="361" t="s">
        <v>1493</v>
      </c>
      <c r="O631" s="361" t="s">
        <v>370</v>
      </c>
      <c r="P631" s="363">
        <v>45944.699687499997</v>
      </c>
      <c r="Q631" s="424">
        <f t="shared" ca="1" si="91"/>
        <v>180.3003125000032</v>
      </c>
    </row>
    <row r="632" spans="1:17" s="245" customFormat="1" hidden="1">
      <c r="A632" s="289">
        <f t="shared" si="88"/>
        <v>630</v>
      </c>
      <c r="B632" s="284">
        <v>45941</v>
      </c>
      <c r="C632" s="245" t="str">
        <f t="shared" si="90"/>
        <v>MP0630</v>
      </c>
      <c r="D632" s="245" t="s">
        <v>1494</v>
      </c>
      <c r="E632" s="289">
        <v>200</v>
      </c>
      <c r="F632" s="289" t="s">
        <v>1495</v>
      </c>
      <c r="G632" s="289">
        <v>290</v>
      </c>
      <c r="H632" s="315">
        <f t="shared" si="87"/>
        <v>58000</v>
      </c>
      <c r="I632" s="190" t="s">
        <v>66</v>
      </c>
      <c r="J632" s="245" t="s">
        <v>60</v>
      </c>
      <c r="K632" s="245" t="s">
        <v>4</v>
      </c>
      <c r="L632" s="289"/>
      <c r="O632" s="245" t="s">
        <v>55</v>
      </c>
      <c r="P632" s="326">
        <v>45987</v>
      </c>
      <c r="Q632" s="419">
        <f t="shared" ca="1" si="91"/>
        <v>138</v>
      </c>
    </row>
    <row r="633" spans="1:17" s="245" customFormat="1" hidden="1">
      <c r="A633" s="289">
        <f t="shared" si="88"/>
        <v>631</v>
      </c>
      <c r="B633" s="284">
        <v>45941</v>
      </c>
      <c r="C633" s="245" t="str">
        <f t="shared" si="90"/>
        <v>MP0631</v>
      </c>
      <c r="D633" s="245" t="s">
        <v>795</v>
      </c>
      <c r="E633" s="289">
        <v>2000</v>
      </c>
      <c r="F633" s="289">
        <v>120</v>
      </c>
      <c r="G633" s="289">
        <v>13</v>
      </c>
      <c r="H633" s="315">
        <f t="shared" si="87"/>
        <v>26000</v>
      </c>
      <c r="I633" s="245" t="s">
        <v>1496</v>
      </c>
      <c r="J633" s="245" t="s">
        <v>930</v>
      </c>
      <c r="K633" s="245" t="s">
        <v>23</v>
      </c>
      <c r="L633" s="289"/>
      <c r="O633" s="245" t="s">
        <v>55</v>
      </c>
      <c r="P633" s="326">
        <v>45995</v>
      </c>
      <c r="Q633" s="419">
        <f t="shared" ca="1" si="91"/>
        <v>130</v>
      </c>
    </row>
    <row r="634" spans="1:17" s="245" customFormat="1" hidden="1">
      <c r="A634" s="289">
        <f t="shared" si="88"/>
        <v>632</v>
      </c>
      <c r="B634" s="284">
        <v>45943</v>
      </c>
      <c r="C634" s="245" t="str">
        <f t="shared" si="90"/>
        <v>MP0632</v>
      </c>
      <c r="D634" s="245" t="s">
        <v>1497</v>
      </c>
      <c r="E634" s="289">
        <v>3000</v>
      </c>
      <c r="F634" s="289">
        <v>167</v>
      </c>
      <c r="G634" s="289">
        <v>17.5</v>
      </c>
      <c r="H634" s="315">
        <f t="shared" si="87"/>
        <v>52500</v>
      </c>
      <c r="I634" s="245" t="s">
        <v>1498</v>
      </c>
      <c r="J634" s="245" t="s">
        <v>144</v>
      </c>
      <c r="K634" s="245" t="s">
        <v>1156</v>
      </c>
      <c r="L634" s="289"/>
      <c r="M634" s="245" t="s">
        <v>620</v>
      </c>
      <c r="N634" s="245" t="s">
        <v>620</v>
      </c>
      <c r="O634" s="245" t="s">
        <v>55</v>
      </c>
      <c r="P634" s="326">
        <v>46047</v>
      </c>
      <c r="Q634" s="419">
        <f t="shared" ca="1" si="91"/>
        <v>78</v>
      </c>
    </row>
    <row r="635" spans="1:17" s="245" customFormat="1" hidden="1">
      <c r="A635" s="289">
        <f t="shared" si="88"/>
        <v>633</v>
      </c>
      <c r="B635" s="284">
        <v>45943</v>
      </c>
      <c r="C635" s="245" t="str">
        <f t="shared" si="90"/>
        <v>MP0633</v>
      </c>
      <c r="D635" s="245" t="s">
        <v>160</v>
      </c>
      <c r="E635" s="289">
        <v>1000</v>
      </c>
      <c r="F635" s="289">
        <v>1070</v>
      </c>
      <c r="G635" s="289">
        <v>68</v>
      </c>
      <c r="H635" s="315">
        <f t="shared" si="87"/>
        <v>68000</v>
      </c>
      <c r="I635" s="245" t="s">
        <v>66</v>
      </c>
      <c r="J635" s="245" t="s">
        <v>87</v>
      </c>
      <c r="K635" s="245" t="s">
        <v>1042</v>
      </c>
      <c r="L635" s="289">
        <v>995</v>
      </c>
      <c r="O635" s="245" t="s">
        <v>55</v>
      </c>
      <c r="P635" s="326">
        <v>45976</v>
      </c>
      <c r="Q635" s="419">
        <f t="shared" ca="1" si="91"/>
        <v>149</v>
      </c>
    </row>
    <row r="636" spans="1:17" s="245" customFormat="1" hidden="1">
      <c r="A636" s="289">
        <f t="shared" si="88"/>
        <v>634</v>
      </c>
      <c r="B636" s="284">
        <v>45946</v>
      </c>
      <c r="C636" s="245" t="str">
        <f t="shared" si="90"/>
        <v>MP0634</v>
      </c>
      <c r="D636" s="245" t="s">
        <v>1499</v>
      </c>
      <c r="E636" s="289">
        <v>300</v>
      </c>
      <c r="F636" s="289">
        <v>243</v>
      </c>
      <c r="G636" s="289">
        <v>300</v>
      </c>
      <c r="H636" s="315">
        <f t="shared" si="87"/>
        <v>90000</v>
      </c>
      <c r="I636" s="245" t="s">
        <v>66</v>
      </c>
      <c r="J636" s="245" t="s">
        <v>60</v>
      </c>
      <c r="K636" s="245" t="s">
        <v>4</v>
      </c>
      <c r="L636" s="289"/>
      <c r="M636" s="245" t="s">
        <v>1500</v>
      </c>
      <c r="O636" s="245" t="s">
        <v>55</v>
      </c>
      <c r="P636" s="326">
        <v>45988</v>
      </c>
      <c r="Q636" s="419">
        <f t="shared" ca="1" si="91"/>
        <v>137</v>
      </c>
    </row>
    <row r="637" spans="1:17" s="245" customFormat="1" hidden="1">
      <c r="A637" s="289">
        <f t="shared" si="88"/>
        <v>635</v>
      </c>
      <c r="B637" s="284">
        <v>45946</v>
      </c>
      <c r="C637" s="245" t="str">
        <f t="shared" si="90"/>
        <v>MP0635</v>
      </c>
      <c r="D637" s="246" t="s">
        <v>50</v>
      </c>
      <c r="E637" s="247">
        <v>2500</v>
      </c>
      <c r="F637" s="247">
        <v>157.5</v>
      </c>
      <c r="G637" s="247">
        <v>24</v>
      </c>
      <c r="H637" s="246">
        <f t="shared" si="87"/>
        <v>60000</v>
      </c>
      <c r="I637" s="246" t="s">
        <v>51</v>
      </c>
      <c r="J637" s="246" t="s">
        <v>52</v>
      </c>
      <c r="K637" s="246" t="s">
        <v>27</v>
      </c>
      <c r="L637" s="344">
        <v>880</v>
      </c>
      <c r="M637" s="249"/>
      <c r="N637" s="246" t="s">
        <v>54</v>
      </c>
      <c r="O637" s="246" t="s">
        <v>55</v>
      </c>
      <c r="P637" s="328">
        <v>45946</v>
      </c>
      <c r="Q637" s="422">
        <f t="shared" ca="1" si="91"/>
        <v>179</v>
      </c>
    </row>
    <row r="638" spans="1:17" s="245" customFormat="1" hidden="1">
      <c r="A638" s="289">
        <f t="shared" si="88"/>
        <v>636</v>
      </c>
      <c r="B638" s="284">
        <v>45946</v>
      </c>
      <c r="C638" s="245" t="str">
        <f t="shared" si="90"/>
        <v>MP0636</v>
      </c>
      <c r="D638" s="246" t="s">
        <v>801</v>
      </c>
      <c r="E638" s="247">
        <v>5000</v>
      </c>
      <c r="F638" s="247">
        <v>111</v>
      </c>
      <c r="G638" s="247">
        <v>12</v>
      </c>
      <c r="H638" s="246">
        <f t="shared" si="87"/>
        <v>60000</v>
      </c>
      <c r="I638" s="246" t="s">
        <v>237</v>
      </c>
      <c r="J638" s="246" t="s">
        <v>265</v>
      </c>
      <c r="K638" s="246" t="s">
        <v>24</v>
      </c>
      <c r="L638" s="248">
        <v>4900</v>
      </c>
      <c r="M638" s="249" t="s">
        <v>1501</v>
      </c>
      <c r="N638" s="246" t="s">
        <v>211</v>
      </c>
      <c r="O638" s="246" t="s">
        <v>55</v>
      </c>
      <c r="P638" s="328">
        <v>46003</v>
      </c>
      <c r="Q638" s="422">
        <f t="shared" ca="1" si="91"/>
        <v>122</v>
      </c>
    </row>
    <row r="639" spans="1:17" s="245" customFormat="1" hidden="1">
      <c r="A639" s="289">
        <f t="shared" si="88"/>
        <v>637</v>
      </c>
      <c r="B639" s="284">
        <v>45946</v>
      </c>
      <c r="C639" s="245" t="str">
        <f t="shared" si="90"/>
        <v>MP0637</v>
      </c>
      <c r="D639" s="246" t="s">
        <v>1502</v>
      </c>
      <c r="E639" s="247">
        <v>5000</v>
      </c>
      <c r="F639" s="247">
        <v>116.25</v>
      </c>
      <c r="G639" s="247">
        <v>12</v>
      </c>
      <c r="H639" s="246">
        <f t="shared" si="87"/>
        <v>60000</v>
      </c>
      <c r="I639" s="246" t="s">
        <v>237</v>
      </c>
      <c r="J639" s="246" t="s">
        <v>265</v>
      </c>
      <c r="K639" s="246" t="s">
        <v>24</v>
      </c>
      <c r="L639" s="248"/>
      <c r="M639" s="249" t="s">
        <v>1503</v>
      </c>
      <c r="N639" s="246"/>
      <c r="O639" s="246" t="s">
        <v>55</v>
      </c>
      <c r="P639" s="328">
        <v>46007</v>
      </c>
      <c r="Q639" s="422">
        <f t="shared" ca="1" si="91"/>
        <v>118</v>
      </c>
    </row>
    <row r="640" spans="1:17" s="245" customFormat="1" hidden="1">
      <c r="A640" s="289">
        <f t="shared" si="88"/>
        <v>638</v>
      </c>
      <c r="B640" s="284">
        <v>45946</v>
      </c>
      <c r="C640" s="245" t="str">
        <f t="shared" si="90"/>
        <v>MP0638</v>
      </c>
      <c r="D640" s="277" t="s">
        <v>771</v>
      </c>
      <c r="E640" s="247">
        <v>3000</v>
      </c>
      <c r="F640" s="247">
        <v>92</v>
      </c>
      <c r="G640" s="278">
        <v>8.75</v>
      </c>
      <c r="H640" s="246">
        <f t="shared" si="87"/>
        <v>26250</v>
      </c>
      <c r="I640" s="246" t="s">
        <v>772</v>
      </c>
      <c r="J640" s="246" t="s">
        <v>767</v>
      </c>
      <c r="K640" s="246" t="s">
        <v>22</v>
      </c>
      <c r="L640" s="248">
        <v>3093</v>
      </c>
      <c r="M640" s="245" t="s">
        <v>1462</v>
      </c>
      <c r="N640" s="246"/>
      <c r="O640" s="245" t="s">
        <v>55</v>
      </c>
      <c r="P640" s="326">
        <v>46002</v>
      </c>
      <c r="Q640" s="419">
        <f t="shared" ca="1" si="91"/>
        <v>123</v>
      </c>
    </row>
    <row r="641" spans="1:17" s="245" customFormat="1" hidden="1">
      <c r="A641" s="289">
        <f t="shared" si="88"/>
        <v>639</v>
      </c>
      <c r="B641" s="284">
        <v>45946</v>
      </c>
      <c r="C641" s="245" t="str">
        <f t="shared" si="90"/>
        <v>MP0639</v>
      </c>
      <c r="D641" s="245" t="s">
        <v>1504</v>
      </c>
      <c r="E641" s="289">
        <v>1000</v>
      </c>
      <c r="F641" s="289">
        <v>220</v>
      </c>
      <c r="G641" s="289">
        <v>185</v>
      </c>
      <c r="H641" s="315">
        <f t="shared" si="87"/>
        <v>185000</v>
      </c>
      <c r="I641" s="245" t="s">
        <v>1284</v>
      </c>
      <c r="J641" s="245" t="s">
        <v>1092</v>
      </c>
      <c r="K641" s="245" t="s">
        <v>1442</v>
      </c>
      <c r="L641" s="289">
        <v>983</v>
      </c>
      <c r="M641" s="245" t="s">
        <v>620</v>
      </c>
      <c r="N641" s="245" t="s">
        <v>620</v>
      </c>
      <c r="O641" s="245" t="s">
        <v>55</v>
      </c>
      <c r="P641" s="326">
        <v>45993</v>
      </c>
      <c r="Q641" s="419">
        <f t="shared" ca="1" si="91"/>
        <v>132</v>
      </c>
    </row>
    <row r="642" spans="1:17" s="245" customFormat="1" hidden="1">
      <c r="A642" s="289">
        <f t="shared" si="88"/>
        <v>640</v>
      </c>
      <c r="B642" s="284">
        <v>45946</v>
      </c>
      <c r="C642" s="245" t="str">
        <f t="shared" si="90"/>
        <v>MP0640</v>
      </c>
      <c r="D642" s="245" t="s">
        <v>1128</v>
      </c>
      <c r="E642" s="289">
        <v>500</v>
      </c>
      <c r="F642" s="289">
        <v>1875</v>
      </c>
      <c r="G642" s="289">
        <v>398</v>
      </c>
      <c r="H642" s="315">
        <f t="shared" si="87"/>
        <v>199000</v>
      </c>
      <c r="I642" s="245" t="s">
        <v>152</v>
      </c>
      <c r="J642" s="245" t="s">
        <v>609</v>
      </c>
      <c r="K642" s="245" t="s">
        <v>16</v>
      </c>
      <c r="L642" s="289"/>
      <c r="M642" s="245" t="s">
        <v>620</v>
      </c>
      <c r="N642" s="245" t="s">
        <v>620</v>
      </c>
      <c r="O642" s="245" t="s">
        <v>55</v>
      </c>
      <c r="P642" s="326">
        <v>46002</v>
      </c>
      <c r="Q642" s="419">
        <f t="shared" ca="1" si="91"/>
        <v>123</v>
      </c>
    </row>
    <row r="643" spans="1:17" s="245" customFormat="1" hidden="1">
      <c r="A643" s="289">
        <f t="shared" si="88"/>
        <v>641</v>
      </c>
      <c r="B643" s="284">
        <v>45952</v>
      </c>
      <c r="C643" s="245" t="str">
        <f t="shared" si="90"/>
        <v>MP0641</v>
      </c>
      <c r="D643" s="245" t="s">
        <v>346</v>
      </c>
      <c r="E643" s="289">
        <v>300</v>
      </c>
      <c r="F643" s="289" t="s">
        <v>1505</v>
      </c>
      <c r="G643" s="289">
        <v>180</v>
      </c>
      <c r="H643" s="246">
        <f t="shared" si="87"/>
        <v>54000</v>
      </c>
      <c r="I643" s="245" t="s">
        <v>347</v>
      </c>
      <c r="J643" s="245" t="s">
        <v>937</v>
      </c>
      <c r="K643" s="245" t="s">
        <v>9</v>
      </c>
      <c r="L643" s="289"/>
      <c r="O643" s="245" t="s">
        <v>55</v>
      </c>
      <c r="P643" s="326">
        <v>45995</v>
      </c>
      <c r="Q643" s="419">
        <f t="shared" ca="1" si="91"/>
        <v>130</v>
      </c>
    </row>
    <row r="644" spans="1:17" s="245" customFormat="1" hidden="1">
      <c r="A644" s="289">
        <f t="shared" si="88"/>
        <v>642</v>
      </c>
      <c r="B644" s="284">
        <v>45952</v>
      </c>
      <c r="C644" s="245" t="str">
        <f t="shared" si="90"/>
        <v>MP0642</v>
      </c>
      <c r="D644" s="246" t="s">
        <v>1204</v>
      </c>
      <c r="E644" s="289">
        <v>3000</v>
      </c>
      <c r="F644" s="289">
        <v>249</v>
      </c>
      <c r="G644" s="289">
        <v>40</v>
      </c>
      <c r="H644" s="315">
        <f t="shared" si="87"/>
        <v>120000</v>
      </c>
      <c r="I644" s="245" t="s">
        <v>1205</v>
      </c>
      <c r="J644" s="245" t="s">
        <v>1170</v>
      </c>
      <c r="K644" s="245" t="s">
        <v>1171</v>
      </c>
      <c r="L644" s="289"/>
      <c r="N644" s="245" t="s">
        <v>620</v>
      </c>
      <c r="O644" s="245" t="s">
        <v>55</v>
      </c>
      <c r="P644" s="326">
        <v>45981</v>
      </c>
      <c r="Q644" s="419">
        <f t="shared" ca="1" si="91"/>
        <v>144</v>
      </c>
    </row>
    <row r="645" spans="1:17" s="245" customFormat="1" ht="30" hidden="1">
      <c r="A645" s="289">
        <f t="shared" si="88"/>
        <v>643</v>
      </c>
      <c r="B645" s="284">
        <v>45952</v>
      </c>
      <c r="C645" s="245" t="str">
        <f t="shared" si="90"/>
        <v>MP0643</v>
      </c>
      <c r="D645" s="245" t="s">
        <v>1274</v>
      </c>
      <c r="E645" s="289">
        <v>300</v>
      </c>
      <c r="F645" s="382" t="s">
        <v>1506</v>
      </c>
      <c r="G645" s="289">
        <v>234</v>
      </c>
      <c r="H645" s="246">
        <f t="shared" si="87"/>
        <v>70200</v>
      </c>
      <c r="I645" s="245" t="s">
        <v>1276</v>
      </c>
      <c r="J645" s="245" t="s">
        <v>609</v>
      </c>
      <c r="K645" s="245" t="s">
        <v>1042</v>
      </c>
      <c r="L645" s="289" t="s">
        <v>620</v>
      </c>
      <c r="M645" s="289"/>
      <c r="N645" s="245" t="s">
        <v>620</v>
      </c>
      <c r="O645" s="245" t="s">
        <v>55</v>
      </c>
      <c r="P645" s="326">
        <v>45985</v>
      </c>
      <c r="Q645" s="419">
        <f t="shared" ca="1" si="91"/>
        <v>140</v>
      </c>
    </row>
    <row r="646" spans="1:17" s="245" customFormat="1" hidden="1">
      <c r="A646" s="289">
        <f t="shared" ref="A646:A708" si="93">IF(B646="","",ROW()-2)</f>
        <v>644</v>
      </c>
      <c r="B646" s="284">
        <v>45952</v>
      </c>
      <c r="C646" s="245" t="str">
        <f t="shared" si="90"/>
        <v>MP0644</v>
      </c>
      <c r="D646" s="245" t="s">
        <v>1507</v>
      </c>
      <c r="E646" s="289">
        <v>2000</v>
      </c>
      <c r="F646" s="289">
        <v>75</v>
      </c>
      <c r="G646" s="289">
        <v>9</v>
      </c>
      <c r="H646" s="315">
        <f t="shared" si="87"/>
        <v>18000</v>
      </c>
      <c r="I646" s="245" t="s">
        <v>1508</v>
      </c>
      <c r="J646" s="245" t="s">
        <v>930</v>
      </c>
      <c r="K646" s="245" t="s">
        <v>20</v>
      </c>
      <c r="L646" s="289"/>
      <c r="M646" s="245" t="s">
        <v>1509</v>
      </c>
      <c r="O646" s="245" t="s">
        <v>55</v>
      </c>
      <c r="P646" s="326">
        <v>46043</v>
      </c>
      <c r="Q646" s="419">
        <f t="shared" ca="1" si="91"/>
        <v>82</v>
      </c>
    </row>
    <row r="647" spans="1:17" s="245" customFormat="1" hidden="1">
      <c r="A647" s="289">
        <f t="shared" si="93"/>
        <v>645</v>
      </c>
      <c r="B647" s="284">
        <v>45952</v>
      </c>
      <c r="C647" s="245" t="str">
        <f t="shared" si="90"/>
        <v>MP0645</v>
      </c>
      <c r="D647" s="315" t="s">
        <v>1327</v>
      </c>
      <c r="E647" s="337">
        <v>3000</v>
      </c>
      <c r="F647" s="337">
        <v>330</v>
      </c>
      <c r="G647" s="348">
        <v>16</v>
      </c>
      <c r="H647" s="315">
        <f t="shared" ref="H647:H650" si="94">IF(G647="","",E647*G647)</f>
        <v>48000</v>
      </c>
      <c r="I647" s="294" t="s">
        <v>1328</v>
      </c>
      <c r="J647" s="277" t="s">
        <v>634</v>
      </c>
      <c r="K647" s="277" t="s">
        <v>1459</v>
      </c>
      <c r="L647" s="289"/>
      <c r="M647" s="245" t="s">
        <v>620</v>
      </c>
      <c r="N647" s="245" t="s">
        <v>620</v>
      </c>
      <c r="O647" s="245" t="s">
        <v>55</v>
      </c>
      <c r="P647" s="326">
        <v>46002</v>
      </c>
      <c r="Q647" s="419">
        <f t="shared" ca="1" si="91"/>
        <v>123</v>
      </c>
    </row>
    <row r="648" spans="1:17" s="245" customFormat="1" hidden="1">
      <c r="A648" s="289">
        <f t="shared" si="93"/>
        <v>646</v>
      </c>
      <c r="B648" s="284">
        <v>45952</v>
      </c>
      <c r="C648" s="245" t="str">
        <f t="shared" si="90"/>
        <v>MP0646</v>
      </c>
      <c r="D648" s="315" t="s">
        <v>1510</v>
      </c>
      <c r="E648" s="337">
        <v>300</v>
      </c>
      <c r="F648" s="337">
        <v>109</v>
      </c>
      <c r="G648" s="348">
        <v>65</v>
      </c>
      <c r="H648" s="315">
        <f t="shared" si="94"/>
        <v>19500</v>
      </c>
      <c r="I648" s="294" t="s">
        <v>1511</v>
      </c>
      <c r="J648" s="277" t="s">
        <v>609</v>
      </c>
      <c r="K648" s="277" t="s">
        <v>1442</v>
      </c>
      <c r="L648" s="289"/>
      <c r="M648" s="245" t="s">
        <v>1135</v>
      </c>
      <c r="O648" s="245" t="s">
        <v>55</v>
      </c>
      <c r="P648" s="326">
        <v>46049</v>
      </c>
      <c r="Q648" s="419">
        <f t="shared" ca="1" si="91"/>
        <v>76</v>
      </c>
    </row>
    <row r="649" spans="1:17" s="245" customFormat="1" hidden="1">
      <c r="A649" s="289">
        <f t="shared" si="93"/>
        <v>647</v>
      </c>
      <c r="B649" s="284">
        <v>45952</v>
      </c>
      <c r="C649" s="245" t="str">
        <f t="shared" si="90"/>
        <v>MP0647</v>
      </c>
      <c r="D649" s="315" t="s">
        <v>1512</v>
      </c>
      <c r="E649" s="337">
        <v>300</v>
      </c>
      <c r="F649" s="337">
        <v>149</v>
      </c>
      <c r="G649" s="348">
        <v>95</v>
      </c>
      <c r="H649" s="315">
        <f t="shared" si="94"/>
        <v>28500</v>
      </c>
      <c r="I649" s="294" t="s">
        <v>1513</v>
      </c>
      <c r="J649" s="277" t="s">
        <v>609</v>
      </c>
      <c r="K649" s="277" t="s">
        <v>1442</v>
      </c>
      <c r="L649" s="289"/>
      <c r="M649" s="245" t="s">
        <v>1135</v>
      </c>
      <c r="O649" s="245" t="s">
        <v>55</v>
      </c>
      <c r="P649" s="326">
        <v>46059</v>
      </c>
      <c r="Q649" s="419">
        <f t="shared" ca="1" si="91"/>
        <v>66</v>
      </c>
    </row>
    <row r="650" spans="1:17" s="245" customFormat="1" hidden="1">
      <c r="A650" s="289">
        <f t="shared" si="93"/>
        <v>648</v>
      </c>
      <c r="B650" s="284">
        <v>45952</v>
      </c>
      <c r="C650" s="245" t="str">
        <f t="shared" si="90"/>
        <v>MP0648</v>
      </c>
      <c r="D650" s="315" t="s">
        <v>1514</v>
      </c>
      <c r="E650" s="337">
        <v>300</v>
      </c>
      <c r="F650" s="337">
        <v>185</v>
      </c>
      <c r="G650" s="348">
        <v>130</v>
      </c>
      <c r="H650" s="315">
        <f t="shared" si="94"/>
        <v>39000</v>
      </c>
      <c r="I650" s="294" t="s">
        <v>1511</v>
      </c>
      <c r="J650" s="277" t="s">
        <v>609</v>
      </c>
      <c r="K650" s="277" t="s">
        <v>1442</v>
      </c>
      <c r="L650" s="289"/>
      <c r="O650" s="245" t="s">
        <v>55</v>
      </c>
      <c r="P650" s="326">
        <v>46051</v>
      </c>
      <c r="Q650" s="419">
        <f t="shared" ca="1" si="91"/>
        <v>74</v>
      </c>
    </row>
    <row r="651" spans="1:17" s="245" customFormat="1" hidden="1">
      <c r="A651" s="289">
        <f t="shared" si="93"/>
        <v>649</v>
      </c>
      <c r="B651" s="284">
        <v>45952</v>
      </c>
      <c r="C651" s="245" t="str">
        <f t="shared" si="90"/>
        <v>MP0649</v>
      </c>
      <c r="D651" s="315" t="s">
        <v>1515</v>
      </c>
      <c r="E651" s="337">
        <v>500</v>
      </c>
      <c r="F651" s="337">
        <v>99</v>
      </c>
      <c r="G651" s="348">
        <v>50</v>
      </c>
      <c r="H651" s="315">
        <f>IF(G651="","",E651*G651)</f>
        <v>25000</v>
      </c>
      <c r="I651" s="294" t="s">
        <v>1516</v>
      </c>
      <c r="J651" s="277" t="s">
        <v>609</v>
      </c>
      <c r="K651" s="277" t="s">
        <v>1517</v>
      </c>
      <c r="L651" s="289"/>
      <c r="M651" s="245" t="s">
        <v>1518</v>
      </c>
      <c r="O651" s="245" t="s">
        <v>55</v>
      </c>
      <c r="P651" s="326">
        <v>45953</v>
      </c>
      <c r="Q651" s="419">
        <f t="shared" ca="1" si="91"/>
        <v>172</v>
      </c>
    </row>
    <row r="652" spans="1:17" s="245" customFormat="1" ht="15.75" hidden="1">
      <c r="A652" s="289">
        <f t="shared" si="93"/>
        <v>650</v>
      </c>
      <c r="B652" s="284">
        <v>45954</v>
      </c>
      <c r="C652" s="245" t="str">
        <f t="shared" si="90"/>
        <v>MP0650</v>
      </c>
      <c r="D652" s="273" t="s">
        <v>831</v>
      </c>
      <c r="E652" s="247">
        <v>300</v>
      </c>
      <c r="F652" s="247" t="s">
        <v>1519</v>
      </c>
      <c r="G652" s="247">
        <v>62</v>
      </c>
      <c r="H652" s="246">
        <f t="shared" ref="H652" si="95">IF(G652="","",E652*G652)</f>
        <v>18600</v>
      </c>
      <c r="I652" s="246" t="s">
        <v>300</v>
      </c>
      <c r="J652" s="246" t="s">
        <v>87</v>
      </c>
      <c r="K652" s="246" t="s">
        <v>22</v>
      </c>
      <c r="L652" s="248"/>
      <c r="M652" s="249"/>
      <c r="N652" s="246" t="s">
        <v>133</v>
      </c>
      <c r="O652" s="245" t="s">
        <v>55</v>
      </c>
      <c r="P652" s="328">
        <v>46057</v>
      </c>
      <c r="Q652" s="422">
        <f t="shared" ca="1" si="91"/>
        <v>68</v>
      </c>
    </row>
    <row r="653" spans="1:17" s="245" customFormat="1" hidden="1">
      <c r="A653" s="289">
        <f t="shared" si="93"/>
        <v>651</v>
      </c>
      <c r="B653" s="284">
        <v>45954</v>
      </c>
      <c r="C653" s="245" t="str">
        <f t="shared" si="90"/>
        <v>MP0651</v>
      </c>
      <c r="D653" s="245" t="s">
        <v>1520</v>
      </c>
      <c r="E653" s="289">
        <v>5000</v>
      </c>
      <c r="F653" s="289">
        <v>190</v>
      </c>
      <c r="G653" s="289">
        <v>17</v>
      </c>
      <c r="H653" s="315">
        <f t="shared" ref="H653:H694" si="96">IF(G653="","",E653*G653)</f>
        <v>85000</v>
      </c>
      <c r="I653" s="245" t="s">
        <v>1521</v>
      </c>
      <c r="J653" s="245" t="s">
        <v>1522</v>
      </c>
      <c r="K653" s="245" t="s">
        <v>1289</v>
      </c>
      <c r="L653" s="289"/>
      <c r="O653" s="245" t="s">
        <v>55</v>
      </c>
      <c r="P653" s="326">
        <v>46016</v>
      </c>
      <c r="Q653" s="419">
        <f t="shared" ca="1" si="91"/>
        <v>109</v>
      </c>
    </row>
    <row r="654" spans="1:17" s="245" customFormat="1" hidden="1">
      <c r="A654" s="289">
        <f t="shared" si="93"/>
        <v>652</v>
      </c>
      <c r="B654" s="284">
        <v>45954</v>
      </c>
      <c r="C654" s="245" t="str">
        <f t="shared" si="90"/>
        <v>MP0652</v>
      </c>
      <c r="D654" s="245" t="s">
        <v>1523</v>
      </c>
      <c r="E654" s="289">
        <v>300</v>
      </c>
      <c r="F654" s="289">
        <v>425</v>
      </c>
      <c r="G654" s="289">
        <v>140</v>
      </c>
      <c r="H654" s="315">
        <f t="shared" si="96"/>
        <v>42000</v>
      </c>
      <c r="I654" s="245" t="s">
        <v>1524</v>
      </c>
      <c r="J654" s="245" t="s">
        <v>609</v>
      </c>
      <c r="K654" s="245" t="s">
        <v>1525</v>
      </c>
      <c r="L654" s="289"/>
      <c r="M654" s="245" t="s">
        <v>1526</v>
      </c>
      <c r="O654" s="245" t="s">
        <v>55</v>
      </c>
      <c r="P654" s="326">
        <v>46047</v>
      </c>
      <c r="Q654" s="419">
        <f t="shared" ca="1" si="91"/>
        <v>78</v>
      </c>
    </row>
    <row r="655" spans="1:17" s="245" customFormat="1" hidden="1">
      <c r="A655" s="289">
        <f t="shared" si="93"/>
        <v>653</v>
      </c>
      <c r="B655" s="284">
        <v>45954</v>
      </c>
      <c r="C655" s="245" t="str">
        <f t="shared" si="90"/>
        <v>MP0653</v>
      </c>
      <c r="D655" s="245" t="s">
        <v>1527</v>
      </c>
      <c r="E655" s="289">
        <v>500</v>
      </c>
      <c r="F655" s="289">
        <v>83.43</v>
      </c>
      <c r="G655" s="289">
        <v>72</v>
      </c>
      <c r="H655" s="315">
        <f t="shared" si="96"/>
        <v>36000</v>
      </c>
      <c r="I655" s="245" t="s">
        <v>1155</v>
      </c>
      <c r="J655" s="245" t="s">
        <v>609</v>
      </c>
      <c r="K655" s="245" t="s">
        <v>1525</v>
      </c>
      <c r="L655" s="289"/>
      <c r="O655" s="245" t="s">
        <v>55</v>
      </c>
      <c r="P655" s="326">
        <v>46029</v>
      </c>
      <c r="Q655" s="419">
        <f t="shared" ca="1" si="91"/>
        <v>96</v>
      </c>
    </row>
    <row r="656" spans="1:17" s="245" customFormat="1" hidden="1">
      <c r="A656" s="289">
        <f t="shared" si="93"/>
        <v>654</v>
      </c>
      <c r="B656" s="284">
        <v>45954</v>
      </c>
      <c r="C656" s="245" t="str">
        <f t="shared" si="90"/>
        <v>MP0654</v>
      </c>
      <c r="D656" s="245" t="s">
        <v>1528</v>
      </c>
      <c r="E656" s="289">
        <v>3000</v>
      </c>
      <c r="F656" s="289">
        <v>185</v>
      </c>
      <c r="G656" s="289">
        <v>22</v>
      </c>
      <c r="H656" s="315">
        <f t="shared" si="96"/>
        <v>66000</v>
      </c>
      <c r="I656" s="245" t="s">
        <v>1529</v>
      </c>
      <c r="J656" s="245" t="s">
        <v>1522</v>
      </c>
      <c r="K656" s="245" t="s">
        <v>1525</v>
      </c>
      <c r="L656" s="289"/>
      <c r="O656" s="245" t="s">
        <v>55</v>
      </c>
      <c r="P656" s="326">
        <v>46059</v>
      </c>
      <c r="Q656" s="419">
        <f t="shared" ca="1" si="91"/>
        <v>66</v>
      </c>
    </row>
    <row r="657" spans="1:17" s="245" customFormat="1" hidden="1">
      <c r="A657" s="289">
        <f t="shared" si="93"/>
        <v>655</v>
      </c>
      <c r="B657" s="284">
        <v>45954</v>
      </c>
      <c r="C657" s="245" t="str">
        <f t="shared" si="90"/>
        <v>MP0655</v>
      </c>
      <c r="D657" s="245" t="s">
        <v>1530</v>
      </c>
      <c r="E657" s="289">
        <v>3000</v>
      </c>
      <c r="F657" s="289">
        <v>310</v>
      </c>
      <c r="G657" s="289">
        <v>14.75</v>
      </c>
      <c r="H657" s="315">
        <f t="shared" si="96"/>
        <v>44250</v>
      </c>
      <c r="I657" s="370" t="s">
        <v>1531</v>
      </c>
      <c r="J657" s="245" t="s">
        <v>1522</v>
      </c>
      <c r="K657" s="245" t="s">
        <v>22</v>
      </c>
      <c r="L657" s="289"/>
      <c r="O657" s="245" t="s">
        <v>55</v>
      </c>
      <c r="P657" s="326">
        <v>46038</v>
      </c>
      <c r="Q657" s="419">
        <f t="shared" ca="1" si="91"/>
        <v>87</v>
      </c>
    </row>
    <row r="658" spans="1:17" s="245" customFormat="1" hidden="1">
      <c r="A658" s="289">
        <f t="shared" si="93"/>
        <v>656</v>
      </c>
      <c r="B658" s="284">
        <v>45954</v>
      </c>
      <c r="C658" s="245" t="str">
        <f t="shared" si="90"/>
        <v>MP0656</v>
      </c>
      <c r="D658" s="245" t="s">
        <v>1532</v>
      </c>
      <c r="E658" s="289">
        <v>300</v>
      </c>
      <c r="F658" s="289">
        <v>170</v>
      </c>
      <c r="G658" s="289">
        <v>150</v>
      </c>
      <c r="H658" s="315">
        <f t="shared" si="96"/>
        <v>45000</v>
      </c>
      <c r="I658" s="245" t="s">
        <v>1284</v>
      </c>
      <c r="J658" s="245" t="s">
        <v>609</v>
      </c>
      <c r="K658" s="245" t="s">
        <v>1525</v>
      </c>
      <c r="L658" s="289"/>
      <c r="O658" s="245" t="s">
        <v>55</v>
      </c>
      <c r="P658" s="326">
        <v>46080</v>
      </c>
      <c r="Q658" s="419">
        <f t="shared" ca="1" si="91"/>
        <v>45</v>
      </c>
    </row>
    <row r="659" spans="1:17" s="245" customFormat="1" hidden="1">
      <c r="A659" s="289">
        <f t="shared" si="93"/>
        <v>657</v>
      </c>
      <c r="B659" s="284">
        <v>45954</v>
      </c>
      <c r="C659" s="245" t="str">
        <f t="shared" si="90"/>
        <v>MP0657</v>
      </c>
      <c r="D659" s="245" t="s">
        <v>1533</v>
      </c>
      <c r="E659" s="289">
        <v>300</v>
      </c>
      <c r="F659" s="289">
        <v>160</v>
      </c>
      <c r="G659" s="289">
        <v>185</v>
      </c>
      <c r="H659" s="315">
        <f t="shared" si="96"/>
        <v>55500</v>
      </c>
      <c r="I659" s="245" t="s">
        <v>1534</v>
      </c>
      <c r="J659" s="245" t="s">
        <v>609</v>
      </c>
      <c r="K659" s="245" t="s">
        <v>1525</v>
      </c>
      <c r="L659" s="289"/>
      <c r="M659" s="245" t="s">
        <v>1135</v>
      </c>
      <c r="O659" s="245" t="s">
        <v>55</v>
      </c>
      <c r="P659" s="326">
        <v>46027</v>
      </c>
      <c r="Q659" s="419">
        <f t="shared" ca="1" si="91"/>
        <v>98</v>
      </c>
    </row>
    <row r="660" spans="1:17" s="245" customFormat="1" hidden="1">
      <c r="A660" s="289">
        <f t="shared" si="93"/>
        <v>658</v>
      </c>
      <c r="B660" s="284">
        <v>45954</v>
      </c>
      <c r="C660" s="245" t="str">
        <f t="shared" si="90"/>
        <v>MP0658</v>
      </c>
      <c r="D660" s="245" t="s">
        <v>1535</v>
      </c>
      <c r="E660" s="289">
        <v>500</v>
      </c>
      <c r="F660" s="289" t="s">
        <v>1536</v>
      </c>
      <c r="G660" s="289">
        <v>55</v>
      </c>
      <c r="H660" s="315">
        <f t="shared" si="96"/>
        <v>27500</v>
      </c>
      <c r="I660" s="245" t="s">
        <v>1155</v>
      </c>
      <c r="J660" s="245" t="s">
        <v>609</v>
      </c>
      <c r="K660" s="245" t="s">
        <v>1525</v>
      </c>
      <c r="L660" s="289"/>
      <c r="O660" s="245" t="s">
        <v>55</v>
      </c>
      <c r="P660" s="326">
        <v>46010</v>
      </c>
      <c r="Q660" s="419">
        <f t="shared" ca="1" si="91"/>
        <v>115</v>
      </c>
    </row>
    <row r="661" spans="1:17" s="245" customFormat="1" hidden="1">
      <c r="A661" s="289">
        <f t="shared" si="93"/>
        <v>659</v>
      </c>
      <c r="B661" s="284">
        <v>45955</v>
      </c>
      <c r="C661" s="245" t="str">
        <f t="shared" si="90"/>
        <v>MP0659</v>
      </c>
      <c r="D661" s="245" t="s">
        <v>1537</v>
      </c>
      <c r="E661" s="289">
        <v>500</v>
      </c>
      <c r="F661" s="289">
        <v>120</v>
      </c>
      <c r="G661" s="289">
        <v>81</v>
      </c>
      <c r="H661" s="315">
        <f t="shared" si="96"/>
        <v>40500</v>
      </c>
      <c r="I661" s="245" t="s">
        <v>1446</v>
      </c>
      <c r="J661" s="245" t="s">
        <v>609</v>
      </c>
      <c r="K661" s="245" t="s">
        <v>678</v>
      </c>
      <c r="L661" s="289"/>
      <c r="M661" s="245" t="s">
        <v>1538</v>
      </c>
      <c r="N661" s="245" t="s">
        <v>620</v>
      </c>
      <c r="O661" s="245" t="s">
        <v>55</v>
      </c>
      <c r="P661" s="326">
        <v>46029</v>
      </c>
      <c r="Q661" s="419">
        <f t="shared" ca="1" si="91"/>
        <v>96</v>
      </c>
    </row>
    <row r="662" spans="1:17" s="245" customFormat="1" hidden="1">
      <c r="A662" s="289">
        <f t="shared" si="93"/>
        <v>660</v>
      </c>
      <c r="B662" s="284">
        <v>45955</v>
      </c>
      <c r="C662" s="245" t="str">
        <f t="shared" si="90"/>
        <v>MP0660</v>
      </c>
      <c r="D662" s="245" t="s">
        <v>1539</v>
      </c>
      <c r="E662" s="289">
        <v>600</v>
      </c>
      <c r="F662" s="289" t="s">
        <v>1540</v>
      </c>
      <c r="G662" s="289">
        <v>58</v>
      </c>
      <c r="H662" s="315">
        <f t="shared" si="96"/>
        <v>34800</v>
      </c>
      <c r="I662" s="245" t="s">
        <v>1541</v>
      </c>
      <c r="J662" s="245" t="s">
        <v>609</v>
      </c>
      <c r="K662" s="245" t="s">
        <v>1042</v>
      </c>
      <c r="L662" s="289"/>
      <c r="O662" s="245" t="s">
        <v>55</v>
      </c>
      <c r="P662" s="326">
        <v>46381</v>
      </c>
      <c r="Q662" s="419">
        <f t="shared" ca="1" si="91"/>
        <v>-256</v>
      </c>
    </row>
    <row r="663" spans="1:17" s="245" customFormat="1" hidden="1">
      <c r="A663" s="289">
        <f t="shared" ref="A663" si="97">IF(B663="","",ROW()-2)</f>
        <v>661</v>
      </c>
      <c r="B663" s="284">
        <v>45955</v>
      </c>
      <c r="C663" s="245" t="str">
        <f t="shared" ref="C663" si="98">IF(B663="","",_xlfn.CONCAT("MP0",A663))</f>
        <v>MP0661</v>
      </c>
      <c r="D663" s="245" t="s">
        <v>792</v>
      </c>
      <c r="E663" s="289">
        <v>500</v>
      </c>
      <c r="F663" s="289" t="s">
        <v>231</v>
      </c>
      <c r="G663" s="289">
        <v>380</v>
      </c>
      <c r="H663" s="315">
        <f t="shared" ref="H663:H664" si="99">IF(G663="","",E663*G663)</f>
        <v>190000</v>
      </c>
      <c r="I663" s="245" t="s">
        <v>66</v>
      </c>
      <c r="J663" s="245" t="s">
        <v>609</v>
      </c>
      <c r="K663" s="245" t="s">
        <v>16</v>
      </c>
      <c r="L663" s="289"/>
      <c r="M663" s="245" t="s">
        <v>1542</v>
      </c>
      <c r="O663" s="245" t="s">
        <v>55</v>
      </c>
      <c r="P663" s="326">
        <v>46002</v>
      </c>
      <c r="Q663" s="419">
        <f t="shared" ca="1" si="91"/>
        <v>123</v>
      </c>
    </row>
    <row r="664" spans="1:17" s="245" customFormat="1" hidden="1">
      <c r="A664" s="289">
        <f t="shared" si="93"/>
        <v>662</v>
      </c>
      <c r="B664" s="284">
        <v>45958</v>
      </c>
      <c r="C664" s="245" t="str">
        <f t="shared" si="90"/>
        <v>MP0662</v>
      </c>
      <c r="D664" s="370" t="s">
        <v>388</v>
      </c>
      <c r="E664" s="247">
        <v>500</v>
      </c>
      <c r="F664" s="247">
        <v>1260</v>
      </c>
      <c r="G664" s="247">
        <v>100</v>
      </c>
      <c r="H664" s="246">
        <f t="shared" si="99"/>
        <v>50000</v>
      </c>
      <c r="I664" s="246" t="s">
        <v>59</v>
      </c>
      <c r="J664" s="246" t="s">
        <v>87</v>
      </c>
      <c r="K664" s="246" t="s">
        <v>21</v>
      </c>
      <c r="L664" s="248"/>
      <c r="M664" s="249" t="s">
        <v>814</v>
      </c>
      <c r="N664" s="246" t="s">
        <v>89</v>
      </c>
      <c r="O664" s="246" t="s">
        <v>55</v>
      </c>
      <c r="P664" s="328">
        <v>46023</v>
      </c>
      <c r="Q664" s="422">
        <f t="shared" ca="1" si="91"/>
        <v>102</v>
      </c>
    </row>
    <row r="665" spans="1:17" s="245" customFormat="1" hidden="1">
      <c r="A665" s="289">
        <f t="shared" si="93"/>
        <v>663</v>
      </c>
      <c r="B665" s="284">
        <v>45959</v>
      </c>
      <c r="C665" s="245" t="str">
        <f t="shared" si="90"/>
        <v>MP0663</v>
      </c>
      <c r="D665" s="245" t="s">
        <v>1543</v>
      </c>
      <c r="E665" s="289">
        <v>300</v>
      </c>
      <c r="F665" s="289">
        <v>164</v>
      </c>
      <c r="G665" s="289">
        <v>90</v>
      </c>
      <c r="H665" s="315">
        <f t="shared" si="96"/>
        <v>27000</v>
      </c>
      <c r="I665" s="370" t="s">
        <v>1544</v>
      </c>
      <c r="J665" s="245" t="s">
        <v>609</v>
      </c>
      <c r="K665" s="245" t="s">
        <v>4</v>
      </c>
      <c r="L665" s="289"/>
      <c r="O665" s="245" t="s">
        <v>55</v>
      </c>
      <c r="P665" s="326">
        <v>46002</v>
      </c>
      <c r="Q665" s="419">
        <f t="shared" ca="1" si="91"/>
        <v>123</v>
      </c>
    </row>
    <row r="666" spans="1:17" s="245" customFormat="1" hidden="1">
      <c r="A666" s="289">
        <f t="shared" si="93"/>
        <v>664</v>
      </c>
      <c r="B666" s="284">
        <v>45959</v>
      </c>
      <c r="C666" s="245" t="str">
        <f t="shared" si="90"/>
        <v>MP0664</v>
      </c>
      <c r="D666" s="245" t="s">
        <v>1545</v>
      </c>
      <c r="E666" s="289">
        <v>300</v>
      </c>
      <c r="F666" s="289">
        <v>77.5</v>
      </c>
      <c r="G666" s="289">
        <v>70</v>
      </c>
      <c r="H666" s="315">
        <f t="shared" si="96"/>
        <v>21000</v>
      </c>
      <c r="I666" s="245" t="s">
        <v>1109</v>
      </c>
      <c r="J666" s="245" t="s">
        <v>609</v>
      </c>
      <c r="K666" s="245" t="s">
        <v>2</v>
      </c>
      <c r="L666" s="289"/>
      <c r="M666" s="245" t="s">
        <v>1135</v>
      </c>
      <c r="O666" s="245" t="s">
        <v>55</v>
      </c>
      <c r="P666" s="326">
        <v>46002</v>
      </c>
      <c r="Q666" s="419">
        <f t="shared" ca="1" si="91"/>
        <v>123</v>
      </c>
    </row>
    <row r="667" spans="1:17" s="245" customFormat="1" hidden="1">
      <c r="A667" s="289">
        <f t="shared" si="93"/>
        <v>665</v>
      </c>
      <c r="B667" s="284">
        <v>45959</v>
      </c>
      <c r="C667" s="245" t="str">
        <f t="shared" ref="C667:C730" si="100">IF(B667="","",_xlfn.CONCAT("MP0",A667))</f>
        <v>MP0665</v>
      </c>
      <c r="D667" s="245" t="s">
        <v>1546</v>
      </c>
      <c r="E667" s="289">
        <v>300</v>
      </c>
      <c r="F667" s="289">
        <v>73.5</v>
      </c>
      <c r="G667" s="289">
        <v>60</v>
      </c>
      <c r="H667" s="315">
        <f t="shared" si="96"/>
        <v>18000</v>
      </c>
      <c r="I667" s="245" t="s">
        <v>1109</v>
      </c>
      <c r="J667" s="245" t="s">
        <v>609</v>
      </c>
      <c r="K667" s="245" t="s">
        <v>4</v>
      </c>
      <c r="L667" s="289"/>
      <c r="O667" s="245" t="s">
        <v>55</v>
      </c>
      <c r="P667" s="326">
        <v>45995</v>
      </c>
      <c r="Q667" s="419">
        <f t="shared" ca="1" si="91"/>
        <v>130</v>
      </c>
    </row>
    <row r="668" spans="1:17" s="245" customFormat="1" hidden="1">
      <c r="A668" s="289">
        <f t="shared" si="93"/>
        <v>666</v>
      </c>
      <c r="B668" s="284">
        <v>45959</v>
      </c>
      <c r="C668" s="245" t="str">
        <f t="shared" si="100"/>
        <v>MP0666</v>
      </c>
      <c r="D668" s="245" t="s">
        <v>1547</v>
      </c>
      <c r="E668" s="289">
        <v>300</v>
      </c>
      <c r="F668" s="289">
        <v>152.5</v>
      </c>
      <c r="G668" s="289">
        <v>84</v>
      </c>
      <c r="H668" s="315">
        <f t="shared" si="96"/>
        <v>25200</v>
      </c>
      <c r="I668" s="245" t="s">
        <v>1548</v>
      </c>
      <c r="J668" s="245" t="s">
        <v>609</v>
      </c>
      <c r="K668" s="245" t="s">
        <v>4</v>
      </c>
      <c r="L668" s="289"/>
      <c r="O668" s="245" t="s">
        <v>55</v>
      </c>
      <c r="P668" s="326">
        <v>45987</v>
      </c>
      <c r="Q668" s="419">
        <f t="shared" ca="1" si="91"/>
        <v>138</v>
      </c>
    </row>
    <row r="669" spans="1:17" s="245" customFormat="1" hidden="1">
      <c r="A669" s="289">
        <f t="shared" si="93"/>
        <v>667</v>
      </c>
      <c r="B669" s="284">
        <v>45959</v>
      </c>
      <c r="C669" s="245" t="str">
        <f t="shared" si="100"/>
        <v>MP0667</v>
      </c>
      <c r="D669" s="245" t="s">
        <v>1124</v>
      </c>
      <c r="E669" s="289">
        <v>4000</v>
      </c>
      <c r="F669" s="289">
        <v>118</v>
      </c>
      <c r="G669" s="289">
        <v>9.5</v>
      </c>
      <c r="H669" s="246">
        <f t="shared" si="96"/>
        <v>38000</v>
      </c>
      <c r="I669" s="245" t="s">
        <v>1125</v>
      </c>
      <c r="J669" s="245" t="s">
        <v>930</v>
      </c>
      <c r="K669" s="245" t="s">
        <v>20</v>
      </c>
      <c r="L669" s="289"/>
      <c r="O669" s="245" t="s">
        <v>55</v>
      </c>
      <c r="P669" s="328">
        <v>46014</v>
      </c>
      <c r="Q669" s="422">
        <f t="shared" ca="1" si="91"/>
        <v>111</v>
      </c>
    </row>
    <row r="670" spans="1:17" s="245" customFormat="1" hidden="1">
      <c r="A670" s="289">
        <f t="shared" si="93"/>
        <v>668</v>
      </c>
      <c r="B670" s="284">
        <v>45959</v>
      </c>
      <c r="C670" s="245" t="str">
        <f t="shared" si="100"/>
        <v>MP0668</v>
      </c>
      <c r="D670" s="245" t="s">
        <v>1549</v>
      </c>
      <c r="E670" s="289">
        <v>1000</v>
      </c>
      <c r="F670" s="289">
        <v>350</v>
      </c>
      <c r="G670" s="289">
        <v>65</v>
      </c>
      <c r="H670" s="315">
        <f t="shared" si="96"/>
        <v>65000</v>
      </c>
      <c r="I670" s="245" t="s">
        <v>1550</v>
      </c>
      <c r="J670" s="245" t="s">
        <v>628</v>
      </c>
      <c r="K670" s="245" t="s">
        <v>1289</v>
      </c>
      <c r="L670" s="289"/>
      <c r="N670" s="245" t="s">
        <v>620</v>
      </c>
      <c r="O670" s="245" t="s">
        <v>55</v>
      </c>
      <c r="P670" s="326">
        <v>46093</v>
      </c>
      <c r="Q670" s="419">
        <f t="shared" ca="1" si="91"/>
        <v>32</v>
      </c>
    </row>
    <row r="671" spans="1:17" s="245" customFormat="1" hidden="1">
      <c r="A671" s="289">
        <f t="shared" si="93"/>
        <v>669</v>
      </c>
      <c r="B671" s="284">
        <v>45960</v>
      </c>
      <c r="C671" s="245" t="str">
        <f t="shared" si="100"/>
        <v>MP0669</v>
      </c>
      <c r="D671" s="245" t="s">
        <v>594</v>
      </c>
      <c r="E671" s="289">
        <v>300</v>
      </c>
      <c r="F671" s="289" t="s">
        <v>1551</v>
      </c>
      <c r="G671" s="289">
        <v>375</v>
      </c>
      <c r="H671" s="315">
        <f t="shared" si="96"/>
        <v>112500</v>
      </c>
      <c r="I671" s="245" t="s">
        <v>1036</v>
      </c>
      <c r="J671" s="245" t="s">
        <v>609</v>
      </c>
      <c r="K671" s="245" t="s">
        <v>1442</v>
      </c>
      <c r="L671" s="289"/>
      <c r="O671" s="245" t="s">
        <v>55</v>
      </c>
      <c r="P671" s="326">
        <v>45996</v>
      </c>
      <c r="Q671" s="419">
        <f t="shared" ca="1" si="91"/>
        <v>129</v>
      </c>
    </row>
    <row r="672" spans="1:17" s="245" customFormat="1" hidden="1">
      <c r="A672" s="289">
        <f t="shared" si="93"/>
        <v>670</v>
      </c>
      <c r="B672" s="284">
        <v>45960</v>
      </c>
      <c r="C672" s="245" t="str">
        <f t="shared" si="100"/>
        <v>MP0670</v>
      </c>
      <c r="D672" s="245" t="s">
        <v>1552</v>
      </c>
      <c r="E672" s="289">
        <v>25000</v>
      </c>
      <c r="F672" s="289">
        <v>24.97</v>
      </c>
      <c r="G672" s="289">
        <v>3</v>
      </c>
      <c r="H672" s="315">
        <f t="shared" si="96"/>
        <v>75000</v>
      </c>
      <c r="I672" s="370" t="s">
        <v>1553</v>
      </c>
      <c r="J672" s="245" t="s">
        <v>1101</v>
      </c>
      <c r="K672" s="245" t="s">
        <v>1554</v>
      </c>
      <c r="L672" s="289"/>
      <c r="M672" s="245" t="s">
        <v>620</v>
      </c>
      <c r="N672" s="245" t="s">
        <v>620</v>
      </c>
      <c r="O672" s="245" t="s">
        <v>55</v>
      </c>
      <c r="P672" s="326">
        <v>46020</v>
      </c>
      <c r="Q672" s="419">
        <f t="shared" ca="1" si="91"/>
        <v>105</v>
      </c>
    </row>
    <row r="673" spans="1:18" s="245" customFormat="1" hidden="1">
      <c r="A673" s="289">
        <f t="shared" si="93"/>
        <v>671</v>
      </c>
      <c r="B673" s="284">
        <v>45960</v>
      </c>
      <c r="C673" s="245" t="str">
        <f t="shared" si="100"/>
        <v>MP0671</v>
      </c>
      <c r="D673" s="245" t="s">
        <v>1555</v>
      </c>
      <c r="E673" s="289">
        <v>25000</v>
      </c>
      <c r="F673" s="289">
        <v>45</v>
      </c>
      <c r="G673" s="289">
        <v>4.25</v>
      </c>
      <c r="H673" s="315">
        <f t="shared" si="96"/>
        <v>106250</v>
      </c>
      <c r="I673" s="370" t="s">
        <v>1553</v>
      </c>
      <c r="J673" s="245" t="s">
        <v>1101</v>
      </c>
      <c r="K673" s="245" t="s">
        <v>1554</v>
      </c>
      <c r="L673" s="289"/>
      <c r="M673" s="245" t="s">
        <v>620</v>
      </c>
      <c r="N673" s="245" t="s">
        <v>620</v>
      </c>
      <c r="O673" s="245" t="s">
        <v>55</v>
      </c>
      <c r="P673" s="326">
        <v>46020</v>
      </c>
      <c r="Q673" s="419">
        <f t="shared" ca="1" si="91"/>
        <v>105</v>
      </c>
    </row>
    <row r="674" spans="1:18" s="245" customFormat="1" hidden="1">
      <c r="A674" s="289">
        <f t="shared" ref="A674" si="101">IF(B674="","",ROW()-2)</f>
        <v>672</v>
      </c>
      <c r="B674" s="284">
        <v>45960</v>
      </c>
      <c r="C674" s="245" t="str">
        <f t="shared" ref="C674" si="102">IF(B674="","",_xlfn.CONCAT("MP0",A674))</f>
        <v>MP0672</v>
      </c>
      <c r="D674" s="245" t="s">
        <v>1556</v>
      </c>
      <c r="E674" s="289">
        <v>5000</v>
      </c>
      <c r="F674" s="289">
        <v>195</v>
      </c>
      <c r="G674" s="289">
        <v>21</v>
      </c>
      <c r="H674" s="407">
        <f t="shared" si="96"/>
        <v>105000</v>
      </c>
      <c r="I674" s="370" t="s">
        <v>1557</v>
      </c>
      <c r="K674" s="245" t="s">
        <v>24</v>
      </c>
      <c r="L674" s="289"/>
      <c r="O674" s="245" t="s">
        <v>55</v>
      </c>
      <c r="P674" s="326">
        <v>46059</v>
      </c>
      <c r="Q674" s="419">
        <f t="shared" ca="1" si="91"/>
        <v>66</v>
      </c>
      <c r="R674" s="339"/>
    </row>
    <row r="675" spans="1:18" s="250" customFormat="1" hidden="1">
      <c r="A675" s="270">
        <f t="shared" si="93"/>
        <v>673</v>
      </c>
      <c r="B675" s="296">
        <v>45960</v>
      </c>
      <c r="C675" s="250" t="str">
        <f t="shared" si="100"/>
        <v>MP0673</v>
      </c>
      <c r="D675" s="250" t="s">
        <v>1558</v>
      </c>
      <c r="E675" s="270">
        <v>5000</v>
      </c>
      <c r="F675" s="270">
        <v>105</v>
      </c>
      <c r="G675" s="270">
        <v>12</v>
      </c>
      <c r="H675" s="355">
        <v>0</v>
      </c>
      <c r="I675" s="250" t="s">
        <v>1559</v>
      </c>
      <c r="J675" s="250" t="s">
        <v>930</v>
      </c>
      <c r="K675" s="250" t="s">
        <v>24</v>
      </c>
      <c r="L675" s="270"/>
      <c r="M675" s="250" t="s">
        <v>1381</v>
      </c>
      <c r="O675" s="250" t="s">
        <v>370</v>
      </c>
      <c r="P675" s="308">
        <v>45962</v>
      </c>
      <c r="Q675" s="420">
        <f t="shared" ca="1" si="91"/>
        <v>163</v>
      </c>
    </row>
    <row r="676" spans="1:18" s="361" customFormat="1" hidden="1">
      <c r="A676" s="359">
        <f t="shared" si="93"/>
        <v>674</v>
      </c>
      <c r="B676" s="360">
        <v>45960</v>
      </c>
      <c r="C676" s="361" t="str">
        <f t="shared" si="100"/>
        <v>MP0674</v>
      </c>
      <c r="D676" s="361" t="s">
        <v>1560</v>
      </c>
      <c r="E676" s="359">
        <v>3000</v>
      </c>
      <c r="F676" s="359" t="s">
        <v>231</v>
      </c>
      <c r="G676" s="359">
        <v>10.5</v>
      </c>
      <c r="H676" s="362">
        <v>0</v>
      </c>
      <c r="I676" s="361" t="s">
        <v>1561</v>
      </c>
      <c r="J676" s="361" t="s">
        <v>930</v>
      </c>
      <c r="K676" s="361" t="s">
        <v>24</v>
      </c>
      <c r="L676" s="359"/>
      <c r="O676" s="361" t="s">
        <v>370</v>
      </c>
      <c r="P676" s="363">
        <v>45962</v>
      </c>
      <c r="Q676" s="424">
        <f t="shared" ref="Q676:Q739" ca="1" si="103">TODAY()-P676</f>
        <v>163</v>
      </c>
    </row>
    <row r="677" spans="1:18" s="245" customFormat="1" hidden="1">
      <c r="A677" s="289">
        <f t="shared" si="93"/>
        <v>675</v>
      </c>
      <c r="B677" s="284">
        <v>45960</v>
      </c>
      <c r="C677" s="245" t="str">
        <f t="shared" si="100"/>
        <v>MP0675</v>
      </c>
      <c r="D677" s="246" t="s">
        <v>306</v>
      </c>
      <c r="E677" s="247">
        <v>20000</v>
      </c>
      <c r="F677" s="247" t="s">
        <v>231</v>
      </c>
      <c r="G677" s="278">
        <v>6</v>
      </c>
      <c r="H677" s="246">
        <f t="shared" si="96"/>
        <v>120000</v>
      </c>
      <c r="I677" s="277" t="s">
        <v>750</v>
      </c>
      <c r="J677" s="246" t="s">
        <v>751</v>
      </c>
      <c r="K677" s="246" t="s">
        <v>7</v>
      </c>
      <c r="L677" s="248"/>
      <c r="M677" s="249"/>
      <c r="O677" s="245" t="s">
        <v>55</v>
      </c>
      <c r="P677" s="326">
        <v>45988</v>
      </c>
      <c r="Q677" s="419">
        <f t="shared" ca="1" si="103"/>
        <v>137</v>
      </c>
    </row>
    <row r="678" spans="1:18" s="245" customFormat="1" hidden="1">
      <c r="A678" s="289">
        <f t="shared" si="93"/>
        <v>676</v>
      </c>
      <c r="B678" s="284">
        <v>45964</v>
      </c>
      <c r="C678" s="245" t="str">
        <f t="shared" si="100"/>
        <v>MP0676</v>
      </c>
      <c r="D678" s="245" t="s">
        <v>1562</v>
      </c>
      <c r="E678" s="289">
        <v>1000</v>
      </c>
      <c r="F678" s="289" t="s">
        <v>1563</v>
      </c>
      <c r="G678" s="289">
        <v>33</v>
      </c>
      <c r="H678" s="315">
        <f t="shared" si="96"/>
        <v>33000</v>
      </c>
      <c r="I678" s="245" t="s">
        <v>1564</v>
      </c>
      <c r="J678" s="245" t="s">
        <v>609</v>
      </c>
      <c r="K678" s="245" t="s">
        <v>20</v>
      </c>
      <c r="L678" s="289"/>
      <c r="M678" s="245" t="s">
        <v>620</v>
      </c>
      <c r="N678" s="245" t="s">
        <v>620</v>
      </c>
      <c r="O678" s="245" t="s">
        <v>55</v>
      </c>
      <c r="P678" s="326">
        <v>46021</v>
      </c>
      <c r="Q678" s="419">
        <f t="shared" ca="1" si="103"/>
        <v>104</v>
      </c>
    </row>
    <row r="679" spans="1:18" s="245" customFormat="1" hidden="1">
      <c r="A679" s="289">
        <f t="shared" si="93"/>
        <v>677</v>
      </c>
      <c r="B679" s="284">
        <v>45965</v>
      </c>
      <c r="C679" s="245" t="str">
        <f t="shared" si="100"/>
        <v>MP0677</v>
      </c>
      <c r="D679" s="245" t="s">
        <v>1565</v>
      </c>
      <c r="E679" s="289">
        <v>1000</v>
      </c>
      <c r="F679" s="289">
        <v>1171</v>
      </c>
      <c r="G679" s="289">
        <v>36.5</v>
      </c>
      <c r="H679" s="315">
        <f t="shared" si="96"/>
        <v>36500</v>
      </c>
      <c r="I679" s="245" t="s">
        <v>1566</v>
      </c>
      <c r="J679" s="245" t="s">
        <v>1092</v>
      </c>
      <c r="K679" s="245" t="s">
        <v>1156</v>
      </c>
      <c r="L679" s="289"/>
      <c r="O679" s="245" t="s">
        <v>55</v>
      </c>
      <c r="P679" s="326">
        <v>46011</v>
      </c>
      <c r="Q679" s="419">
        <f t="shared" ca="1" si="103"/>
        <v>114</v>
      </c>
    </row>
    <row r="680" spans="1:18" s="245" customFormat="1" hidden="1">
      <c r="A680" s="289">
        <f t="shared" si="93"/>
        <v>678</v>
      </c>
      <c r="B680" s="284">
        <v>45966</v>
      </c>
      <c r="C680" s="245" t="str">
        <f t="shared" si="100"/>
        <v>MP0678</v>
      </c>
      <c r="D680" s="246" t="s">
        <v>151</v>
      </c>
      <c r="E680" s="247">
        <v>300</v>
      </c>
      <c r="F680" s="247" t="s">
        <v>1567</v>
      </c>
      <c r="G680" s="247">
        <v>230</v>
      </c>
      <c r="H680" s="246">
        <f t="shared" si="96"/>
        <v>69000</v>
      </c>
      <c r="I680" s="246" t="s">
        <v>152</v>
      </c>
      <c r="J680" s="246" t="s">
        <v>60</v>
      </c>
      <c r="K680" s="246" t="s">
        <v>4</v>
      </c>
      <c r="L680" s="248"/>
      <c r="M680" s="249"/>
      <c r="N680" s="246"/>
      <c r="O680" s="245" t="s">
        <v>55</v>
      </c>
      <c r="P680" s="326">
        <v>45995</v>
      </c>
      <c r="Q680" s="419">
        <f t="shared" ca="1" si="103"/>
        <v>130</v>
      </c>
    </row>
    <row r="681" spans="1:18" s="245" customFormat="1" hidden="1">
      <c r="A681" s="289">
        <f t="shared" si="93"/>
        <v>679</v>
      </c>
      <c r="B681" s="284">
        <v>45966</v>
      </c>
      <c r="C681" s="245" t="str">
        <f t="shared" si="100"/>
        <v>MP0679</v>
      </c>
      <c r="D681" s="246" t="s">
        <v>895</v>
      </c>
      <c r="E681" s="247">
        <v>200</v>
      </c>
      <c r="F681" s="247">
        <v>2190</v>
      </c>
      <c r="G681" s="247">
        <v>330</v>
      </c>
      <c r="H681" s="246">
        <f t="shared" si="96"/>
        <v>66000</v>
      </c>
      <c r="I681" s="246" t="s">
        <v>66</v>
      </c>
      <c r="J681" s="246" t="s">
        <v>60</v>
      </c>
      <c r="K681" s="246" t="s">
        <v>4</v>
      </c>
      <c r="L681" s="248">
        <v>224</v>
      </c>
      <c r="M681" s="245" t="s">
        <v>1568</v>
      </c>
      <c r="O681" s="245" t="s">
        <v>55</v>
      </c>
      <c r="P681" s="326">
        <v>45995</v>
      </c>
      <c r="Q681" s="419">
        <f t="shared" ca="1" si="103"/>
        <v>130</v>
      </c>
    </row>
    <row r="682" spans="1:18" s="245" customFormat="1" hidden="1">
      <c r="A682" s="289">
        <f t="shared" si="93"/>
        <v>680</v>
      </c>
      <c r="B682" s="284">
        <v>45966</v>
      </c>
      <c r="C682" s="245" t="str">
        <f t="shared" si="100"/>
        <v>MP0680</v>
      </c>
      <c r="D682" s="245" t="s">
        <v>1114</v>
      </c>
      <c r="E682" s="289">
        <v>250</v>
      </c>
      <c r="F682" s="289">
        <v>3700</v>
      </c>
      <c r="G682" s="289">
        <v>300</v>
      </c>
      <c r="H682" s="246">
        <f t="shared" si="96"/>
        <v>75000</v>
      </c>
      <c r="I682" s="245" t="s">
        <v>1115</v>
      </c>
      <c r="J682" s="245" t="s">
        <v>609</v>
      </c>
      <c r="K682" s="245" t="s">
        <v>1031</v>
      </c>
      <c r="L682" s="289"/>
      <c r="O682" s="245" t="s">
        <v>55</v>
      </c>
      <c r="P682" s="326">
        <v>46029</v>
      </c>
      <c r="Q682" s="419">
        <f t="shared" ca="1" si="103"/>
        <v>96</v>
      </c>
    </row>
    <row r="683" spans="1:18" s="245" customFormat="1" hidden="1">
      <c r="A683" s="289">
        <f t="shared" si="93"/>
        <v>681</v>
      </c>
      <c r="B683" s="284">
        <v>45966</v>
      </c>
      <c r="C683" s="245" t="str">
        <f t="shared" si="100"/>
        <v>MP0681</v>
      </c>
      <c r="D683" s="245" t="s">
        <v>124</v>
      </c>
      <c r="E683" s="289">
        <v>500</v>
      </c>
      <c r="F683" s="289">
        <v>2340</v>
      </c>
      <c r="G683" s="289">
        <v>150</v>
      </c>
      <c r="H683" s="315">
        <f t="shared" si="96"/>
        <v>75000</v>
      </c>
      <c r="I683" s="245" t="s">
        <v>125</v>
      </c>
      <c r="J683" s="245" t="s">
        <v>113</v>
      </c>
      <c r="K683" s="245" t="s">
        <v>9</v>
      </c>
      <c r="L683" s="289"/>
      <c r="O683" s="245" t="s">
        <v>55</v>
      </c>
      <c r="P683" s="326">
        <v>45999</v>
      </c>
      <c r="Q683" s="419">
        <f t="shared" ca="1" si="103"/>
        <v>126</v>
      </c>
    </row>
    <row r="684" spans="1:18" s="245" customFormat="1" hidden="1">
      <c r="A684" s="289">
        <f t="shared" si="93"/>
        <v>682</v>
      </c>
      <c r="B684" s="284">
        <v>45966</v>
      </c>
      <c r="C684" s="245" t="str">
        <f t="shared" si="100"/>
        <v>MP0682</v>
      </c>
      <c r="D684" s="277" t="s">
        <v>752</v>
      </c>
      <c r="E684" s="247">
        <v>250</v>
      </c>
      <c r="F684" s="247" t="s">
        <v>1569</v>
      </c>
      <c r="G684" s="278">
        <v>170</v>
      </c>
      <c r="H684" s="246">
        <f t="shared" si="96"/>
        <v>42500</v>
      </c>
      <c r="I684" s="246" t="s">
        <v>586</v>
      </c>
      <c r="J684" s="246" t="s">
        <v>609</v>
      </c>
      <c r="K684" s="246" t="s">
        <v>4</v>
      </c>
      <c r="L684" s="248"/>
      <c r="O684" s="245" t="s">
        <v>55</v>
      </c>
      <c r="P684" s="326">
        <v>45996</v>
      </c>
      <c r="Q684" s="419">
        <f t="shared" ca="1" si="103"/>
        <v>129</v>
      </c>
    </row>
    <row r="685" spans="1:18" s="245" customFormat="1" hidden="1">
      <c r="A685" s="289">
        <f t="shared" si="93"/>
        <v>683</v>
      </c>
      <c r="B685" s="284">
        <v>45966</v>
      </c>
      <c r="C685" s="245" t="str">
        <f t="shared" si="100"/>
        <v>MP0683</v>
      </c>
      <c r="D685" s="245" t="s">
        <v>142</v>
      </c>
      <c r="E685" s="289">
        <v>5000</v>
      </c>
      <c r="F685" s="289">
        <v>103</v>
      </c>
      <c r="G685" s="289">
        <v>9.4</v>
      </c>
      <c r="H685" s="246">
        <f t="shared" si="96"/>
        <v>47000</v>
      </c>
      <c r="I685" s="245" t="s">
        <v>143</v>
      </c>
      <c r="J685" s="245" t="s">
        <v>144</v>
      </c>
      <c r="K685" s="245" t="s">
        <v>22</v>
      </c>
      <c r="L685" s="289"/>
      <c r="M685" s="245" t="s">
        <v>1570</v>
      </c>
      <c r="O685" s="245" t="s">
        <v>55</v>
      </c>
      <c r="P685" s="326">
        <v>46029</v>
      </c>
      <c r="Q685" s="419">
        <f t="shared" ca="1" si="103"/>
        <v>96</v>
      </c>
    </row>
    <row r="686" spans="1:18" s="245" customFormat="1" hidden="1">
      <c r="A686" s="289">
        <f t="shared" si="93"/>
        <v>684</v>
      </c>
      <c r="B686" s="284">
        <v>45966</v>
      </c>
      <c r="C686" s="245" t="str">
        <f t="shared" si="100"/>
        <v>MP0684</v>
      </c>
      <c r="D686" s="246" t="s">
        <v>394</v>
      </c>
      <c r="E686" s="247">
        <v>2000</v>
      </c>
      <c r="F686" s="247">
        <v>107.8</v>
      </c>
      <c r="G686" s="278">
        <v>14.2</v>
      </c>
      <c r="H686" s="246">
        <f t="shared" si="96"/>
        <v>28400</v>
      </c>
      <c r="I686" s="246" t="s">
        <v>227</v>
      </c>
      <c r="J686" s="246" t="s">
        <v>228</v>
      </c>
      <c r="K686" s="246" t="s">
        <v>22</v>
      </c>
      <c r="L686" s="248"/>
      <c r="M686" s="249"/>
      <c r="N686" s="246" t="s">
        <v>211</v>
      </c>
      <c r="O686" s="246" t="s">
        <v>55</v>
      </c>
      <c r="P686" s="326">
        <v>45965</v>
      </c>
      <c r="Q686" s="419">
        <f t="shared" ca="1" si="103"/>
        <v>160</v>
      </c>
    </row>
    <row r="687" spans="1:18" s="245" customFormat="1" hidden="1">
      <c r="A687" s="289">
        <f t="shared" si="93"/>
        <v>685</v>
      </c>
      <c r="B687" s="284">
        <v>45966</v>
      </c>
      <c r="C687" s="245" t="str">
        <f t="shared" si="100"/>
        <v>MP0685</v>
      </c>
      <c r="D687" s="246" t="s">
        <v>1571</v>
      </c>
      <c r="E687" s="247">
        <v>5000</v>
      </c>
      <c r="F687" s="247">
        <v>79.69</v>
      </c>
      <c r="G687" s="278">
        <v>10.25</v>
      </c>
      <c r="H687" s="246">
        <f t="shared" si="96"/>
        <v>51250</v>
      </c>
      <c r="I687" s="246" t="s">
        <v>51</v>
      </c>
      <c r="J687" s="246" t="s">
        <v>265</v>
      </c>
      <c r="K687" s="246" t="s">
        <v>24</v>
      </c>
      <c r="L687" s="248"/>
      <c r="M687" s="249" t="s">
        <v>1572</v>
      </c>
      <c r="N687" s="246" t="s">
        <v>211</v>
      </c>
      <c r="O687" s="246" t="s">
        <v>55</v>
      </c>
      <c r="P687" s="328">
        <v>46043</v>
      </c>
      <c r="Q687" s="422">
        <f t="shared" ca="1" si="103"/>
        <v>82</v>
      </c>
    </row>
    <row r="688" spans="1:18" s="245" customFormat="1" hidden="1">
      <c r="A688" s="289">
        <f t="shared" si="93"/>
        <v>686</v>
      </c>
      <c r="B688" s="284">
        <v>45966</v>
      </c>
      <c r="C688" s="245" t="str">
        <f t="shared" si="100"/>
        <v>MP0686</v>
      </c>
      <c r="D688" s="246" t="s">
        <v>349</v>
      </c>
      <c r="E688" s="247">
        <v>100</v>
      </c>
      <c r="F688" s="247" t="s">
        <v>1573</v>
      </c>
      <c r="G688" s="247">
        <v>600</v>
      </c>
      <c r="H688" s="246">
        <f t="shared" si="96"/>
        <v>60000</v>
      </c>
      <c r="I688" s="246" t="s">
        <v>125</v>
      </c>
      <c r="J688" s="246" t="s">
        <v>60</v>
      </c>
      <c r="K688" s="246" t="s">
        <v>9</v>
      </c>
      <c r="L688" s="289"/>
      <c r="O688" s="245" t="s">
        <v>55</v>
      </c>
      <c r="P688" s="328">
        <v>45992</v>
      </c>
      <c r="Q688" s="422">
        <f t="shared" ca="1" si="103"/>
        <v>133</v>
      </c>
    </row>
    <row r="689" spans="1:17" s="245" customFormat="1">
      <c r="A689" s="289">
        <f t="shared" si="93"/>
        <v>687</v>
      </c>
      <c r="B689" s="284">
        <v>45966</v>
      </c>
      <c r="C689" s="245" t="str">
        <f t="shared" si="100"/>
        <v>MP0687</v>
      </c>
      <c r="D689" s="245" t="s">
        <v>1064</v>
      </c>
      <c r="E689" s="289">
        <v>1000</v>
      </c>
      <c r="F689" s="289">
        <v>425</v>
      </c>
      <c r="G689" s="289">
        <v>52</v>
      </c>
      <c r="H689" s="246">
        <f t="shared" si="96"/>
        <v>52000</v>
      </c>
      <c r="I689" s="245" t="s">
        <v>1065</v>
      </c>
      <c r="J689" s="245" t="s">
        <v>609</v>
      </c>
      <c r="K689" s="245" t="s">
        <v>918</v>
      </c>
      <c r="L689" s="289"/>
      <c r="M689" s="249" t="s">
        <v>1574</v>
      </c>
      <c r="O689" s="245" t="s">
        <v>55</v>
      </c>
      <c r="P689" s="328">
        <v>46057</v>
      </c>
      <c r="Q689" s="422">
        <f t="shared" ca="1" si="103"/>
        <v>68</v>
      </c>
    </row>
    <row r="690" spans="1:17" s="250" customFormat="1" ht="15.75" hidden="1">
      <c r="A690" s="270">
        <f t="shared" si="93"/>
        <v>688</v>
      </c>
      <c r="B690" s="296">
        <v>45966</v>
      </c>
      <c r="C690" s="250" t="str">
        <f t="shared" si="100"/>
        <v>MP0688</v>
      </c>
      <c r="D690" s="389" t="s">
        <v>607</v>
      </c>
      <c r="E690" s="231">
        <v>100</v>
      </c>
      <c r="F690" s="231">
        <v>7312.5</v>
      </c>
      <c r="G690" s="231">
        <v>1440</v>
      </c>
      <c r="H690" s="252">
        <v>0</v>
      </c>
      <c r="I690" s="252" t="s">
        <v>608</v>
      </c>
      <c r="J690" s="252" t="s">
        <v>609</v>
      </c>
      <c r="K690" s="252" t="s">
        <v>4</v>
      </c>
      <c r="L690" s="241"/>
      <c r="M690" s="390"/>
      <c r="N690" s="252" t="s">
        <v>133</v>
      </c>
      <c r="O690" s="250" t="s">
        <v>370</v>
      </c>
      <c r="P690" s="316">
        <v>45972</v>
      </c>
      <c r="Q690" s="425">
        <f t="shared" ca="1" si="103"/>
        <v>153</v>
      </c>
    </row>
    <row r="691" spans="1:17" s="245" customFormat="1" hidden="1">
      <c r="A691" s="289">
        <f t="shared" si="93"/>
        <v>689</v>
      </c>
      <c r="B691" s="284">
        <v>45966</v>
      </c>
      <c r="C691" s="245" t="str">
        <f t="shared" si="100"/>
        <v>MP0689</v>
      </c>
      <c r="D691" s="246" t="s">
        <v>280</v>
      </c>
      <c r="E691" s="247">
        <v>500</v>
      </c>
      <c r="F691" s="247" t="s">
        <v>1575</v>
      </c>
      <c r="G691" s="247">
        <v>85</v>
      </c>
      <c r="H691" s="246">
        <f t="shared" si="96"/>
        <v>42500</v>
      </c>
      <c r="I691" s="246" t="s">
        <v>59</v>
      </c>
      <c r="J691" s="246" t="s">
        <v>60</v>
      </c>
      <c r="K691" s="246" t="s">
        <v>4</v>
      </c>
      <c r="L691" s="248"/>
      <c r="M691" s="249"/>
      <c r="N691" s="246" t="s">
        <v>211</v>
      </c>
      <c r="O691" s="246" t="s">
        <v>55</v>
      </c>
      <c r="P691" s="328">
        <v>46000</v>
      </c>
      <c r="Q691" s="422">
        <f t="shared" ca="1" si="103"/>
        <v>125</v>
      </c>
    </row>
    <row r="692" spans="1:17" s="245" customFormat="1" hidden="1">
      <c r="A692" s="289">
        <f t="shared" si="93"/>
        <v>690</v>
      </c>
      <c r="B692" s="284">
        <v>45966</v>
      </c>
      <c r="C692" s="245" t="str">
        <f t="shared" si="100"/>
        <v>MP0690</v>
      </c>
      <c r="D692" s="246" t="s">
        <v>543</v>
      </c>
      <c r="E692" s="247">
        <v>3000</v>
      </c>
      <c r="F692" s="247">
        <v>225</v>
      </c>
      <c r="G692" s="278">
        <v>14.5</v>
      </c>
      <c r="H692" s="246">
        <f t="shared" si="96"/>
        <v>43500</v>
      </c>
      <c r="I692" s="246" t="s">
        <v>143</v>
      </c>
      <c r="J692" s="246" t="s">
        <v>144</v>
      </c>
      <c r="K692" s="246" t="s">
        <v>27</v>
      </c>
      <c r="L692" s="248"/>
      <c r="M692" s="249"/>
      <c r="N692" s="246" t="s">
        <v>133</v>
      </c>
      <c r="O692" s="246" t="s">
        <v>55</v>
      </c>
      <c r="P692" s="328">
        <v>46013</v>
      </c>
      <c r="Q692" s="422">
        <f t="shared" ca="1" si="103"/>
        <v>112</v>
      </c>
    </row>
    <row r="693" spans="1:17" s="245" customFormat="1" hidden="1">
      <c r="A693" s="289">
        <f t="shared" si="93"/>
        <v>691</v>
      </c>
      <c r="B693" s="284">
        <v>45966</v>
      </c>
      <c r="C693" s="245" t="str">
        <f t="shared" si="100"/>
        <v>MP0691</v>
      </c>
      <c r="D693" s="246" t="s">
        <v>785</v>
      </c>
      <c r="E693" s="247">
        <v>500</v>
      </c>
      <c r="F693" s="247">
        <v>103.1</v>
      </c>
      <c r="G693" s="247">
        <v>90</v>
      </c>
      <c r="H693" s="246">
        <f t="shared" si="96"/>
        <v>45000</v>
      </c>
      <c r="I693" s="246" t="s">
        <v>74</v>
      </c>
      <c r="J693" s="246" t="s">
        <v>60</v>
      </c>
      <c r="K693" s="246" t="s">
        <v>4</v>
      </c>
      <c r="L693" s="248"/>
      <c r="M693" s="249" t="s">
        <v>1576</v>
      </c>
      <c r="N693" s="246" t="s">
        <v>89</v>
      </c>
      <c r="O693" s="246" t="s">
        <v>55</v>
      </c>
      <c r="P693" s="328">
        <v>46093</v>
      </c>
      <c r="Q693" s="422">
        <f t="shared" ca="1" si="103"/>
        <v>32</v>
      </c>
    </row>
    <row r="694" spans="1:17" s="245" customFormat="1" hidden="1">
      <c r="A694" s="289">
        <f t="shared" si="93"/>
        <v>692</v>
      </c>
      <c r="B694" s="284">
        <v>45966</v>
      </c>
      <c r="C694" s="245" t="str">
        <f t="shared" si="100"/>
        <v>MP0692</v>
      </c>
      <c r="D694" s="249" t="s">
        <v>460</v>
      </c>
      <c r="E694" s="247">
        <v>200</v>
      </c>
      <c r="F694" s="247">
        <v>3900</v>
      </c>
      <c r="G694" s="247">
        <v>415</v>
      </c>
      <c r="H694" s="246">
        <f t="shared" si="96"/>
        <v>83000</v>
      </c>
      <c r="I694" s="246" t="s">
        <v>66</v>
      </c>
      <c r="J694" s="246" t="s">
        <v>60</v>
      </c>
      <c r="K694" s="246" t="s">
        <v>4</v>
      </c>
      <c r="L694" s="289"/>
      <c r="O694" s="246" t="s">
        <v>55</v>
      </c>
      <c r="P694" s="328">
        <v>46016</v>
      </c>
      <c r="Q694" s="422">
        <f t="shared" ca="1" si="103"/>
        <v>109</v>
      </c>
    </row>
    <row r="695" spans="1:17" s="245" customFormat="1" hidden="1">
      <c r="A695" s="289">
        <f t="shared" si="93"/>
        <v>693</v>
      </c>
      <c r="B695" s="284">
        <v>45966</v>
      </c>
      <c r="C695" s="245" t="str">
        <f t="shared" si="100"/>
        <v>MP0693</v>
      </c>
      <c r="D695" s="246" t="s">
        <v>400</v>
      </c>
      <c r="E695" s="247">
        <v>500</v>
      </c>
      <c r="F695" s="247" t="s">
        <v>231</v>
      </c>
      <c r="G695" s="247">
        <v>260</v>
      </c>
      <c r="H695" s="246">
        <v>152500</v>
      </c>
      <c r="I695" s="246" t="s">
        <v>286</v>
      </c>
      <c r="J695" s="246" t="s">
        <v>60</v>
      </c>
      <c r="K695" s="246" t="s">
        <v>4</v>
      </c>
      <c r="L695" s="289"/>
      <c r="O695" s="245" t="s">
        <v>55</v>
      </c>
      <c r="P695" s="326">
        <v>46003</v>
      </c>
      <c r="Q695" s="419">
        <f t="shared" ca="1" si="103"/>
        <v>122</v>
      </c>
    </row>
    <row r="696" spans="1:17" s="245" customFormat="1" hidden="1">
      <c r="A696" s="289">
        <f t="shared" si="93"/>
        <v>694</v>
      </c>
      <c r="B696" s="284">
        <v>45966</v>
      </c>
      <c r="C696" s="245" t="str">
        <f t="shared" si="100"/>
        <v>MP0694</v>
      </c>
      <c r="D696" s="246" t="s">
        <v>403</v>
      </c>
      <c r="E696" s="247">
        <v>2000</v>
      </c>
      <c r="F696" s="247" t="s">
        <v>231</v>
      </c>
      <c r="G696" s="247">
        <v>14</v>
      </c>
      <c r="H696" s="246">
        <f t="shared" ref="H696:H709" si="104">IF(G696="","",E696*G696)</f>
        <v>28000</v>
      </c>
      <c r="I696" s="246" t="s">
        <v>227</v>
      </c>
      <c r="J696" s="246" t="s">
        <v>228</v>
      </c>
      <c r="K696" s="246" t="s">
        <v>22</v>
      </c>
      <c r="L696" s="248"/>
      <c r="M696" s="249"/>
      <c r="N696" s="246" t="s">
        <v>398</v>
      </c>
      <c r="O696" s="245" t="s">
        <v>55</v>
      </c>
      <c r="P696" s="326">
        <v>45995</v>
      </c>
      <c r="Q696" s="419">
        <f t="shared" ca="1" si="103"/>
        <v>130</v>
      </c>
    </row>
    <row r="697" spans="1:17" s="245" customFormat="1" ht="30" hidden="1">
      <c r="A697" s="289">
        <f t="shared" si="93"/>
        <v>695</v>
      </c>
      <c r="B697" s="284">
        <v>45966</v>
      </c>
      <c r="C697" s="245" t="str">
        <f t="shared" si="100"/>
        <v>MP0695</v>
      </c>
      <c r="D697" s="249" t="s">
        <v>822</v>
      </c>
      <c r="E697" s="247">
        <v>1200</v>
      </c>
      <c r="F697" s="247">
        <v>125</v>
      </c>
      <c r="G697" s="247">
        <v>32</v>
      </c>
      <c r="H697" s="246">
        <f t="shared" si="104"/>
        <v>38400</v>
      </c>
      <c r="I697" s="246" t="s">
        <v>237</v>
      </c>
      <c r="J697" s="246" t="s">
        <v>265</v>
      </c>
      <c r="K697" s="246" t="s">
        <v>20</v>
      </c>
      <c r="L697" s="248"/>
      <c r="M697" s="249" t="s">
        <v>1577</v>
      </c>
      <c r="N697" s="246" t="s">
        <v>133</v>
      </c>
      <c r="O697" s="245" t="s">
        <v>55</v>
      </c>
      <c r="P697" s="326">
        <v>46035</v>
      </c>
      <c r="Q697" s="419">
        <f t="shared" ca="1" si="103"/>
        <v>90</v>
      </c>
    </row>
    <row r="698" spans="1:17" s="245" customFormat="1" hidden="1">
      <c r="A698" s="289">
        <f t="shared" si="93"/>
        <v>696</v>
      </c>
      <c r="B698" s="284">
        <v>46004</v>
      </c>
      <c r="C698" s="245" t="str">
        <f t="shared" si="100"/>
        <v>MP0696</v>
      </c>
      <c r="D698" s="249" t="s">
        <v>458</v>
      </c>
      <c r="E698" s="247">
        <v>300</v>
      </c>
      <c r="F698" s="247">
        <v>3900</v>
      </c>
      <c r="G698" s="247">
        <v>180</v>
      </c>
      <c r="H698" s="246">
        <f t="shared" si="104"/>
        <v>54000</v>
      </c>
      <c r="I698" s="246" t="s">
        <v>358</v>
      </c>
      <c r="J698" s="246" t="s">
        <v>60</v>
      </c>
      <c r="K698" s="246" t="s">
        <v>2</v>
      </c>
      <c r="L698" s="248"/>
      <c r="M698" s="249" t="s">
        <v>1578</v>
      </c>
      <c r="N698" s="246" t="s">
        <v>54</v>
      </c>
      <c r="O698" s="246" t="s">
        <v>55</v>
      </c>
      <c r="P698" s="328">
        <v>46059</v>
      </c>
      <c r="Q698" s="422">
        <f t="shared" ca="1" si="103"/>
        <v>66</v>
      </c>
    </row>
    <row r="699" spans="1:17" s="245" customFormat="1" hidden="1">
      <c r="A699" s="289">
        <f t="shared" si="93"/>
        <v>697</v>
      </c>
      <c r="B699" s="284">
        <v>45966</v>
      </c>
      <c r="C699" s="245" t="str">
        <f t="shared" si="100"/>
        <v>MP0697</v>
      </c>
      <c r="D699" s="249" t="s">
        <v>817</v>
      </c>
      <c r="E699" s="247">
        <v>300</v>
      </c>
      <c r="F699" s="247" t="s">
        <v>1579</v>
      </c>
      <c r="G699" s="247">
        <v>110</v>
      </c>
      <c r="H699" s="246">
        <f t="shared" si="104"/>
        <v>33000</v>
      </c>
      <c r="I699" s="246" t="s">
        <v>455</v>
      </c>
      <c r="J699" s="246" t="s">
        <v>60</v>
      </c>
      <c r="K699" s="245" t="s">
        <v>1442</v>
      </c>
      <c r="L699" s="248"/>
      <c r="M699" s="249"/>
      <c r="N699" s="246" t="s">
        <v>200</v>
      </c>
      <c r="O699" s="245" t="s">
        <v>55</v>
      </c>
      <c r="P699" s="328">
        <v>46031</v>
      </c>
      <c r="Q699" s="422">
        <f t="shared" ca="1" si="103"/>
        <v>94</v>
      </c>
    </row>
    <row r="700" spans="1:17" s="245" customFormat="1" hidden="1">
      <c r="A700" s="289">
        <f t="shared" si="93"/>
        <v>698</v>
      </c>
      <c r="B700" s="284">
        <v>45966</v>
      </c>
      <c r="C700" s="245" t="str">
        <f t="shared" si="100"/>
        <v>MP0698</v>
      </c>
      <c r="D700" s="249" t="s">
        <v>1580</v>
      </c>
      <c r="E700" s="247">
        <v>1200</v>
      </c>
      <c r="F700" s="247">
        <v>178.13</v>
      </c>
      <c r="G700" s="247">
        <v>22</v>
      </c>
      <c r="H700" s="246">
        <f t="shared" si="104"/>
        <v>26400</v>
      </c>
      <c r="I700" s="246" t="s">
        <v>264</v>
      </c>
      <c r="J700" s="246" t="s">
        <v>265</v>
      </c>
      <c r="K700" s="246" t="s">
        <v>20</v>
      </c>
      <c r="L700" s="248"/>
      <c r="M700" s="249" t="s">
        <v>1572</v>
      </c>
      <c r="N700" s="246" t="s">
        <v>133</v>
      </c>
      <c r="O700" s="245" t="s">
        <v>55</v>
      </c>
      <c r="P700" s="328">
        <v>45969</v>
      </c>
      <c r="Q700" s="422">
        <f t="shared" ca="1" si="103"/>
        <v>156</v>
      </c>
    </row>
    <row r="701" spans="1:17" s="245" customFormat="1" hidden="1">
      <c r="A701" s="289">
        <f t="shared" si="93"/>
        <v>699</v>
      </c>
      <c r="B701" s="284">
        <v>45966</v>
      </c>
      <c r="C701" s="245" t="str">
        <f t="shared" si="100"/>
        <v>MP0699</v>
      </c>
      <c r="D701" s="245" t="s">
        <v>1088</v>
      </c>
      <c r="E701" s="289">
        <v>2400</v>
      </c>
      <c r="F701" s="289" t="s">
        <v>231</v>
      </c>
      <c r="G701" s="289">
        <v>7.5</v>
      </c>
      <c r="H701" s="246">
        <f t="shared" si="104"/>
        <v>18000</v>
      </c>
      <c r="I701" s="245" t="s">
        <v>1081</v>
      </c>
      <c r="J701" s="245" t="s">
        <v>844</v>
      </c>
      <c r="K701" s="245" t="s">
        <v>20</v>
      </c>
      <c r="L701" s="289"/>
      <c r="M701" s="245" t="s">
        <v>1581</v>
      </c>
      <c r="O701" s="245" t="s">
        <v>55</v>
      </c>
      <c r="P701" s="328">
        <v>45969</v>
      </c>
      <c r="Q701" s="422">
        <f t="shared" ca="1" si="103"/>
        <v>156</v>
      </c>
    </row>
    <row r="702" spans="1:17" s="250" customFormat="1" hidden="1">
      <c r="A702" s="270">
        <f t="shared" si="93"/>
        <v>700</v>
      </c>
      <c r="B702" s="296">
        <v>45966</v>
      </c>
      <c r="C702" s="250" t="str">
        <f t="shared" si="100"/>
        <v>MP0700</v>
      </c>
      <c r="D702" s="255" t="s">
        <v>483</v>
      </c>
      <c r="E702" s="231">
        <v>3000</v>
      </c>
      <c r="F702" s="231">
        <v>45.02</v>
      </c>
      <c r="G702" s="268">
        <v>8.75</v>
      </c>
      <c r="H702" s="252">
        <f t="shared" si="104"/>
        <v>26250</v>
      </c>
      <c r="I702" s="252" t="s">
        <v>51</v>
      </c>
      <c r="J702" s="252" t="s">
        <v>385</v>
      </c>
      <c r="K702" s="252" t="s">
        <v>20</v>
      </c>
      <c r="L702" s="241"/>
      <c r="M702" s="255"/>
      <c r="N702" s="252" t="s">
        <v>133</v>
      </c>
      <c r="O702" s="252" t="s">
        <v>370</v>
      </c>
      <c r="P702" s="316"/>
      <c r="Q702" s="425">
        <f t="shared" ca="1" si="103"/>
        <v>46125</v>
      </c>
    </row>
    <row r="703" spans="1:17" s="245" customFormat="1" hidden="1">
      <c r="A703" s="289">
        <f t="shared" si="93"/>
        <v>701</v>
      </c>
      <c r="B703" s="284">
        <v>45966</v>
      </c>
      <c r="C703" s="245" t="str">
        <f t="shared" si="100"/>
        <v>MP0701</v>
      </c>
      <c r="D703" s="246" t="s">
        <v>522</v>
      </c>
      <c r="E703" s="247">
        <v>300</v>
      </c>
      <c r="F703" s="247" t="s">
        <v>1582</v>
      </c>
      <c r="G703" s="247">
        <v>165</v>
      </c>
      <c r="H703" s="246">
        <f t="shared" si="104"/>
        <v>49500</v>
      </c>
      <c r="I703" s="246" t="s">
        <v>286</v>
      </c>
      <c r="J703" s="246" t="s">
        <v>60</v>
      </c>
      <c r="K703" s="246" t="s">
        <v>4</v>
      </c>
      <c r="L703" s="248"/>
      <c r="M703" s="249"/>
      <c r="N703" s="246" t="s">
        <v>54</v>
      </c>
      <c r="O703" s="246" t="s">
        <v>55</v>
      </c>
      <c r="P703" s="328">
        <v>45971</v>
      </c>
      <c r="Q703" s="422">
        <f t="shared" ca="1" si="103"/>
        <v>154</v>
      </c>
    </row>
    <row r="704" spans="1:17" s="245" customFormat="1" hidden="1">
      <c r="A704" s="289">
        <f t="shared" si="93"/>
        <v>702</v>
      </c>
      <c r="B704" s="284">
        <v>45966</v>
      </c>
      <c r="C704" s="245" t="str">
        <f t="shared" si="100"/>
        <v>MP0702</v>
      </c>
      <c r="D704" s="246" t="s">
        <v>853</v>
      </c>
      <c r="E704" s="247">
        <v>300</v>
      </c>
      <c r="F704" s="247" t="s">
        <v>1583</v>
      </c>
      <c r="G704" s="278">
        <v>105</v>
      </c>
      <c r="H704" s="246">
        <f t="shared" si="104"/>
        <v>31500</v>
      </c>
      <c r="I704" s="246" t="s">
        <v>66</v>
      </c>
      <c r="J704" s="246" t="s">
        <v>60</v>
      </c>
      <c r="K704" s="246" t="s">
        <v>9</v>
      </c>
      <c r="L704" s="248"/>
      <c r="O704" s="246" t="s">
        <v>55</v>
      </c>
      <c r="P704" s="328">
        <v>46034</v>
      </c>
      <c r="Q704" s="422">
        <f t="shared" ca="1" si="103"/>
        <v>91</v>
      </c>
    </row>
    <row r="705" spans="1:17" s="245" customFormat="1" hidden="1">
      <c r="A705" s="289">
        <f t="shared" si="93"/>
        <v>703</v>
      </c>
      <c r="B705" s="284">
        <v>45966</v>
      </c>
      <c r="C705" s="245" t="str">
        <f t="shared" si="100"/>
        <v>MP0703</v>
      </c>
      <c r="D705" s="245" t="s">
        <v>1352</v>
      </c>
      <c r="E705" s="289">
        <v>500</v>
      </c>
      <c r="F705" s="289">
        <v>243.7</v>
      </c>
      <c r="G705" s="289">
        <v>110</v>
      </c>
      <c r="H705" s="315">
        <f t="shared" si="104"/>
        <v>55000</v>
      </c>
      <c r="I705" s="245" t="s">
        <v>66</v>
      </c>
      <c r="J705" s="245" t="s">
        <v>87</v>
      </c>
      <c r="K705" s="245" t="s">
        <v>4</v>
      </c>
      <c r="L705" s="289"/>
      <c r="O705" s="246" t="s">
        <v>55</v>
      </c>
      <c r="P705" s="328">
        <v>46010</v>
      </c>
      <c r="Q705" s="422">
        <f t="shared" ca="1" si="103"/>
        <v>115</v>
      </c>
    </row>
    <row r="706" spans="1:17" s="245" customFormat="1" hidden="1">
      <c r="A706" s="289">
        <f t="shared" si="93"/>
        <v>704</v>
      </c>
      <c r="B706" s="284">
        <v>45966</v>
      </c>
      <c r="C706" s="245" t="str">
        <f t="shared" si="100"/>
        <v>MP0704</v>
      </c>
      <c r="D706" s="246" t="s">
        <v>684</v>
      </c>
      <c r="E706" s="247">
        <v>1200</v>
      </c>
      <c r="F706" s="247">
        <v>159.38</v>
      </c>
      <c r="G706" s="247">
        <v>13.5</v>
      </c>
      <c r="H706" s="246">
        <f t="shared" si="104"/>
        <v>16200</v>
      </c>
      <c r="I706" s="246" t="s">
        <v>269</v>
      </c>
      <c r="J706" s="246" t="s">
        <v>265</v>
      </c>
      <c r="K706" s="246" t="s">
        <v>683</v>
      </c>
      <c r="L706" s="289"/>
      <c r="O706" s="246" t="s">
        <v>55</v>
      </c>
      <c r="P706" s="328">
        <v>46368</v>
      </c>
      <c r="Q706" s="422">
        <f t="shared" ca="1" si="103"/>
        <v>-243</v>
      </c>
    </row>
    <row r="707" spans="1:17" s="245" customFormat="1" hidden="1">
      <c r="A707" s="289">
        <f t="shared" si="93"/>
        <v>705</v>
      </c>
      <c r="B707" s="284">
        <v>45966</v>
      </c>
      <c r="C707" s="245" t="str">
        <f t="shared" si="100"/>
        <v>MP0705</v>
      </c>
      <c r="D707" s="245" t="s">
        <v>1252</v>
      </c>
      <c r="E707" s="367">
        <v>3000</v>
      </c>
      <c r="F707" s="289">
        <v>60</v>
      </c>
      <c r="G707" s="289">
        <v>7.3</v>
      </c>
      <c r="H707" s="246">
        <f t="shared" si="104"/>
        <v>21900</v>
      </c>
      <c r="I707" s="245" t="s">
        <v>1253</v>
      </c>
      <c r="J707" s="246" t="s">
        <v>265</v>
      </c>
      <c r="K707" s="245" t="s">
        <v>22</v>
      </c>
      <c r="L707" s="289"/>
      <c r="O707" s="246" t="s">
        <v>55</v>
      </c>
      <c r="P707" s="328">
        <v>46037</v>
      </c>
      <c r="Q707" s="422">
        <f t="shared" ca="1" si="103"/>
        <v>88</v>
      </c>
    </row>
    <row r="708" spans="1:17" s="245" customFormat="1" hidden="1">
      <c r="A708" s="289">
        <f t="shared" si="93"/>
        <v>706</v>
      </c>
      <c r="B708" s="284">
        <v>45966</v>
      </c>
      <c r="C708" s="245" t="str">
        <f t="shared" si="100"/>
        <v>MP0706</v>
      </c>
      <c r="D708" s="277" t="s">
        <v>790</v>
      </c>
      <c r="E708" s="337">
        <v>300</v>
      </c>
      <c r="F708" s="337">
        <v>1810</v>
      </c>
      <c r="G708" s="337">
        <v>106</v>
      </c>
      <c r="H708" s="277">
        <f t="shared" si="104"/>
        <v>31800</v>
      </c>
      <c r="I708" s="277" t="s">
        <v>74</v>
      </c>
      <c r="J708" s="277" t="s">
        <v>60</v>
      </c>
      <c r="K708" s="277" t="s">
        <v>22</v>
      </c>
      <c r="L708" s="289"/>
      <c r="O708" s="246" t="s">
        <v>55</v>
      </c>
      <c r="P708" s="328">
        <v>45971</v>
      </c>
      <c r="Q708" s="422">
        <f t="shared" ca="1" si="103"/>
        <v>154</v>
      </c>
    </row>
    <row r="709" spans="1:17" s="245" customFormat="1" hidden="1">
      <c r="A709" s="289">
        <f t="shared" ref="A709:A749" si="105">IF(B709="","",ROW()-2)</f>
        <v>707</v>
      </c>
      <c r="B709" s="284">
        <v>45966</v>
      </c>
      <c r="C709" s="245" t="str">
        <f t="shared" si="100"/>
        <v>MP0707</v>
      </c>
      <c r="D709" s="429" t="s">
        <v>883</v>
      </c>
      <c r="E709" s="289">
        <v>500</v>
      </c>
      <c r="F709" s="289">
        <v>133.5</v>
      </c>
      <c r="G709" s="289">
        <v>72</v>
      </c>
      <c r="H709" s="277">
        <f t="shared" si="104"/>
        <v>36000</v>
      </c>
      <c r="I709" s="245" t="s">
        <v>1584</v>
      </c>
      <c r="J709" s="245" t="s">
        <v>609</v>
      </c>
      <c r="K709" s="245" t="s">
        <v>27</v>
      </c>
      <c r="L709" s="289"/>
      <c r="M709" s="245" t="s">
        <v>1585</v>
      </c>
      <c r="N709" s="245" t="s">
        <v>620</v>
      </c>
      <c r="O709" s="245" t="s">
        <v>55</v>
      </c>
      <c r="P709" s="328">
        <v>46383</v>
      </c>
      <c r="Q709" s="422">
        <f t="shared" ca="1" si="103"/>
        <v>-258</v>
      </c>
    </row>
    <row r="710" spans="1:17" s="245" customFormat="1" hidden="1">
      <c r="A710" s="289">
        <f t="shared" si="105"/>
        <v>708</v>
      </c>
      <c r="B710" s="284">
        <v>45966</v>
      </c>
      <c r="C710" s="245" t="str">
        <f t="shared" si="100"/>
        <v>MP0708</v>
      </c>
      <c r="D710" s="245" t="s">
        <v>1093</v>
      </c>
      <c r="E710" s="289">
        <v>300</v>
      </c>
      <c r="F710" s="289" t="s">
        <v>1586</v>
      </c>
      <c r="G710" s="289">
        <v>120</v>
      </c>
      <c r="H710" s="246">
        <f t="shared" ref="H710:H774" si="106">IF(G710="","",E710*G710)</f>
        <v>36000</v>
      </c>
      <c r="I710" s="245" t="s">
        <v>1094</v>
      </c>
      <c r="J710" s="245" t="s">
        <v>1092</v>
      </c>
      <c r="K710" s="245" t="s">
        <v>918</v>
      </c>
      <c r="L710" s="289"/>
      <c r="O710" s="245" t="s">
        <v>55</v>
      </c>
      <c r="P710" s="328">
        <v>46013</v>
      </c>
      <c r="Q710" s="422">
        <f t="shared" ca="1" si="103"/>
        <v>112</v>
      </c>
    </row>
    <row r="711" spans="1:17" s="245" customFormat="1" hidden="1">
      <c r="A711" s="289">
        <f t="shared" si="105"/>
        <v>709</v>
      </c>
      <c r="B711" s="284">
        <v>45966</v>
      </c>
      <c r="C711" s="245" t="str">
        <f t="shared" si="100"/>
        <v>MP0709</v>
      </c>
      <c r="D711" s="277" t="s">
        <v>865</v>
      </c>
      <c r="E711" s="247">
        <v>1500</v>
      </c>
      <c r="F711" s="247">
        <v>111.2</v>
      </c>
      <c r="G711" s="278">
        <v>17.5</v>
      </c>
      <c r="H711" s="246">
        <f t="shared" si="106"/>
        <v>26250</v>
      </c>
      <c r="I711" s="246" t="s">
        <v>737</v>
      </c>
      <c r="J711" s="246" t="s">
        <v>738</v>
      </c>
      <c r="K711" s="246" t="s">
        <v>20</v>
      </c>
      <c r="L711" s="248">
        <v>1224</v>
      </c>
      <c r="M711" s="279" t="s">
        <v>832</v>
      </c>
      <c r="O711" s="245" t="s">
        <v>55</v>
      </c>
      <c r="P711" s="326">
        <v>46060</v>
      </c>
      <c r="Q711" s="419">
        <f t="shared" ca="1" si="103"/>
        <v>65</v>
      </c>
    </row>
    <row r="712" spans="1:17" s="245" customFormat="1" hidden="1">
      <c r="A712" s="289">
        <f t="shared" si="105"/>
        <v>710</v>
      </c>
      <c r="B712" s="284">
        <v>45967</v>
      </c>
      <c r="C712" s="245" t="str">
        <f t="shared" si="100"/>
        <v>MP0710</v>
      </c>
      <c r="D712" s="246" t="s">
        <v>867</v>
      </c>
      <c r="E712" s="247">
        <v>1500</v>
      </c>
      <c r="F712" s="247">
        <v>115.7</v>
      </c>
      <c r="G712" s="278">
        <v>15</v>
      </c>
      <c r="H712" s="246">
        <f>IF(G712="","",E712*G712)</f>
        <v>22500</v>
      </c>
      <c r="I712" s="246" t="s">
        <v>737</v>
      </c>
      <c r="J712" s="246" t="s">
        <v>738</v>
      </c>
      <c r="K712" s="246" t="s">
        <v>20</v>
      </c>
      <c r="L712" s="248">
        <v>1231</v>
      </c>
      <c r="M712" s="306" t="s">
        <v>832</v>
      </c>
      <c r="O712" s="245" t="s">
        <v>55</v>
      </c>
      <c r="P712" s="326">
        <v>46060</v>
      </c>
      <c r="Q712" s="419">
        <f t="shared" ca="1" si="103"/>
        <v>65</v>
      </c>
    </row>
    <row r="713" spans="1:17" s="245" customFormat="1" hidden="1">
      <c r="A713" s="289">
        <v>711</v>
      </c>
      <c r="B713" s="284">
        <v>45967</v>
      </c>
      <c r="C713" s="245" t="str">
        <f t="shared" si="100"/>
        <v>MP0711</v>
      </c>
      <c r="D713" s="245" t="s">
        <v>1587</v>
      </c>
      <c r="E713" s="289">
        <v>1500</v>
      </c>
      <c r="F713" s="289">
        <v>270</v>
      </c>
      <c r="G713" s="289">
        <v>16.5</v>
      </c>
      <c r="H713" s="246">
        <f t="shared" si="106"/>
        <v>24750</v>
      </c>
      <c r="I713" s="245" t="s">
        <v>1588</v>
      </c>
      <c r="J713" s="245" t="s">
        <v>930</v>
      </c>
      <c r="K713" s="245" t="s">
        <v>1589</v>
      </c>
      <c r="L713" s="289"/>
      <c r="O713" s="245" t="s">
        <v>55</v>
      </c>
      <c r="P713" s="326">
        <v>46368</v>
      </c>
      <c r="Q713" s="419">
        <f t="shared" ca="1" si="103"/>
        <v>-243</v>
      </c>
    </row>
    <row r="714" spans="1:17" s="245" customFormat="1" hidden="1">
      <c r="A714" s="289">
        <f t="shared" si="105"/>
        <v>712</v>
      </c>
      <c r="B714" s="284">
        <v>45967</v>
      </c>
      <c r="C714" s="245" t="str">
        <f t="shared" si="100"/>
        <v>MP0712</v>
      </c>
      <c r="D714" s="245" t="s">
        <v>1590</v>
      </c>
      <c r="E714" s="289">
        <v>1500</v>
      </c>
      <c r="F714" s="289">
        <v>270</v>
      </c>
      <c r="G714" s="289">
        <v>16.5</v>
      </c>
      <c r="H714" s="246">
        <f t="shared" si="106"/>
        <v>24750</v>
      </c>
      <c r="I714" s="245" t="s">
        <v>1588</v>
      </c>
      <c r="J714" s="245" t="s">
        <v>930</v>
      </c>
      <c r="K714" s="245" t="s">
        <v>1589</v>
      </c>
      <c r="L714" s="289"/>
      <c r="O714" s="245" t="s">
        <v>55</v>
      </c>
      <c r="P714" s="326">
        <v>46368</v>
      </c>
      <c r="Q714" s="419">
        <f t="shared" ca="1" si="103"/>
        <v>-243</v>
      </c>
    </row>
    <row r="715" spans="1:17" s="245" customFormat="1" hidden="1">
      <c r="A715" s="289">
        <f t="shared" si="105"/>
        <v>713</v>
      </c>
      <c r="B715" s="284">
        <v>45967</v>
      </c>
      <c r="C715" s="245" t="str">
        <f t="shared" si="100"/>
        <v>MP0713</v>
      </c>
      <c r="D715" s="429" t="s">
        <v>1591</v>
      </c>
      <c r="E715" s="289">
        <v>200</v>
      </c>
      <c r="F715" s="289" t="s">
        <v>213</v>
      </c>
      <c r="G715" s="289">
        <v>55</v>
      </c>
      <c r="H715" s="246">
        <f t="shared" si="106"/>
        <v>11000</v>
      </c>
      <c r="I715" s="245" t="s">
        <v>1592</v>
      </c>
      <c r="J715" s="245" t="s">
        <v>609</v>
      </c>
      <c r="K715" s="245" t="s">
        <v>27</v>
      </c>
      <c r="L715" s="289"/>
      <c r="M715" s="245" t="s">
        <v>1593</v>
      </c>
      <c r="N715" s="245" t="s">
        <v>620</v>
      </c>
      <c r="O715" s="245" t="s">
        <v>55</v>
      </c>
      <c r="P715" s="326">
        <v>46022</v>
      </c>
      <c r="Q715" s="419">
        <f t="shared" ca="1" si="103"/>
        <v>103</v>
      </c>
    </row>
    <row r="716" spans="1:17" s="245" customFormat="1" hidden="1">
      <c r="A716" s="289">
        <f t="shared" si="105"/>
        <v>714</v>
      </c>
      <c r="B716" s="284">
        <v>45967</v>
      </c>
      <c r="C716" s="245" t="str">
        <f t="shared" si="100"/>
        <v>MP0714</v>
      </c>
      <c r="D716" s="246" t="s">
        <v>514</v>
      </c>
      <c r="E716" s="247">
        <v>10000</v>
      </c>
      <c r="F716" s="247">
        <v>66.64</v>
      </c>
      <c r="G716" s="278">
        <v>13</v>
      </c>
      <c r="H716" s="246">
        <f t="shared" si="106"/>
        <v>130000</v>
      </c>
      <c r="I716" s="246" t="s">
        <v>515</v>
      </c>
      <c r="J716" s="246" t="s">
        <v>308</v>
      </c>
      <c r="K716" s="246" t="s">
        <v>7</v>
      </c>
      <c r="L716" s="248"/>
      <c r="M716" s="249"/>
      <c r="N716" s="246" t="s">
        <v>133</v>
      </c>
      <c r="O716" s="246" t="s">
        <v>55</v>
      </c>
      <c r="P716" s="328">
        <v>46002</v>
      </c>
      <c r="Q716" s="422">
        <f t="shared" ca="1" si="103"/>
        <v>123</v>
      </c>
    </row>
    <row r="717" spans="1:17" s="245" customFormat="1" hidden="1">
      <c r="A717" s="289">
        <f t="shared" si="105"/>
        <v>715</v>
      </c>
      <c r="B717" s="284">
        <v>45968</v>
      </c>
      <c r="C717" s="245" t="str">
        <f t="shared" si="100"/>
        <v>MP0715</v>
      </c>
      <c r="D717" s="245" t="s">
        <v>963</v>
      </c>
      <c r="E717" s="289">
        <v>1500</v>
      </c>
      <c r="F717" s="289">
        <v>51</v>
      </c>
      <c r="G717" s="278">
        <v>57</v>
      </c>
      <c r="H717" s="246">
        <f t="shared" si="106"/>
        <v>85500</v>
      </c>
      <c r="I717" s="246" t="s">
        <v>964</v>
      </c>
      <c r="J717" s="246" t="s">
        <v>782</v>
      </c>
      <c r="K717" s="246" t="s">
        <v>10</v>
      </c>
      <c r="L717" s="248"/>
      <c r="M717" s="249"/>
      <c r="N717" s="246" t="s">
        <v>620</v>
      </c>
      <c r="O717" s="246" t="s">
        <v>55</v>
      </c>
      <c r="P717" s="328">
        <v>46002</v>
      </c>
      <c r="Q717" s="422">
        <f t="shared" ca="1" si="103"/>
        <v>123</v>
      </c>
    </row>
    <row r="718" spans="1:17" s="245" customFormat="1" hidden="1">
      <c r="A718" s="289">
        <f t="shared" si="105"/>
        <v>716</v>
      </c>
      <c r="B718" s="284">
        <v>45968</v>
      </c>
      <c r="C718" s="245" t="str">
        <f t="shared" si="100"/>
        <v>MP0716</v>
      </c>
      <c r="D718" s="245" t="s">
        <v>1290</v>
      </c>
      <c r="E718" s="367">
        <v>1000</v>
      </c>
      <c r="F718" s="289">
        <v>80</v>
      </c>
      <c r="G718" s="289">
        <v>29</v>
      </c>
      <c r="H718" s="246">
        <f t="shared" si="106"/>
        <v>29000</v>
      </c>
      <c r="I718" s="245" t="s">
        <v>1247</v>
      </c>
      <c r="J718" s="245" t="s">
        <v>1248</v>
      </c>
      <c r="K718" s="245" t="s">
        <v>1289</v>
      </c>
      <c r="L718" s="289"/>
      <c r="N718" s="246" t="s">
        <v>620</v>
      </c>
      <c r="O718" s="246" t="s">
        <v>55</v>
      </c>
      <c r="P718" s="328">
        <v>46010</v>
      </c>
      <c r="Q718" s="422">
        <f t="shared" ca="1" si="103"/>
        <v>115</v>
      </c>
    </row>
    <row r="719" spans="1:17" s="245" customFormat="1" hidden="1">
      <c r="A719" s="289">
        <f t="shared" si="105"/>
        <v>717</v>
      </c>
      <c r="B719" s="284">
        <v>45968</v>
      </c>
      <c r="C719" s="245" t="str">
        <f t="shared" si="100"/>
        <v>MP0717</v>
      </c>
      <c r="D719" s="245" t="s">
        <v>1594</v>
      </c>
      <c r="E719" s="247">
        <v>300</v>
      </c>
      <c r="F719" s="247" t="s">
        <v>1595</v>
      </c>
      <c r="G719" s="247">
        <v>160</v>
      </c>
      <c r="H719" s="246">
        <f t="shared" si="106"/>
        <v>48000</v>
      </c>
      <c r="I719" s="246" t="s">
        <v>125</v>
      </c>
      <c r="J719" s="246" t="s">
        <v>113</v>
      </c>
      <c r="K719" s="246" t="s">
        <v>9</v>
      </c>
      <c r="L719" s="248">
        <v>200</v>
      </c>
      <c r="M719" s="249" t="s">
        <v>1596</v>
      </c>
      <c r="N719" s="246" t="s">
        <v>620</v>
      </c>
      <c r="O719" s="246" t="s">
        <v>55</v>
      </c>
      <c r="P719" s="328">
        <v>46029</v>
      </c>
      <c r="Q719" s="422">
        <f t="shared" ca="1" si="103"/>
        <v>96</v>
      </c>
    </row>
    <row r="720" spans="1:17" s="250" customFormat="1" hidden="1">
      <c r="A720" s="270">
        <f t="shared" si="105"/>
        <v>718</v>
      </c>
      <c r="B720" s="296">
        <v>45968</v>
      </c>
      <c r="C720" s="250" t="str">
        <f t="shared" si="100"/>
        <v>MP0718</v>
      </c>
      <c r="D720" s="250" t="s">
        <v>1560</v>
      </c>
      <c r="E720" s="270">
        <v>3000</v>
      </c>
      <c r="F720" s="270" t="s">
        <v>231</v>
      </c>
      <c r="G720" s="270">
        <v>10.5</v>
      </c>
      <c r="H720" s="416">
        <v>0</v>
      </c>
      <c r="I720" s="250" t="s">
        <v>1597</v>
      </c>
      <c r="J720" s="250" t="s">
        <v>930</v>
      </c>
      <c r="K720" s="250" t="s">
        <v>24</v>
      </c>
      <c r="L720" s="270"/>
      <c r="M720" s="250" t="s">
        <v>1598</v>
      </c>
      <c r="O720" s="250" t="s">
        <v>370</v>
      </c>
      <c r="P720" s="308">
        <v>45969</v>
      </c>
      <c r="Q720" s="420">
        <f t="shared" ca="1" si="103"/>
        <v>156</v>
      </c>
    </row>
    <row r="721" spans="1:17" s="245" customFormat="1" hidden="1">
      <c r="A721" s="289">
        <f t="shared" si="105"/>
        <v>719</v>
      </c>
      <c r="B721" s="284">
        <v>45968</v>
      </c>
      <c r="C721" s="245" t="str">
        <f t="shared" si="100"/>
        <v>MP0719</v>
      </c>
      <c r="D721" s="245" t="s">
        <v>1030</v>
      </c>
      <c r="E721" s="289">
        <v>300</v>
      </c>
      <c r="F721" s="289">
        <v>234.3</v>
      </c>
      <c r="G721" s="289">
        <v>215</v>
      </c>
      <c r="H721" s="315">
        <f t="shared" si="106"/>
        <v>64500</v>
      </c>
      <c r="I721" s="245" t="s">
        <v>125</v>
      </c>
      <c r="J721" s="245" t="s">
        <v>113</v>
      </c>
      <c r="K721" s="245" t="s">
        <v>1031</v>
      </c>
      <c r="L721" s="289"/>
      <c r="O721" s="245" t="s">
        <v>55</v>
      </c>
      <c r="P721" s="326">
        <v>46049</v>
      </c>
      <c r="Q721" s="419">
        <f t="shared" ca="1" si="103"/>
        <v>76</v>
      </c>
    </row>
    <row r="722" spans="1:17" s="245" customFormat="1" hidden="1">
      <c r="A722" s="289">
        <f t="shared" si="105"/>
        <v>720</v>
      </c>
      <c r="B722" s="284">
        <v>45972</v>
      </c>
      <c r="C722" s="245" t="str">
        <f t="shared" si="100"/>
        <v>MP0720</v>
      </c>
      <c r="D722" s="245" t="s">
        <v>1599</v>
      </c>
      <c r="E722" s="289">
        <v>2000</v>
      </c>
      <c r="F722" s="289">
        <v>120</v>
      </c>
      <c r="G722" s="289">
        <v>16.5</v>
      </c>
      <c r="H722" s="407">
        <f t="shared" si="106"/>
        <v>33000</v>
      </c>
      <c r="I722" s="245" t="s">
        <v>1600</v>
      </c>
      <c r="J722" s="245" t="s">
        <v>930</v>
      </c>
      <c r="K722" s="245" t="s">
        <v>15</v>
      </c>
      <c r="L722" s="289"/>
      <c r="N722" s="245" t="s">
        <v>620</v>
      </c>
      <c r="O722" s="245" t="s">
        <v>55</v>
      </c>
      <c r="P722" s="326">
        <v>46049</v>
      </c>
      <c r="Q722" s="419">
        <f t="shared" ca="1" si="103"/>
        <v>76</v>
      </c>
    </row>
    <row r="723" spans="1:17" s="245" customFormat="1" hidden="1">
      <c r="A723" s="289">
        <f t="shared" si="105"/>
        <v>721</v>
      </c>
      <c r="B723" s="284">
        <v>45972</v>
      </c>
      <c r="C723" s="245" t="str">
        <f t="shared" si="100"/>
        <v>MP0721</v>
      </c>
      <c r="D723" s="245" t="s">
        <v>1601</v>
      </c>
      <c r="E723" s="289">
        <v>2000</v>
      </c>
      <c r="F723" s="289">
        <v>135</v>
      </c>
      <c r="G723" s="289">
        <v>16.5</v>
      </c>
      <c r="H723" s="407">
        <f t="shared" si="106"/>
        <v>33000</v>
      </c>
      <c r="I723" s="245" t="s">
        <v>1602</v>
      </c>
      <c r="J723" s="245" t="s">
        <v>930</v>
      </c>
      <c r="K723" s="245" t="s">
        <v>15</v>
      </c>
      <c r="L723" s="289"/>
      <c r="O723" s="245" t="s">
        <v>55</v>
      </c>
      <c r="P723" s="326">
        <v>46049</v>
      </c>
      <c r="Q723" s="419">
        <f t="shared" ca="1" si="103"/>
        <v>76</v>
      </c>
    </row>
    <row r="724" spans="1:17" s="245" customFormat="1" hidden="1">
      <c r="A724" s="289">
        <f t="shared" si="105"/>
        <v>722</v>
      </c>
      <c r="B724" s="284">
        <v>45972</v>
      </c>
      <c r="C724" s="245" t="str">
        <f t="shared" si="100"/>
        <v>MP0722</v>
      </c>
      <c r="D724" s="245" t="s">
        <v>1603</v>
      </c>
      <c r="E724" s="289">
        <v>300</v>
      </c>
      <c r="F724" s="289" t="s">
        <v>1604</v>
      </c>
      <c r="G724" s="289">
        <v>100</v>
      </c>
      <c r="H724" s="407">
        <f t="shared" si="106"/>
        <v>30000</v>
      </c>
      <c r="I724" s="245" t="s">
        <v>66</v>
      </c>
      <c r="J724" s="245" t="s">
        <v>60</v>
      </c>
      <c r="K724" s="245" t="s">
        <v>15</v>
      </c>
      <c r="L724" s="289"/>
      <c r="N724" s="392" t="s">
        <v>620</v>
      </c>
      <c r="O724" s="245" t="s">
        <v>55</v>
      </c>
      <c r="P724" s="326">
        <v>46031</v>
      </c>
      <c r="Q724" s="419">
        <f t="shared" ca="1" si="103"/>
        <v>94</v>
      </c>
    </row>
    <row r="725" spans="1:17" s="245" customFormat="1" ht="15.75" hidden="1">
      <c r="A725" s="289">
        <f t="shared" si="105"/>
        <v>723</v>
      </c>
      <c r="B725" s="284">
        <v>45972</v>
      </c>
      <c r="C725" s="245" t="str">
        <f t="shared" si="100"/>
        <v>MP0723</v>
      </c>
      <c r="D725" s="273" t="s">
        <v>607</v>
      </c>
      <c r="E725" s="247">
        <v>100</v>
      </c>
      <c r="F725" s="247">
        <v>7312.5</v>
      </c>
      <c r="G725" s="247">
        <v>1380</v>
      </c>
      <c r="H725" s="407">
        <f t="shared" si="106"/>
        <v>138000</v>
      </c>
      <c r="I725" s="246" t="s">
        <v>608</v>
      </c>
      <c r="J725" s="246" t="s">
        <v>609</v>
      </c>
      <c r="K725" s="246" t="s">
        <v>1171</v>
      </c>
      <c r="L725" s="248"/>
      <c r="O725" s="245" t="s">
        <v>55</v>
      </c>
      <c r="P725" s="326">
        <v>46017</v>
      </c>
      <c r="Q725" s="419">
        <f t="shared" ca="1" si="103"/>
        <v>108</v>
      </c>
    </row>
    <row r="726" spans="1:17" s="245" customFormat="1" hidden="1">
      <c r="A726" s="289">
        <f t="shared" si="105"/>
        <v>724</v>
      </c>
      <c r="B726" s="284">
        <v>45972</v>
      </c>
      <c r="C726" s="245" t="str">
        <f t="shared" si="100"/>
        <v>MP0724</v>
      </c>
      <c r="D726" s="245" t="s">
        <v>1377</v>
      </c>
      <c r="E726" s="289">
        <v>5000</v>
      </c>
      <c r="F726" s="289">
        <v>115</v>
      </c>
      <c r="G726" s="289">
        <v>9</v>
      </c>
      <c r="H726" s="315">
        <f t="shared" si="106"/>
        <v>45000</v>
      </c>
      <c r="I726" s="245" t="s">
        <v>425</v>
      </c>
      <c r="J726" s="245" t="s">
        <v>144</v>
      </c>
      <c r="K726" s="245" t="s">
        <v>1442</v>
      </c>
      <c r="L726" s="289"/>
      <c r="M726" s="245" t="s">
        <v>1605</v>
      </c>
      <c r="O726" s="245" t="s">
        <v>55</v>
      </c>
      <c r="P726" s="326">
        <v>46031</v>
      </c>
      <c r="Q726" s="419">
        <f t="shared" ca="1" si="103"/>
        <v>94</v>
      </c>
    </row>
    <row r="727" spans="1:17" s="245" customFormat="1" hidden="1">
      <c r="A727" s="289">
        <f t="shared" si="105"/>
        <v>725</v>
      </c>
      <c r="B727" s="284">
        <v>45972</v>
      </c>
      <c r="C727" s="245" t="str">
        <f t="shared" si="100"/>
        <v>MP0725</v>
      </c>
      <c r="D727" s="245" t="s">
        <v>1606</v>
      </c>
      <c r="E727" s="289">
        <v>1200</v>
      </c>
      <c r="F727" s="289">
        <v>140</v>
      </c>
      <c r="G727" s="289">
        <v>14.5</v>
      </c>
      <c r="H727" s="407">
        <f t="shared" si="106"/>
        <v>17400</v>
      </c>
      <c r="I727" s="245" t="s">
        <v>1454</v>
      </c>
      <c r="J727" s="245" t="s">
        <v>930</v>
      </c>
      <c r="K727" s="245" t="s">
        <v>20</v>
      </c>
      <c r="L727" s="289"/>
      <c r="O727" s="245" t="s">
        <v>55</v>
      </c>
      <c r="P727" s="326">
        <v>46004</v>
      </c>
      <c r="Q727" s="419">
        <f t="shared" ca="1" si="103"/>
        <v>121</v>
      </c>
    </row>
    <row r="728" spans="1:17" s="245" customFormat="1" hidden="1">
      <c r="A728" s="289">
        <f t="shared" si="105"/>
        <v>726</v>
      </c>
      <c r="B728" s="284">
        <v>45973</v>
      </c>
      <c r="C728" s="245" t="str">
        <f t="shared" si="100"/>
        <v>MP0726</v>
      </c>
      <c r="D728" s="245" t="s">
        <v>1607</v>
      </c>
      <c r="E728" s="289">
        <v>1000</v>
      </c>
      <c r="F728" s="289">
        <v>105</v>
      </c>
      <c r="G728" s="289">
        <v>30</v>
      </c>
      <c r="H728" s="407">
        <f t="shared" si="106"/>
        <v>30000</v>
      </c>
      <c r="I728" s="245" t="s">
        <v>1608</v>
      </c>
      <c r="J728" s="245" t="s">
        <v>1609</v>
      </c>
      <c r="K728" s="245" t="s">
        <v>1554</v>
      </c>
      <c r="L728" s="289"/>
      <c r="O728" s="245" t="s">
        <v>55</v>
      </c>
      <c r="P728" s="326">
        <v>46049</v>
      </c>
      <c r="Q728" s="419">
        <f t="shared" ca="1" si="103"/>
        <v>76</v>
      </c>
    </row>
    <row r="729" spans="1:17" s="245" customFormat="1" hidden="1">
      <c r="A729" s="289">
        <f t="shared" si="105"/>
        <v>727</v>
      </c>
      <c r="B729" s="284">
        <v>45973</v>
      </c>
      <c r="C729" s="245" t="str">
        <f t="shared" si="100"/>
        <v>MP0727</v>
      </c>
      <c r="D729" s="245" t="s">
        <v>1610</v>
      </c>
      <c r="E729" s="289">
        <v>1000</v>
      </c>
      <c r="F729" s="289">
        <v>205</v>
      </c>
      <c r="G729" s="289">
        <v>35</v>
      </c>
      <c r="H729" s="407">
        <f t="shared" si="106"/>
        <v>35000</v>
      </c>
      <c r="I729" s="245" t="s">
        <v>1608</v>
      </c>
      <c r="J729" s="245" t="s">
        <v>1609</v>
      </c>
      <c r="K729" s="245" t="s">
        <v>1554</v>
      </c>
      <c r="L729" s="289"/>
      <c r="O729" s="245" t="s">
        <v>55</v>
      </c>
      <c r="P729" s="326">
        <v>46049</v>
      </c>
      <c r="Q729" s="419">
        <f t="shared" ca="1" si="103"/>
        <v>76</v>
      </c>
    </row>
    <row r="730" spans="1:17" s="245" customFormat="1" hidden="1">
      <c r="A730" s="289">
        <f t="shared" si="105"/>
        <v>728</v>
      </c>
      <c r="B730" s="284">
        <v>45973</v>
      </c>
      <c r="C730" s="245" t="str">
        <f t="shared" si="100"/>
        <v>MP0728</v>
      </c>
      <c r="D730" s="245" t="s">
        <v>1611</v>
      </c>
      <c r="E730" s="289">
        <v>1000</v>
      </c>
      <c r="F730" s="289">
        <v>183</v>
      </c>
      <c r="G730" s="289">
        <v>32</v>
      </c>
      <c r="H730" s="407">
        <f t="shared" si="106"/>
        <v>32000</v>
      </c>
      <c r="I730" s="245" t="s">
        <v>1608</v>
      </c>
      <c r="J730" s="245" t="s">
        <v>1609</v>
      </c>
      <c r="K730" s="245" t="s">
        <v>1554</v>
      </c>
      <c r="L730" s="289"/>
      <c r="O730" s="245" t="s">
        <v>55</v>
      </c>
      <c r="P730" s="326">
        <v>46049</v>
      </c>
      <c r="Q730" s="419">
        <f t="shared" ca="1" si="103"/>
        <v>76</v>
      </c>
    </row>
    <row r="731" spans="1:17" s="245" customFormat="1" hidden="1">
      <c r="A731" s="289">
        <f t="shared" si="105"/>
        <v>729</v>
      </c>
      <c r="B731" s="284">
        <v>45973</v>
      </c>
      <c r="C731" s="245" t="str">
        <f t="shared" ref="C731:C749" si="107">IF(B731="","",_xlfn.CONCAT("MP0",A731))</f>
        <v>MP0729</v>
      </c>
      <c r="D731" s="245" t="s">
        <v>1612</v>
      </c>
      <c r="E731" s="289">
        <v>1000</v>
      </c>
      <c r="F731" s="289">
        <v>220</v>
      </c>
      <c r="G731" s="289">
        <v>35</v>
      </c>
      <c r="H731" s="407">
        <f t="shared" si="106"/>
        <v>35000</v>
      </c>
      <c r="I731" s="245" t="s">
        <v>1608</v>
      </c>
      <c r="J731" s="245" t="s">
        <v>1609</v>
      </c>
      <c r="K731" s="245" t="s">
        <v>1554</v>
      </c>
      <c r="L731" s="289"/>
      <c r="O731" s="245" t="s">
        <v>55</v>
      </c>
      <c r="P731" s="326">
        <v>46049</v>
      </c>
      <c r="Q731" s="419">
        <f t="shared" ca="1" si="103"/>
        <v>76</v>
      </c>
    </row>
    <row r="732" spans="1:17" s="245" customFormat="1" hidden="1">
      <c r="A732" s="289">
        <f t="shared" si="105"/>
        <v>730</v>
      </c>
      <c r="B732" s="284">
        <v>45973</v>
      </c>
      <c r="C732" s="245" t="str">
        <f t="shared" si="107"/>
        <v>MP0730</v>
      </c>
      <c r="D732" s="245" t="s">
        <v>1357</v>
      </c>
      <c r="E732" s="289">
        <v>5000</v>
      </c>
      <c r="F732" s="289">
        <v>165</v>
      </c>
      <c r="G732" s="289">
        <v>20.5</v>
      </c>
      <c r="H732" s="315">
        <f t="shared" si="106"/>
        <v>102500</v>
      </c>
      <c r="I732" s="245" t="s">
        <v>1358</v>
      </c>
      <c r="J732" s="245" t="s">
        <v>634</v>
      </c>
      <c r="K732" s="245" t="s">
        <v>7</v>
      </c>
      <c r="L732" s="289"/>
      <c r="O732" s="246" t="s">
        <v>55</v>
      </c>
      <c r="P732" s="328">
        <v>46022</v>
      </c>
      <c r="Q732" s="422">
        <f t="shared" ca="1" si="103"/>
        <v>103</v>
      </c>
    </row>
    <row r="733" spans="1:17" s="245" customFormat="1" hidden="1">
      <c r="A733" s="289">
        <f t="shared" si="105"/>
        <v>731</v>
      </c>
      <c r="B733" s="284">
        <v>45973</v>
      </c>
      <c r="C733" s="245" t="str">
        <f t="shared" si="107"/>
        <v>MP0731</v>
      </c>
      <c r="D733" s="246" t="s">
        <v>927</v>
      </c>
      <c r="E733" s="247">
        <v>300</v>
      </c>
      <c r="F733" s="247">
        <v>1250</v>
      </c>
      <c r="G733" s="278">
        <v>70</v>
      </c>
      <c r="H733" s="246">
        <f t="shared" si="106"/>
        <v>21000</v>
      </c>
      <c r="I733" s="246" t="s">
        <v>66</v>
      </c>
      <c r="J733" s="246" t="s">
        <v>609</v>
      </c>
      <c r="K733" s="246" t="s">
        <v>2</v>
      </c>
      <c r="L733" s="248"/>
      <c r="N733" s="245" t="s">
        <v>620</v>
      </c>
      <c r="O733" s="246" t="s">
        <v>55</v>
      </c>
      <c r="P733" s="328">
        <v>45993</v>
      </c>
      <c r="Q733" s="422">
        <f t="shared" ca="1" si="103"/>
        <v>132</v>
      </c>
    </row>
    <row r="734" spans="1:17" s="245" customFormat="1" hidden="1">
      <c r="A734" s="289">
        <f t="shared" si="105"/>
        <v>732</v>
      </c>
      <c r="B734" s="284">
        <v>45973</v>
      </c>
      <c r="C734" s="245" t="str">
        <f t="shared" si="107"/>
        <v>MP0732</v>
      </c>
      <c r="D734" s="245" t="s">
        <v>1445</v>
      </c>
      <c r="E734" s="289">
        <v>500</v>
      </c>
      <c r="F734" s="289">
        <v>90</v>
      </c>
      <c r="G734" s="289">
        <v>70</v>
      </c>
      <c r="H734" s="407">
        <f t="shared" si="106"/>
        <v>35000</v>
      </c>
      <c r="I734" s="245" t="s">
        <v>1446</v>
      </c>
      <c r="J734" s="245" t="s">
        <v>1092</v>
      </c>
      <c r="K734" s="245" t="s">
        <v>1026</v>
      </c>
      <c r="L734" s="289"/>
      <c r="O734" s="245" t="s">
        <v>55</v>
      </c>
      <c r="P734" s="326">
        <v>46066</v>
      </c>
      <c r="Q734" s="419">
        <f t="shared" ca="1" si="103"/>
        <v>59</v>
      </c>
    </row>
    <row r="735" spans="1:17" s="245" customFormat="1" hidden="1">
      <c r="A735" s="289">
        <f t="shared" si="105"/>
        <v>733</v>
      </c>
      <c r="B735" s="284">
        <v>45973</v>
      </c>
      <c r="C735" s="245" t="str">
        <f t="shared" si="107"/>
        <v>MP0733</v>
      </c>
      <c r="D735" s="245" t="s">
        <v>1613</v>
      </c>
      <c r="E735" s="289">
        <v>300</v>
      </c>
      <c r="F735" s="289">
        <v>300</v>
      </c>
      <c r="G735" s="289">
        <v>415</v>
      </c>
      <c r="H735" s="407">
        <f t="shared" si="106"/>
        <v>124500</v>
      </c>
      <c r="I735" s="245" t="s">
        <v>66</v>
      </c>
      <c r="J735" s="245" t="s">
        <v>1092</v>
      </c>
      <c r="K735" s="245" t="s">
        <v>4</v>
      </c>
      <c r="L735" s="289"/>
      <c r="M735" s="245" t="s">
        <v>1069</v>
      </c>
      <c r="N735" s="392" t="s">
        <v>620</v>
      </c>
      <c r="O735" s="245" t="s">
        <v>55</v>
      </c>
      <c r="P735" s="326">
        <v>46049</v>
      </c>
      <c r="Q735" s="419">
        <f t="shared" ca="1" si="103"/>
        <v>76</v>
      </c>
    </row>
    <row r="736" spans="1:17" s="245" customFormat="1" hidden="1">
      <c r="A736" s="289">
        <f t="shared" si="105"/>
        <v>734</v>
      </c>
      <c r="B736" s="284">
        <v>45973</v>
      </c>
      <c r="C736" s="245" t="str">
        <f t="shared" si="107"/>
        <v>MP0734</v>
      </c>
      <c r="D736" s="245" t="s">
        <v>1208</v>
      </c>
      <c r="E736" s="289">
        <v>300</v>
      </c>
      <c r="F736" s="289" t="s">
        <v>1614</v>
      </c>
      <c r="G736" s="289">
        <v>410</v>
      </c>
      <c r="H736" s="246">
        <f t="shared" si="106"/>
        <v>123000</v>
      </c>
      <c r="I736" s="246" t="s">
        <v>152</v>
      </c>
      <c r="J736" s="246" t="s">
        <v>60</v>
      </c>
      <c r="K736" s="245" t="s">
        <v>16</v>
      </c>
      <c r="L736" s="289"/>
      <c r="N736" s="245" t="s">
        <v>620</v>
      </c>
      <c r="O736" s="245" t="s">
        <v>55</v>
      </c>
      <c r="P736" s="326">
        <v>46002</v>
      </c>
      <c r="Q736" s="419">
        <f t="shared" ca="1" si="103"/>
        <v>123</v>
      </c>
    </row>
    <row r="737" spans="1:17" s="245" customFormat="1" hidden="1">
      <c r="A737" s="289">
        <f t="shared" si="105"/>
        <v>735</v>
      </c>
      <c r="B737" s="284">
        <v>45973</v>
      </c>
      <c r="C737" s="245" t="str">
        <f t="shared" si="107"/>
        <v>MP0735</v>
      </c>
      <c r="D737" s="245" t="s">
        <v>1615</v>
      </c>
      <c r="E737" s="289">
        <v>200</v>
      </c>
      <c r="F737" s="289" t="s">
        <v>213</v>
      </c>
      <c r="G737" s="289">
        <v>215</v>
      </c>
      <c r="H737" s="407">
        <f t="shared" ref="H737" si="108">IF(G737="","",E737*G737)</f>
        <v>43000</v>
      </c>
      <c r="I737" s="245" t="s">
        <v>1616</v>
      </c>
      <c r="K737" s="245" t="s">
        <v>4</v>
      </c>
      <c r="L737" s="289"/>
      <c r="M737" s="245" t="s">
        <v>1069</v>
      </c>
      <c r="N737" s="392" t="s">
        <v>620</v>
      </c>
      <c r="O737" s="245" t="s">
        <v>55</v>
      </c>
      <c r="P737" s="326">
        <v>46059</v>
      </c>
      <c r="Q737" s="419">
        <f t="shared" ca="1" si="103"/>
        <v>66</v>
      </c>
    </row>
    <row r="738" spans="1:17" s="245" customFormat="1" hidden="1">
      <c r="A738" s="289">
        <f t="shared" si="105"/>
        <v>736</v>
      </c>
      <c r="B738" s="284">
        <v>45973</v>
      </c>
      <c r="C738" s="245" t="str">
        <f t="shared" si="107"/>
        <v>MP0736</v>
      </c>
      <c r="D738" s="246" t="s">
        <v>180</v>
      </c>
      <c r="E738" s="247">
        <v>500</v>
      </c>
      <c r="F738" s="247">
        <v>137.80000000000001</v>
      </c>
      <c r="G738" s="247">
        <v>142</v>
      </c>
      <c r="H738" s="246">
        <f t="shared" si="106"/>
        <v>71000</v>
      </c>
      <c r="I738" s="246" t="s">
        <v>66</v>
      </c>
      <c r="J738" s="246" t="s">
        <v>60</v>
      </c>
      <c r="K738" s="246" t="s">
        <v>15</v>
      </c>
      <c r="L738" s="248"/>
      <c r="M738" s="249"/>
      <c r="N738" s="246" t="s">
        <v>165</v>
      </c>
      <c r="O738" s="246" t="s">
        <v>55</v>
      </c>
      <c r="P738" s="326">
        <v>46049</v>
      </c>
      <c r="Q738" s="419">
        <f t="shared" ca="1" si="103"/>
        <v>76</v>
      </c>
    </row>
    <row r="739" spans="1:17" s="250" customFormat="1" hidden="1">
      <c r="A739" s="270">
        <f t="shared" si="105"/>
        <v>737</v>
      </c>
      <c r="B739" s="296">
        <v>45973</v>
      </c>
      <c r="C739" s="250" t="str">
        <f t="shared" si="107"/>
        <v>MP0737</v>
      </c>
      <c r="D739" s="415" t="s">
        <v>1617</v>
      </c>
      <c r="E739" s="270"/>
      <c r="F739" s="270"/>
      <c r="G739" s="270"/>
      <c r="H739" s="416" t="str">
        <f t="shared" si="106"/>
        <v/>
      </c>
      <c r="L739" s="270"/>
      <c r="O739" s="250" t="s">
        <v>370</v>
      </c>
      <c r="P739" s="308">
        <v>46003</v>
      </c>
      <c r="Q739" s="420">
        <f t="shared" ca="1" si="103"/>
        <v>122</v>
      </c>
    </row>
    <row r="740" spans="1:17" s="245" customFormat="1" hidden="1">
      <c r="A740" s="289">
        <f t="shared" si="105"/>
        <v>738</v>
      </c>
      <c r="B740" s="284">
        <v>45973</v>
      </c>
      <c r="C740" s="245" t="str">
        <f t="shared" si="107"/>
        <v>MP0738</v>
      </c>
      <c r="D740" s="245" t="s">
        <v>1618</v>
      </c>
      <c r="E740" s="289">
        <v>4500</v>
      </c>
      <c r="F740" s="289">
        <v>150</v>
      </c>
      <c r="G740" s="289">
        <v>13.5</v>
      </c>
      <c r="H740" s="407">
        <f t="shared" si="106"/>
        <v>60750</v>
      </c>
      <c r="I740" s="245" t="s">
        <v>1619</v>
      </c>
      <c r="J740" s="245" t="s">
        <v>930</v>
      </c>
      <c r="K740" s="245" t="s">
        <v>20</v>
      </c>
      <c r="L740" s="289"/>
      <c r="O740" s="245" t="s">
        <v>55</v>
      </c>
      <c r="P740" s="326">
        <v>46043</v>
      </c>
      <c r="Q740" s="419">
        <f t="shared" ref="Q740:Q803" ca="1" si="109">TODAY()-P740</f>
        <v>82</v>
      </c>
    </row>
    <row r="741" spans="1:17" s="261" customFormat="1" hidden="1">
      <c r="A741" s="290">
        <f t="shared" si="105"/>
        <v>739</v>
      </c>
      <c r="B741" s="403">
        <v>45973</v>
      </c>
      <c r="C741" s="261" t="str">
        <f t="shared" si="107"/>
        <v>MP0739</v>
      </c>
      <c r="D741" s="261" t="s">
        <v>1620</v>
      </c>
      <c r="E741" s="290">
        <v>300</v>
      </c>
      <c r="F741" s="290" t="s">
        <v>1621</v>
      </c>
      <c r="G741" s="290">
        <v>220</v>
      </c>
      <c r="H741" s="404">
        <v>0</v>
      </c>
      <c r="I741" s="261" t="s">
        <v>1622</v>
      </c>
      <c r="J741" s="261" t="s">
        <v>1092</v>
      </c>
      <c r="K741" s="261" t="s">
        <v>1623</v>
      </c>
      <c r="L741" s="290"/>
      <c r="M741" s="261" t="s">
        <v>1624</v>
      </c>
      <c r="O741" s="261" t="s">
        <v>370</v>
      </c>
      <c r="P741" s="405">
        <v>45988</v>
      </c>
      <c r="Q741" s="426">
        <f t="shared" ca="1" si="109"/>
        <v>137</v>
      </c>
    </row>
    <row r="742" spans="1:17" s="245" customFormat="1" hidden="1">
      <c r="A742" s="289">
        <f t="shared" si="105"/>
        <v>740</v>
      </c>
      <c r="B742" s="284">
        <v>45980</v>
      </c>
      <c r="C742" s="245" t="str">
        <f t="shared" si="107"/>
        <v>MP0740</v>
      </c>
      <c r="D742" s="245" t="s">
        <v>1625</v>
      </c>
      <c r="E742" s="289">
        <v>2500</v>
      </c>
      <c r="F742" s="289">
        <v>190</v>
      </c>
      <c r="G742" s="289">
        <v>29</v>
      </c>
      <c r="H742" s="407">
        <f t="shared" si="106"/>
        <v>72500</v>
      </c>
      <c r="I742" s="245" t="s">
        <v>1626</v>
      </c>
      <c r="J742" s="245" t="s">
        <v>1627</v>
      </c>
      <c r="K742" s="245" t="s">
        <v>1289</v>
      </c>
      <c r="L742" s="289"/>
      <c r="O742" s="245" t="s">
        <v>55</v>
      </c>
      <c r="P742" s="326">
        <v>46038</v>
      </c>
      <c r="Q742" s="419">
        <f t="shared" ca="1" si="109"/>
        <v>87</v>
      </c>
    </row>
    <row r="743" spans="1:17" s="245" customFormat="1" hidden="1">
      <c r="A743" s="289">
        <f t="shared" si="105"/>
        <v>741</v>
      </c>
      <c r="B743" s="284">
        <v>45973</v>
      </c>
      <c r="C743" s="245" t="str">
        <f t="shared" si="107"/>
        <v>MP0741</v>
      </c>
      <c r="D743" s="245" t="s">
        <v>1628</v>
      </c>
      <c r="E743" s="289">
        <v>1000</v>
      </c>
      <c r="F743" s="289">
        <v>375</v>
      </c>
      <c r="G743" s="289">
        <v>45</v>
      </c>
      <c r="H743" s="407">
        <f t="shared" si="106"/>
        <v>45000</v>
      </c>
      <c r="I743" s="245" t="s">
        <v>1629</v>
      </c>
      <c r="J743" s="245" t="s">
        <v>1630</v>
      </c>
      <c r="K743" s="245" t="s">
        <v>1156</v>
      </c>
      <c r="L743" s="289"/>
      <c r="O743" s="245" t="s">
        <v>55</v>
      </c>
      <c r="P743" s="326">
        <v>45995</v>
      </c>
      <c r="Q743" s="419">
        <f t="shared" ca="1" si="109"/>
        <v>130</v>
      </c>
    </row>
    <row r="744" spans="1:17" s="245" customFormat="1" ht="15.75" hidden="1">
      <c r="A744" s="289">
        <f t="shared" si="105"/>
        <v>742</v>
      </c>
      <c r="B744" s="284">
        <v>45980</v>
      </c>
      <c r="C744" s="245" t="str">
        <f t="shared" si="107"/>
        <v>MP0742</v>
      </c>
      <c r="D744" s="245" t="s">
        <v>1229</v>
      </c>
      <c r="E744" s="289">
        <v>4000</v>
      </c>
      <c r="F744" s="289">
        <v>180</v>
      </c>
      <c r="G744" s="289">
        <v>24.75</v>
      </c>
      <c r="H744" s="246">
        <f t="shared" si="106"/>
        <v>99000</v>
      </c>
      <c r="I744" s="380" t="s">
        <v>1230</v>
      </c>
      <c r="J744" s="245" t="s">
        <v>930</v>
      </c>
      <c r="K744" s="245" t="s">
        <v>678</v>
      </c>
      <c r="L744" s="289"/>
      <c r="M744" s="245" t="s">
        <v>1069</v>
      </c>
      <c r="N744" s="245" t="s">
        <v>1631</v>
      </c>
      <c r="O744" s="245" t="s">
        <v>55</v>
      </c>
      <c r="P744" s="326">
        <v>46101</v>
      </c>
      <c r="Q744" s="419">
        <f t="shared" ca="1" si="109"/>
        <v>24</v>
      </c>
    </row>
    <row r="745" spans="1:17" s="245" customFormat="1" hidden="1">
      <c r="A745" s="289">
        <f t="shared" si="105"/>
        <v>743</v>
      </c>
      <c r="B745" s="284">
        <v>45979</v>
      </c>
      <c r="C745" s="245" t="str">
        <f t="shared" si="107"/>
        <v>MP0743</v>
      </c>
      <c r="D745" s="245" t="s">
        <v>1632</v>
      </c>
      <c r="E745" s="289">
        <v>500</v>
      </c>
      <c r="F745" s="289">
        <v>231</v>
      </c>
      <c r="G745" s="289">
        <v>75</v>
      </c>
      <c r="H745" s="407">
        <f t="shared" si="106"/>
        <v>37500</v>
      </c>
      <c r="I745" s="245" t="s">
        <v>1633</v>
      </c>
      <c r="J745" s="245" t="s">
        <v>1092</v>
      </c>
      <c r="K745" s="245" t="s">
        <v>978</v>
      </c>
      <c r="L745" s="289"/>
      <c r="O745" s="245" t="s">
        <v>55</v>
      </c>
      <c r="P745" s="326">
        <v>46065</v>
      </c>
      <c r="Q745" s="419">
        <f t="shared" ca="1" si="109"/>
        <v>60</v>
      </c>
    </row>
    <row r="746" spans="1:17" s="245" customFormat="1" hidden="1">
      <c r="A746" s="289">
        <f t="shared" si="105"/>
        <v>744</v>
      </c>
      <c r="B746" s="284">
        <v>45979</v>
      </c>
      <c r="C746" s="245" t="str">
        <f t="shared" si="107"/>
        <v>MP0744</v>
      </c>
      <c r="D746" s="245" t="s">
        <v>1634</v>
      </c>
      <c r="E746" s="289">
        <v>500</v>
      </c>
      <c r="F746" s="289" t="s">
        <v>1409</v>
      </c>
      <c r="G746" s="289">
        <v>68</v>
      </c>
      <c r="H746" s="407">
        <f t="shared" si="106"/>
        <v>34000</v>
      </c>
      <c r="I746" s="245" t="s">
        <v>1633</v>
      </c>
      <c r="J746" s="245" t="s">
        <v>1092</v>
      </c>
      <c r="K746" s="245" t="s">
        <v>978</v>
      </c>
      <c r="L746" s="289"/>
      <c r="O746" s="245" t="s">
        <v>55</v>
      </c>
      <c r="P746" s="326">
        <v>46065</v>
      </c>
      <c r="Q746" s="419">
        <f t="shared" ca="1" si="109"/>
        <v>60</v>
      </c>
    </row>
    <row r="747" spans="1:17" s="245" customFormat="1" hidden="1">
      <c r="A747" s="289">
        <f t="shared" si="105"/>
        <v>745</v>
      </c>
      <c r="B747" s="284">
        <v>46002</v>
      </c>
      <c r="C747" s="245" t="str">
        <f t="shared" si="107"/>
        <v>MP0745</v>
      </c>
      <c r="D747" s="245" t="s">
        <v>1635</v>
      </c>
      <c r="E747" s="289">
        <v>300</v>
      </c>
      <c r="F747" s="289" t="s">
        <v>1409</v>
      </c>
      <c r="G747" s="289">
        <v>85</v>
      </c>
      <c r="H747" s="407">
        <f t="shared" si="106"/>
        <v>25500</v>
      </c>
      <c r="I747" s="245" t="s">
        <v>1636</v>
      </c>
      <c r="J747" s="245" t="s">
        <v>1092</v>
      </c>
      <c r="K747" s="245" t="s">
        <v>1442</v>
      </c>
      <c r="L747" s="289"/>
      <c r="M747" s="245" t="s">
        <v>1135</v>
      </c>
      <c r="O747" s="245" t="s">
        <v>55</v>
      </c>
      <c r="P747" s="326">
        <v>46057</v>
      </c>
      <c r="Q747" s="419">
        <f t="shared" ca="1" si="109"/>
        <v>68</v>
      </c>
    </row>
    <row r="748" spans="1:17" s="245" customFormat="1" hidden="1">
      <c r="A748" s="289">
        <f t="shared" si="105"/>
        <v>746</v>
      </c>
      <c r="B748" s="284">
        <v>45980</v>
      </c>
      <c r="C748" s="245" t="str">
        <f t="shared" si="107"/>
        <v>MP0746</v>
      </c>
      <c r="D748" s="245" t="s">
        <v>1304</v>
      </c>
      <c r="E748" s="289">
        <v>1000</v>
      </c>
      <c r="F748" s="289">
        <v>419</v>
      </c>
      <c r="G748" s="289">
        <v>46</v>
      </c>
      <c r="H748" s="246">
        <f t="shared" si="106"/>
        <v>46000</v>
      </c>
      <c r="K748" s="245" t="s">
        <v>1156</v>
      </c>
      <c r="L748" s="289"/>
      <c r="M748" s="245" t="s">
        <v>1637</v>
      </c>
      <c r="O748" s="245" t="s">
        <v>55</v>
      </c>
      <c r="P748" s="326">
        <v>46037</v>
      </c>
      <c r="Q748" s="419">
        <f t="shared" ca="1" si="109"/>
        <v>88</v>
      </c>
    </row>
    <row r="749" spans="1:17" s="245" customFormat="1" hidden="1">
      <c r="A749" s="289">
        <f t="shared" si="105"/>
        <v>747</v>
      </c>
      <c r="B749" s="284">
        <v>45980</v>
      </c>
      <c r="C749" s="245" t="str">
        <f t="shared" si="107"/>
        <v>MP0747</v>
      </c>
      <c r="D749" s="245" t="s">
        <v>1638</v>
      </c>
      <c r="E749" s="289">
        <v>150</v>
      </c>
      <c r="F749" s="289" t="s">
        <v>1639</v>
      </c>
      <c r="G749" s="289">
        <v>400</v>
      </c>
      <c r="H749" s="407">
        <f t="shared" si="106"/>
        <v>60000</v>
      </c>
      <c r="I749" s="245" t="s">
        <v>1640</v>
      </c>
      <c r="J749" s="245" t="s">
        <v>1092</v>
      </c>
      <c r="K749" s="245" t="s">
        <v>4</v>
      </c>
      <c r="L749" s="289"/>
      <c r="O749" s="245" t="s">
        <v>55</v>
      </c>
      <c r="P749" s="326">
        <v>46016</v>
      </c>
      <c r="Q749" s="419">
        <f t="shared" ca="1" si="109"/>
        <v>109</v>
      </c>
    </row>
    <row r="750" spans="1:17" s="245" customFormat="1" hidden="1">
      <c r="A750" s="289">
        <f t="shared" ref="A750:A812" si="110">IF(B750="","",ROW()-2)</f>
        <v>748</v>
      </c>
      <c r="B750" s="284">
        <v>45980</v>
      </c>
      <c r="C750" s="245" t="str">
        <f t="shared" ref="C750:C813" si="111">IF(B750="","",_xlfn.CONCAT("MP0",A750))</f>
        <v>MP0748</v>
      </c>
      <c r="D750" s="245" t="s">
        <v>1641</v>
      </c>
      <c r="E750" s="289">
        <v>300</v>
      </c>
      <c r="F750" s="289" t="s">
        <v>1642</v>
      </c>
      <c r="G750" s="289">
        <v>255</v>
      </c>
      <c r="H750" s="407">
        <f t="shared" si="106"/>
        <v>76500</v>
      </c>
      <c r="I750" s="245" t="s">
        <v>1643</v>
      </c>
      <c r="J750" s="245" t="s">
        <v>1644</v>
      </c>
      <c r="K750" s="245" t="s">
        <v>978</v>
      </c>
      <c r="L750" s="289"/>
      <c r="M750" s="245" t="s">
        <v>1281</v>
      </c>
      <c r="O750" s="245" t="s">
        <v>55</v>
      </c>
      <c r="P750" s="326">
        <v>46109</v>
      </c>
      <c r="Q750" s="419">
        <f t="shared" ca="1" si="109"/>
        <v>16</v>
      </c>
    </row>
    <row r="751" spans="1:17" s="245" customFormat="1" hidden="1">
      <c r="A751" s="289">
        <f t="shared" si="110"/>
        <v>749</v>
      </c>
      <c r="B751" s="284">
        <v>45981</v>
      </c>
      <c r="C751" s="245" t="str">
        <f t="shared" si="111"/>
        <v>MP0749</v>
      </c>
      <c r="D751" s="245" t="s">
        <v>1645</v>
      </c>
      <c r="E751" s="289">
        <v>600</v>
      </c>
      <c r="F751" s="289" t="s">
        <v>1646</v>
      </c>
      <c r="G751" s="289">
        <v>411.33</v>
      </c>
      <c r="H751" s="407">
        <f t="shared" si="106"/>
        <v>246798</v>
      </c>
      <c r="I751" s="444" t="s">
        <v>917</v>
      </c>
      <c r="J751" s="245" t="s">
        <v>1092</v>
      </c>
      <c r="K751" s="245" t="s">
        <v>22</v>
      </c>
      <c r="L751" s="289"/>
      <c r="O751" s="246" t="s">
        <v>55</v>
      </c>
      <c r="P751" s="326">
        <v>46013</v>
      </c>
      <c r="Q751" s="419">
        <f t="shared" ca="1" si="109"/>
        <v>112</v>
      </c>
    </row>
    <row r="752" spans="1:17" s="245" customFormat="1" hidden="1">
      <c r="A752" s="289">
        <f t="shared" si="110"/>
        <v>750</v>
      </c>
      <c r="B752" s="284">
        <v>45981</v>
      </c>
      <c r="C752" s="245" t="str">
        <f t="shared" si="111"/>
        <v>MP0750</v>
      </c>
      <c r="D752" s="245" t="s">
        <v>1645</v>
      </c>
      <c r="E752" s="289">
        <v>300</v>
      </c>
      <c r="F752" s="289" t="s">
        <v>1639</v>
      </c>
      <c r="G752" s="289">
        <v>411.33</v>
      </c>
      <c r="H752" s="407">
        <f t="shared" si="106"/>
        <v>123399</v>
      </c>
      <c r="I752" s="444" t="s">
        <v>917</v>
      </c>
      <c r="J752" s="245" t="s">
        <v>1092</v>
      </c>
      <c r="K752" s="245" t="s">
        <v>22</v>
      </c>
      <c r="L752" s="289"/>
      <c r="O752" s="246" t="s">
        <v>55</v>
      </c>
      <c r="P752" s="326">
        <v>46013</v>
      </c>
      <c r="Q752" s="419">
        <f t="shared" ca="1" si="109"/>
        <v>112</v>
      </c>
    </row>
    <row r="753" spans="1:17" s="245" customFormat="1" hidden="1">
      <c r="A753" s="289">
        <f t="shared" si="110"/>
        <v>751</v>
      </c>
      <c r="B753" s="284">
        <v>45981</v>
      </c>
      <c r="C753" s="245" t="str">
        <f t="shared" si="111"/>
        <v>MP0751</v>
      </c>
      <c r="D753" s="245" t="s">
        <v>1647</v>
      </c>
      <c r="E753" s="289">
        <v>1000</v>
      </c>
      <c r="F753" s="289" t="s">
        <v>1648</v>
      </c>
      <c r="G753" s="289">
        <v>78</v>
      </c>
      <c r="H753" s="407">
        <f t="shared" si="106"/>
        <v>78000</v>
      </c>
      <c r="I753" s="245" t="s">
        <v>1649</v>
      </c>
      <c r="J753" s="245" t="s">
        <v>634</v>
      </c>
      <c r="K753" s="245" t="s">
        <v>1289</v>
      </c>
      <c r="L753" s="289"/>
      <c r="N753" s="245" t="s">
        <v>620</v>
      </c>
      <c r="O753" s="245" t="s">
        <v>55</v>
      </c>
      <c r="P753" s="326">
        <v>46060</v>
      </c>
      <c r="Q753" s="419">
        <f t="shared" ca="1" si="109"/>
        <v>65</v>
      </c>
    </row>
    <row r="754" spans="1:17" s="245" customFormat="1" hidden="1">
      <c r="A754" s="289">
        <f t="shared" si="110"/>
        <v>752</v>
      </c>
      <c r="B754" s="284">
        <v>45981</v>
      </c>
      <c r="C754" s="245" t="str">
        <f t="shared" si="111"/>
        <v>MP0752</v>
      </c>
      <c r="D754" s="246" t="s">
        <v>65</v>
      </c>
      <c r="E754" s="247">
        <v>1000</v>
      </c>
      <c r="F754" s="247" t="s">
        <v>1650</v>
      </c>
      <c r="G754" s="247">
        <v>77</v>
      </c>
      <c r="H754" s="246">
        <f t="shared" si="106"/>
        <v>77000</v>
      </c>
      <c r="I754" s="246" t="s">
        <v>66</v>
      </c>
      <c r="J754" s="246" t="s">
        <v>60</v>
      </c>
      <c r="K754" s="246" t="s">
        <v>22</v>
      </c>
      <c r="L754" s="289"/>
      <c r="O754" s="245" t="s">
        <v>55</v>
      </c>
      <c r="P754" s="326">
        <v>46381</v>
      </c>
      <c r="Q754" s="419">
        <f t="shared" ca="1" si="109"/>
        <v>-256</v>
      </c>
    </row>
    <row r="755" spans="1:17" s="245" customFormat="1" hidden="1">
      <c r="A755" s="289">
        <f t="shared" si="110"/>
        <v>753</v>
      </c>
      <c r="B755" s="284">
        <v>45981</v>
      </c>
      <c r="C755" s="245" t="str">
        <f t="shared" si="111"/>
        <v>MP0753</v>
      </c>
      <c r="D755" s="315" t="s">
        <v>1336</v>
      </c>
      <c r="E755" s="337">
        <v>1200</v>
      </c>
      <c r="F755" s="337">
        <v>150</v>
      </c>
      <c r="G755" s="348">
        <v>26</v>
      </c>
      <c r="H755" s="315">
        <f t="shared" si="106"/>
        <v>31200</v>
      </c>
      <c r="I755" s="294" t="s">
        <v>1337</v>
      </c>
      <c r="J755" s="277" t="s">
        <v>628</v>
      </c>
      <c r="K755" s="277" t="s">
        <v>683</v>
      </c>
      <c r="L755" s="289"/>
      <c r="N755" s="245" t="s">
        <v>1244</v>
      </c>
      <c r="O755" s="245" t="s">
        <v>55</v>
      </c>
      <c r="P755" s="326">
        <v>46049</v>
      </c>
      <c r="Q755" s="419">
        <f t="shared" ca="1" si="109"/>
        <v>76</v>
      </c>
    </row>
    <row r="756" spans="1:17" s="245" customFormat="1" hidden="1">
      <c r="A756" s="289">
        <f t="shared" si="110"/>
        <v>754</v>
      </c>
      <c r="B756" s="284">
        <v>45981</v>
      </c>
      <c r="C756" s="245" t="str">
        <f t="shared" si="111"/>
        <v>MP0754</v>
      </c>
      <c r="D756" s="245" t="s">
        <v>1651</v>
      </c>
      <c r="E756" s="289">
        <v>300</v>
      </c>
      <c r="F756" s="289" t="s">
        <v>1652</v>
      </c>
      <c r="G756" s="289">
        <v>85</v>
      </c>
      <c r="H756" s="407">
        <f t="shared" si="106"/>
        <v>25500</v>
      </c>
      <c r="I756" s="245" t="s">
        <v>1155</v>
      </c>
      <c r="J756" s="245" t="s">
        <v>609</v>
      </c>
      <c r="K756" s="245" t="s">
        <v>1442</v>
      </c>
      <c r="L756" s="289"/>
      <c r="O756" s="245" t="s">
        <v>55</v>
      </c>
      <c r="P756" s="326">
        <v>46057</v>
      </c>
      <c r="Q756" s="419">
        <f t="shared" ca="1" si="109"/>
        <v>68</v>
      </c>
    </row>
    <row r="757" spans="1:17" s="245" customFormat="1" hidden="1">
      <c r="A757" s="289">
        <f t="shared" si="110"/>
        <v>755</v>
      </c>
      <c r="B757" s="284">
        <v>45981</v>
      </c>
      <c r="C757" s="245" t="str">
        <f t="shared" si="111"/>
        <v>MP0755</v>
      </c>
      <c r="D757" s="245" t="s">
        <v>1653</v>
      </c>
      <c r="E757" s="289">
        <v>300</v>
      </c>
      <c r="F757" s="289" t="s">
        <v>1654</v>
      </c>
      <c r="G757" s="289">
        <v>90</v>
      </c>
      <c r="H757" s="407">
        <f t="shared" si="106"/>
        <v>27000</v>
      </c>
      <c r="I757" s="245" t="s">
        <v>1155</v>
      </c>
      <c r="J757" s="245" t="s">
        <v>609</v>
      </c>
      <c r="K757" s="245" t="s">
        <v>1442</v>
      </c>
      <c r="L757" s="289"/>
      <c r="O757" s="245" t="s">
        <v>55</v>
      </c>
      <c r="P757" s="326">
        <v>46049</v>
      </c>
      <c r="Q757" s="419">
        <f t="shared" ca="1" si="109"/>
        <v>76</v>
      </c>
    </row>
    <row r="758" spans="1:17" s="250" customFormat="1" hidden="1">
      <c r="A758" s="270">
        <f t="shared" si="110"/>
        <v>756</v>
      </c>
      <c r="B758" s="296">
        <v>45981</v>
      </c>
      <c r="C758" s="250" t="str">
        <f t="shared" si="111"/>
        <v>MP0756</v>
      </c>
      <c r="D758" s="250" t="s">
        <v>1655</v>
      </c>
      <c r="E758" s="270"/>
      <c r="F758" s="270"/>
      <c r="G758" s="270"/>
      <c r="H758" s="416" t="str">
        <f t="shared" si="106"/>
        <v/>
      </c>
      <c r="I758" s="250" t="s">
        <v>1656</v>
      </c>
      <c r="L758" s="270"/>
      <c r="M758" s="250" t="s">
        <v>1657</v>
      </c>
      <c r="O758" s="250" t="s">
        <v>370</v>
      </c>
      <c r="P758" s="308"/>
      <c r="Q758" s="420">
        <f t="shared" ca="1" si="109"/>
        <v>46125</v>
      </c>
    </row>
    <row r="759" spans="1:17" s="250" customFormat="1" hidden="1">
      <c r="A759" s="270">
        <f t="shared" si="110"/>
        <v>757</v>
      </c>
      <c r="B759" s="296">
        <v>45981</v>
      </c>
      <c r="C759" s="250" t="str">
        <f t="shared" si="111"/>
        <v>MP0757</v>
      </c>
      <c r="D759" s="250" t="s">
        <v>1658</v>
      </c>
      <c r="E759" s="270">
        <v>1000</v>
      </c>
      <c r="F759" s="270">
        <v>249</v>
      </c>
      <c r="G759" s="270">
        <v>40</v>
      </c>
      <c r="H759" s="416">
        <v>0</v>
      </c>
      <c r="I759" s="250" t="s">
        <v>1629</v>
      </c>
      <c r="J759" s="250" t="s">
        <v>767</v>
      </c>
      <c r="K759" s="250" t="s">
        <v>1156</v>
      </c>
      <c r="L759" s="270"/>
      <c r="M759" s="250" t="s">
        <v>1281</v>
      </c>
      <c r="O759" s="250" t="s">
        <v>370</v>
      </c>
      <c r="P759" s="308">
        <v>45981</v>
      </c>
      <c r="Q759" s="420">
        <f t="shared" ca="1" si="109"/>
        <v>144</v>
      </c>
    </row>
    <row r="760" spans="1:17" s="245" customFormat="1" hidden="1">
      <c r="A760" s="289">
        <f t="shared" si="110"/>
        <v>758</v>
      </c>
      <c r="B760" s="284">
        <v>45983</v>
      </c>
      <c r="C760" s="245" t="str">
        <f t="shared" si="111"/>
        <v>MP0758</v>
      </c>
      <c r="D760" s="245" t="s">
        <v>1659</v>
      </c>
      <c r="E760" s="289">
        <v>2000</v>
      </c>
      <c r="F760" s="382" t="s">
        <v>1660</v>
      </c>
      <c r="G760" s="289">
        <v>16.5</v>
      </c>
      <c r="H760" s="407">
        <f t="shared" si="106"/>
        <v>33000</v>
      </c>
      <c r="I760" s="370" t="s">
        <v>1661</v>
      </c>
      <c r="J760" s="245" t="s">
        <v>930</v>
      </c>
      <c r="K760" s="245" t="s">
        <v>678</v>
      </c>
      <c r="L760" s="289"/>
      <c r="M760" s="245" t="s">
        <v>1069</v>
      </c>
      <c r="N760" s="245" t="s">
        <v>620</v>
      </c>
      <c r="O760" s="245" t="s">
        <v>55</v>
      </c>
      <c r="P760" s="326">
        <v>46101</v>
      </c>
      <c r="Q760" s="419">
        <f t="shared" ca="1" si="109"/>
        <v>24</v>
      </c>
    </row>
    <row r="761" spans="1:17" s="314" customFormat="1" ht="30" hidden="1">
      <c r="A761" s="289">
        <f t="shared" si="110"/>
        <v>759</v>
      </c>
      <c r="B761" s="284">
        <v>45985</v>
      </c>
      <c r="C761" s="314" t="str">
        <f t="shared" si="111"/>
        <v>MP0759</v>
      </c>
      <c r="D761" s="314" t="s">
        <v>1274</v>
      </c>
      <c r="E761" s="289">
        <v>600</v>
      </c>
      <c r="F761" s="382" t="s">
        <v>1506</v>
      </c>
      <c r="G761" s="289">
        <v>234</v>
      </c>
      <c r="H761" s="246">
        <f t="shared" si="106"/>
        <v>140400</v>
      </c>
      <c r="I761" s="408" t="s">
        <v>1276</v>
      </c>
      <c r="J761" s="314" t="s">
        <v>609</v>
      </c>
      <c r="K761" s="314" t="s">
        <v>1042</v>
      </c>
      <c r="L761" s="289">
        <v>396</v>
      </c>
      <c r="N761" s="314" t="s">
        <v>620</v>
      </c>
      <c r="O761" s="314" t="s">
        <v>55</v>
      </c>
      <c r="P761" s="409">
        <v>46008</v>
      </c>
      <c r="Q761" s="427">
        <f t="shared" ca="1" si="109"/>
        <v>117</v>
      </c>
    </row>
    <row r="762" spans="1:17" s="245" customFormat="1" hidden="1">
      <c r="A762" s="289">
        <f t="shared" si="110"/>
        <v>760</v>
      </c>
      <c r="B762" s="284">
        <v>45985</v>
      </c>
      <c r="C762" s="245" t="str">
        <f t="shared" si="111"/>
        <v>MP0760</v>
      </c>
      <c r="D762" s="245" t="s">
        <v>1343</v>
      </c>
      <c r="E762" s="289">
        <v>500</v>
      </c>
      <c r="F762" s="289">
        <v>1995</v>
      </c>
      <c r="G762" s="289">
        <v>410</v>
      </c>
      <c r="H762" s="315">
        <f t="shared" ref="H762:H765" si="112">IF(G762="","",E762*G762)</f>
        <v>205000</v>
      </c>
      <c r="I762" s="245" t="s">
        <v>1344</v>
      </c>
      <c r="J762" s="245" t="s">
        <v>60</v>
      </c>
      <c r="K762" s="245" t="s">
        <v>16</v>
      </c>
      <c r="L762" s="289"/>
      <c r="M762" s="245" t="s">
        <v>1069</v>
      </c>
      <c r="N762" s="314" t="s">
        <v>620</v>
      </c>
      <c r="O762" s="314" t="s">
        <v>55</v>
      </c>
      <c r="P762" s="409">
        <v>46034</v>
      </c>
      <c r="Q762" s="427">
        <f t="shared" ca="1" si="109"/>
        <v>91</v>
      </c>
    </row>
    <row r="763" spans="1:17" s="245" customFormat="1" hidden="1">
      <c r="A763" s="289">
        <f t="shared" si="110"/>
        <v>761</v>
      </c>
      <c r="B763" s="284">
        <v>45985</v>
      </c>
      <c r="C763" s="245" t="str">
        <f t="shared" si="111"/>
        <v>MP0761</v>
      </c>
      <c r="D763" s="246" t="s">
        <v>740</v>
      </c>
      <c r="E763" s="247">
        <v>2500</v>
      </c>
      <c r="F763" s="247">
        <v>134</v>
      </c>
      <c r="G763" s="278">
        <v>15.5</v>
      </c>
      <c r="H763" s="246">
        <f t="shared" si="112"/>
        <v>38750</v>
      </c>
      <c r="I763" s="246" t="s">
        <v>741</v>
      </c>
      <c r="J763" s="246" t="s">
        <v>742</v>
      </c>
      <c r="K763" s="246" t="s">
        <v>683</v>
      </c>
      <c r="L763" s="289"/>
      <c r="O763" s="314" t="s">
        <v>55</v>
      </c>
      <c r="P763" s="409">
        <v>46066</v>
      </c>
      <c r="Q763" s="427">
        <f t="shared" ca="1" si="109"/>
        <v>59</v>
      </c>
    </row>
    <row r="764" spans="1:17" s="245" customFormat="1" hidden="1">
      <c r="A764" s="289">
        <f t="shared" si="110"/>
        <v>762</v>
      </c>
      <c r="B764" s="284">
        <v>45985</v>
      </c>
      <c r="C764" s="245" t="str">
        <f t="shared" si="111"/>
        <v>MP0762</v>
      </c>
      <c r="D764" s="245" t="s">
        <v>1154</v>
      </c>
      <c r="E764" s="289">
        <v>300</v>
      </c>
      <c r="F764" s="289">
        <v>115</v>
      </c>
      <c r="G764" s="289">
        <v>80</v>
      </c>
      <c r="H764" s="246">
        <f t="shared" si="112"/>
        <v>24000</v>
      </c>
      <c r="I764" s="245" t="s">
        <v>1155</v>
      </c>
      <c r="J764" s="245" t="s">
        <v>1662</v>
      </c>
      <c r="K764" s="245" t="s">
        <v>1156</v>
      </c>
      <c r="L764" s="289"/>
      <c r="O764" s="245" t="s">
        <v>55</v>
      </c>
      <c r="P764" s="409">
        <v>46037</v>
      </c>
      <c r="Q764" s="427">
        <f t="shared" ca="1" si="109"/>
        <v>88</v>
      </c>
    </row>
    <row r="765" spans="1:17" s="245" customFormat="1" ht="15.75" hidden="1">
      <c r="A765" s="289">
        <f t="shared" si="110"/>
        <v>763</v>
      </c>
      <c r="B765" s="284">
        <v>45985</v>
      </c>
      <c r="C765" s="245" t="str">
        <f t="shared" si="111"/>
        <v>MP0763</v>
      </c>
      <c r="D765" s="245" t="s">
        <v>824</v>
      </c>
      <c r="E765" s="247">
        <v>3000</v>
      </c>
      <c r="F765" s="247">
        <v>151</v>
      </c>
      <c r="G765" s="278">
        <v>13.75</v>
      </c>
      <c r="H765" s="246">
        <f t="shared" si="112"/>
        <v>41250</v>
      </c>
      <c r="I765" s="304" t="s">
        <v>1117</v>
      </c>
      <c r="J765" s="246" t="s">
        <v>265</v>
      </c>
      <c r="K765" s="246" t="s">
        <v>20</v>
      </c>
      <c r="L765" s="289"/>
      <c r="O765" s="314" t="s">
        <v>55</v>
      </c>
      <c r="P765" s="409">
        <v>46043</v>
      </c>
      <c r="Q765" s="427">
        <f t="shared" ca="1" si="109"/>
        <v>82</v>
      </c>
    </row>
    <row r="766" spans="1:17" s="245" customFormat="1" hidden="1">
      <c r="A766" s="289">
        <f t="shared" si="110"/>
        <v>764</v>
      </c>
      <c r="B766" s="284">
        <v>45985</v>
      </c>
      <c r="C766" s="245" t="str">
        <f t="shared" si="111"/>
        <v>MP0764</v>
      </c>
      <c r="D766" s="245" t="s">
        <v>1663</v>
      </c>
      <c r="E766" s="289">
        <v>500</v>
      </c>
      <c r="F766" s="289" t="s">
        <v>1664</v>
      </c>
      <c r="G766" s="289">
        <v>125</v>
      </c>
      <c r="H766" s="407">
        <f t="shared" si="106"/>
        <v>62500</v>
      </c>
      <c r="I766" s="245" t="s">
        <v>656</v>
      </c>
      <c r="J766" s="245" t="s">
        <v>609</v>
      </c>
      <c r="K766" s="245" t="s">
        <v>1525</v>
      </c>
      <c r="L766" s="289"/>
      <c r="N766" s="314" t="s">
        <v>620</v>
      </c>
      <c r="O766" s="245" t="s">
        <v>55</v>
      </c>
      <c r="P766" s="326">
        <v>46039</v>
      </c>
      <c r="Q766" s="419">
        <f t="shared" ca="1" si="109"/>
        <v>86</v>
      </c>
    </row>
    <row r="767" spans="1:17" s="250" customFormat="1" hidden="1">
      <c r="A767" s="270">
        <f t="shared" si="110"/>
        <v>765</v>
      </c>
      <c r="B767" s="296">
        <v>45985</v>
      </c>
      <c r="C767" s="250" t="str">
        <f t="shared" si="111"/>
        <v>MP0765</v>
      </c>
      <c r="D767" s="250" t="s">
        <v>1665</v>
      </c>
      <c r="E767" s="270">
        <v>500</v>
      </c>
      <c r="F767" s="270" t="s">
        <v>1666</v>
      </c>
      <c r="G767" s="270">
        <v>72</v>
      </c>
      <c r="H767" s="416">
        <f t="shared" si="106"/>
        <v>36000</v>
      </c>
      <c r="I767" s="250" t="s">
        <v>656</v>
      </c>
      <c r="J767" s="250" t="s">
        <v>609</v>
      </c>
      <c r="K767" s="250" t="s">
        <v>1442</v>
      </c>
      <c r="L767" s="270"/>
      <c r="M767" s="250" t="s">
        <v>1667</v>
      </c>
      <c r="N767" s="352"/>
      <c r="O767" s="250" t="s">
        <v>370</v>
      </c>
      <c r="P767" s="308">
        <v>46030</v>
      </c>
      <c r="Q767" s="420">
        <f t="shared" ca="1" si="109"/>
        <v>95</v>
      </c>
    </row>
    <row r="768" spans="1:17" s="245" customFormat="1" hidden="1">
      <c r="A768" s="289">
        <f t="shared" si="110"/>
        <v>766</v>
      </c>
      <c r="B768" s="284">
        <v>45985</v>
      </c>
      <c r="C768" s="245" t="str">
        <f t="shared" si="111"/>
        <v>MP0766</v>
      </c>
      <c r="D768" s="245" t="s">
        <v>1668</v>
      </c>
      <c r="E768" s="289">
        <v>4000</v>
      </c>
      <c r="F768" s="289" t="s">
        <v>231</v>
      </c>
      <c r="G768" s="289">
        <v>17.25</v>
      </c>
      <c r="H768" s="315">
        <f t="shared" si="106"/>
        <v>69000</v>
      </c>
      <c r="I768" s="245" t="s">
        <v>1175</v>
      </c>
      <c r="J768" s="245" t="s">
        <v>1170</v>
      </c>
      <c r="K768" s="245" t="s">
        <v>16</v>
      </c>
      <c r="L768" s="289"/>
      <c r="O768" s="245" t="s">
        <v>55</v>
      </c>
      <c r="P768" s="326">
        <v>45986</v>
      </c>
      <c r="Q768" s="419">
        <f t="shared" ca="1" si="109"/>
        <v>139</v>
      </c>
    </row>
    <row r="769" spans="1:17" s="245" customFormat="1" hidden="1">
      <c r="A769" s="289">
        <f t="shared" si="110"/>
        <v>767</v>
      </c>
      <c r="B769" s="284">
        <v>45990</v>
      </c>
      <c r="C769" s="245" t="str">
        <f t="shared" si="111"/>
        <v>MP0767</v>
      </c>
      <c r="D769" s="245" t="s">
        <v>1669</v>
      </c>
      <c r="E769" s="289">
        <v>5000</v>
      </c>
      <c r="F769" s="289">
        <v>120</v>
      </c>
      <c r="G769" s="289">
        <v>7.5</v>
      </c>
      <c r="H769" s="407">
        <f t="shared" si="106"/>
        <v>37500</v>
      </c>
      <c r="I769" s="245" t="s">
        <v>1670</v>
      </c>
      <c r="J769" s="245" t="s">
        <v>1671</v>
      </c>
      <c r="K769" s="245" t="s">
        <v>1459</v>
      </c>
      <c r="L769" s="289"/>
      <c r="O769" s="245" t="s">
        <v>55</v>
      </c>
      <c r="P769" s="326">
        <v>46055</v>
      </c>
      <c r="Q769" s="419">
        <f t="shared" ca="1" si="109"/>
        <v>70</v>
      </c>
    </row>
    <row r="770" spans="1:17" s="245" customFormat="1" hidden="1">
      <c r="A770" s="289">
        <f t="shared" si="110"/>
        <v>768</v>
      </c>
      <c r="B770" s="284">
        <v>45990</v>
      </c>
      <c r="C770" s="245" t="str">
        <f t="shared" si="111"/>
        <v>MP0768</v>
      </c>
      <c r="D770" s="245" t="s">
        <v>1672</v>
      </c>
      <c r="E770" s="289">
        <v>500</v>
      </c>
      <c r="F770" s="289">
        <v>270</v>
      </c>
      <c r="G770" s="289">
        <v>23</v>
      </c>
      <c r="H770" s="407">
        <f t="shared" si="106"/>
        <v>11500</v>
      </c>
      <c r="I770" s="245" t="s">
        <v>1673</v>
      </c>
      <c r="J770" s="245" t="s">
        <v>1092</v>
      </c>
      <c r="K770" s="245" t="s">
        <v>683</v>
      </c>
      <c r="L770" s="289" t="s">
        <v>1674</v>
      </c>
      <c r="M770" s="245" t="s">
        <v>1675</v>
      </c>
      <c r="N770" s="245" t="s">
        <v>620</v>
      </c>
      <c r="O770" s="245" t="s">
        <v>55</v>
      </c>
      <c r="P770" s="326">
        <v>46049</v>
      </c>
      <c r="Q770" s="419">
        <f t="shared" ca="1" si="109"/>
        <v>76</v>
      </c>
    </row>
    <row r="771" spans="1:17" s="245" customFormat="1" hidden="1">
      <c r="A771" s="289">
        <f t="shared" si="110"/>
        <v>769</v>
      </c>
      <c r="B771" s="284">
        <v>45990</v>
      </c>
      <c r="C771" s="245" t="str">
        <f t="shared" si="111"/>
        <v>MP0769</v>
      </c>
      <c r="D771" s="245" t="s">
        <v>1676</v>
      </c>
      <c r="E771" s="289">
        <v>500</v>
      </c>
      <c r="F771" s="289">
        <v>210</v>
      </c>
      <c r="G771" s="289">
        <v>20</v>
      </c>
      <c r="H771" s="407">
        <f t="shared" si="106"/>
        <v>10000</v>
      </c>
      <c r="I771" s="245" t="s">
        <v>1677</v>
      </c>
      <c r="J771" s="245" t="s">
        <v>930</v>
      </c>
      <c r="K771" s="245" t="s">
        <v>683</v>
      </c>
      <c r="L771" s="289"/>
      <c r="N771" s="245" t="s">
        <v>620</v>
      </c>
      <c r="O771" s="245" t="s">
        <v>55</v>
      </c>
      <c r="P771" s="326">
        <v>46038</v>
      </c>
      <c r="Q771" s="419">
        <f t="shared" ca="1" si="109"/>
        <v>87</v>
      </c>
    </row>
    <row r="772" spans="1:17" s="245" customFormat="1" hidden="1">
      <c r="A772" s="289">
        <f t="shared" si="110"/>
        <v>770</v>
      </c>
      <c r="B772" s="284">
        <v>45990</v>
      </c>
      <c r="C772" s="245" t="str">
        <f t="shared" si="111"/>
        <v>MP0770</v>
      </c>
      <c r="D772" s="246" t="s">
        <v>534</v>
      </c>
      <c r="E772" s="247">
        <v>300</v>
      </c>
      <c r="F772" s="247" t="s">
        <v>231</v>
      </c>
      <c r="G772" s="247">
        <v>235</v>
      </c>
      <c r="H772" s="246">
        <f t="shared" si="106"/>
        <v>70500</v>
      </c>
      <c r="I772" s="246" t="s">
        <v>535</v>
      </c>
      <c r="J772" s="246" t="s">
        <v>60</v>
      </c>
      <c r="K772" s="246" t="s">
        <v>4</v>
      </c>
      <c r="L772" s="248"/>
      <c r="M772" s="249"/>
      <c r="N772" s="246" t="s">
        <v>133</v>
      </c>
      <c r="O772" s="246" t="s">
        <v>55</v>
      </c>
      <c r="P772" s="328">
        <v>46020</v>
      </c>
      <c r="Q772" s="422">
        <f t="shared" ca="1" si="109"/>
        <v>105</v>
      </c>
    </row>
    <row r="773" spans="1:17" s="245" customFormat="1" hidden="1">
      <c r="A773" s="289">
        <f t="shared" si="110"/>
        <v>771</v>
      </c>
      <c r="B773" s="284">
        <v>45990</v>
      </c>
      <c r="C773" s="245" t="str">
        <f t="shared" si="111"/>
        <v>MP0771</v>
      </c>
      <c r="D773" s="245" t="s">
        <v>1678</v>
      </c>
      <c r="E773" s="289">
        <v>500</v>
      </c>
      <c r="F773" s="289" t="s">
        <v>1679</v>
      </c>
      <c r="G773" s="289">
        <f>G762*0.6</f>
        <v>246</v>
      </c>
      <c r="H773" s="407">
        <f t="shared" si="106"/>
        <v>123000</v>
      </c>
      <c r="I773" s="245" t="s">
        <v>1680</v>
      </c>
      <c r="J773" s="245" t="s">
        <v>60</v>
      </c>
      <c r="K773" s="245" t="s">
        <v>16</v>
      </c>
      <c r="L773" s="289"/>
      <c r="N773" s="245" t="s">
        <v>620</v>
      </c>
      <c r="O773" s="245" t="s">
        <v>55</v>
      </c>
      <c r="P773" s="326">
        <v>46037</v>
      </c>
      <c r="Q773" s="419">
        <f t="shared" ca="1" si="109"/>
        <v>88</v>
      </c>
    </row>
    <row r="774" spans="1:17" s="245" customFormat="1" hidden="1">
      <c r="A774" s="289">
        <f t="shared" si="110"/>
        <v>772</v>
      </c>
      <c r="B774" s="284">
        <v>45990</v>
      </c>
      <c r="C774" s="245" t="str">
        <f t="shared" si="111"/>
        <v>MP0772</v>
      </c>
      <c r="D774" s="245" t="s">
        <v>1681</v>
      </c>
      <c r="E774" s="289">
        <v>300</v>
      </c>
      <c r="F774" s="289" t="s">
        <v>1682</v>
      </c>
      <c r="G774" s="289">
        <v>120</v>
      </c>
      <c r="H774" s="407">
        <f t="shared" si="106"/>
        <v>36000</v>
      </c>
      <c r="I774" s="245" t="s">
        <v>617</v>
      </c>
      <c r="J774" s="245" t="s">
        <v>609</v>
      </c>
      <c r="K774" s="245" t="s">
        <v>1525</v>
      </c>
      <c r="L774" s="289"/>
      <c r="O774" s="245" t="s">
        <v>55</v>
      </c>
      <c r="P774" s="326">
        <v>46006</v>
      </c>
      <c r="Q774" s="419">
        <f t="shared" ca="1" si="109"/>
        <v>119</v>
      </c>
    </row>
    <row r="775" spans="1:17" s="245" customFormat="1" hidden="1">
      <c r="A775" s="289">
        <f t="shared" si="110"/>
        <v>773</v>
      </c>
      <c r="B775" s="284">
        <v>45992</v>
      </c>
      <c r="C775" s="245" t="str">
        <f t="shared" si="111"/>
        <v>MP0773</v>
      </c>
      <c r="D775" s="245" t="s">
        <v>1683</v>
      </c>
      <c r="E775" s="289">
        <v>2000</v>
      </c>
      <c r="F775" s="289">
        <v>230</v>
      </c>
      <c r="G775" s="289">
        <v>39</v>
      </c>
      <c r="H775" s="407">
        <f t="shared" ref="H775:H795" si="113">IF(G775="","",E775*G775)</f>
        <v>78000</v>
      </c>
      <c r="I775" s="245" t="s">
        <v>1684</v>
      </c>
      <c r="J775" s="245" t="s">
        <v>1170</v>
      </c>
      <c r="K775" s="245" t="s">
        <v>16</v>
      </c>
      <c r="L775" s="289"/>
      <c r="O775" s="245" t="s">
        <v>55</v>
      </c>
      <c r="P775" s="326">
        <v>46076</v>
      </c>
      <c r="Q775" s="419">
        <f t="shared" ca="1" si="109"/>
        <v>49</v>
      </c>
    </row>
    <row r="776" spans="1:17" s="245" customFormat="1" hidden="1">
      <c r="A776" s="289">
        <f t="shared" si="110"/>
        <v>774</v>
      </c>
      <c r="B776" s="284">
        <v>45992</v>
      </c>
      <c r="C776" s="245" t="str">
        <f t="shared" si="111"/>
        <v>MP0774</v>
      </c>
      <c r="D776" s="277" t="s">
        <v>361</v>
      </c>
      <c r="E776" s="337">
        <v>500</v>
      </c>
      <c r="F776" s="337">
        <v>130.80000000000001</v>
      </c>
      <c r="G776" s="348">
        <v>152</v>
      </c>
      <c r="H776" s="277">
        <f>IF(G776="","",E776*G776)</f>
        <v>76000</v>
      </c>
      <c r="I776" s="277" t="s">
        <v>125</v>
      </c>
      <c r="J776" s="277" t="s">
        <v>87</v>
      </c>
      <c r="K776" s="277" t="s">
        <v>2</v>
      </c>
      <c r="L776" s="338"/>
      <c r="O776" s="245" t="s">
        <v>55</v>
      </c>
      <c r="P776" s="326">
        <v>46016</v>
      </c>
      <c r="Q776" s="419">
        <f t="shared" ca="1" si="109"/>
        <v>109</v>
      </c>
    </row>
    <row r="777" spans="1:17" s="245" customFormat="1" hidden="1">
      <c r="A777" s="289">
        <f t="shared" si="110"/>
        <v>775</v>
      </c>
      <c r="B777" s="284">
        <v>45992</v>
      </c>
      <c r="C777" s="245" t="str">
        <f t="shared" si="111"/>
        <v>MP0775</v>
      </c>
      <c r="D777" s="245" t="s">
        <v>1319</v>
      </c>
      <c r="E777" s="289">
        <v>500</v>
      </c>
      <c r="F777" s="289">
        <v>1990</v>
      </c>
      <c r="G777" s="289">
        <v>220</v>
      </c>
      <c r="H777" s="246">
        <f t="shared" ref="H777:H782" si="114">IF(G777="","",E777*G777)</f>
        <v>110000</v>
      </c>
      <c r="I777" s="245" t="s">
        <v>1320</v>
      </c>
      <c r="J777" s="245" t="s">
        <v>1321</v>
      </c>
      <c r="K777" s="245" t="s">
        <v>1322</v>
      </c>
      <c r="L777" s="289"/>
      <c r="O777" s="245" t="s">
        <v>55</v>
      </c>
      <c r="P777" s="326">
        <v>46027</v>
      </c>
      <c r="Q777" s="419">
        <f t="shared" ca="1" si="109"/>
        <v>98</v>
      </c>
    </row>
    <row r="778" spans="1:17" s="245" customFormat="1" hidden="1">
      <c r="A778" s="289">
        <f t="shared" si="110"/>
        <v>776</v>
      </c>
      <c r="B778" s="284">
        <v>45992</v>
      </c>
      <c r="C778" s="245" t="str">
        <f t="shared" si="111"/>
        <v>MP0776</v>
      </c>
      <c r="D778" s="245" t="s">
        <v>1685</v>
      </c>
      <c r="E778" s="289">
        <v>300</v>
      </c>
      <c r="F778" s="289" t="s">
        <v>231</v>
      </c>
      <c r="G778" s="289">
        <v>234</v>
      </c>
      <c r="H778" s="315">
        <f t="shared" si="114"/>
        <v>70200</v>
      </c>
      <c r="I778" s="245" t="s">
        <v>539</v>
      </c>
      <c r="J778" s="245" t="s">
        <v>609</v>
      </c>
      <c r="K778" s="245" t="s">
        <v>4</v>
      </c>
      <c r="L778" s="289"/>
      <c r="O778" s="245" t="s">
        <v>55</v>
      </c>
      <c r="P778" s="326">
        <v>46022</v>
      </c>
      <c r="Q778" s="419">
        <f t="shared" ca="1" si="109"/>
        <v>103</v>
      </c>
    </row>
    <row r="779" spans="1:17" s="245" customFormat="1" hidden="1">
      <c r="A779" s="289">
        <f t="shared" si="110"/>
        <v>777</v>
      </c>
      <c r="B779" s="284">
        <v>45992</v>
      </c>
      <c r="C779" s="245" t="str">
        <f t="shared" si="111"/>
        <v>MP0777</v>
      </c>
      <c r="D779" s="246" t="s">
        <v>129</v>
      </c>
      <c r="E779" s="247">
        <v>300</v>
      </c>
      <c r="F779" s="247" t="s">
        <v>1686</v>
      </c>
      <c r="G779" s="247">
        <v>70</v>
      </c>
      <c r="H779" s="246">
        <f t="shared" si="114"/>
        <v>21000</v>
      </c>
      <c r="I779" s="246" t="s">
        <v>59</v>
      </c>
      <c r="J779" s="246" t="s">
        <v>113</v>
      </c>
      <c r="K779" s="246" t="s">
        <v>9</v>
      </c>
      <c r="L779" s="248"/>
      <c r="M779" s="249"/>
      <c r="N779" s="246"/>
      <c r="O779" s="245" t="s">
        <v>55</v>
      </c>
      <c r="P779" s="326">
        <v>46037</v>
      </c>
      <c r="Q779" s="419">
        <f t="shared" ca="1" si="109"/>
        <v>88</v>
      </c>
    </row>
    <row r="780" spans="1:17" s="245" customFormat="1" hidden="1">
      <c r="A780" s="289">
        <f t="shared" si="110"/>
        <v>778</v>
      </c>
      <c r="B780" s="284">
        <v>45992</v>
      </c>
      <c r="C780" s="245" t="str">
        <f t="shared" si="111"/>
        <v>MP0778</v>
      </c>
      <c r="D780" s="246" t="s">
        <v>357</v>
      </c>
      <c r="E780" s="247">
        <v>300</v>
      </c>
      <c r="F780" s="247" t="s">
        <v>1687</v>
      </c>
      <c r="G780" s="247">
        <v>160</v>
      </c>
      <c r="H780" s="246">
        <f t="shared" si="114"/>
        <v>48000</v>
      </c>
      <c r="I780" s="246" t="s">
        <v>358</v>
      </c>
      <c r="J780" s="246" t="s">
        <v>60</v>
      </c>
      <c r="K780" s="246" t="s">
        <v>2</v>
      </c>
      <c r="L780" s="248"/>
      <c r="O780" s="245" t="s">
        <v>55</v>
      </c>
      <c r="P780" s="326">
        <v>46039</v>
      </c>
      <c r="Q780" s="419">
        <f t="shared" ca="1" si="109"/>
        <v>86</v>
      </c>
    </row>
    <row r="781" spans="1:17" s="245" customFormat="1" hidden="1">
      <c r="A781" s="289">
        <f t="shared" si="110"/>
        <v>779</v>
      </c>
      <c r="B781" s="284">
        <v>45992</v>
      </c>
      <c r="C781" s="245" t="str">
        <f t="shared" si="111"/>
        <v>MP0779</v>
      </c>
      <c r="D781" s="245" t="s">
        <v>1008</v>
      </c>
      <c r="E781" s="289">
        <v>500</v>
      </c>
      <c r="F781" s="289" t="s">
        <v>1688</v>
      </c>
      <c r="G781" s="289">
        <v>38</v>
      </c>
      <c r="H781" s="246">
        <f t="shared" si="114"/>
        <v>19000</v>
      </c>
      <c r="I781" s="245" t="s">
        <v>59</v>
      </c>
      <c r="J781" s="245" t="s">
        <v>609</v>
      </c>
      <c r="K781" s="245" t="s">
        <v>22</v>
      </c>
      <c r="L781" s="289"/>
      <c r="O781" s="245" t="s">
        <v>55</v>
      </c>
      <c r="P781" s="326">
        <v>46066</v>
      </c>
      <c r="Q781" s="419">
        <f t="shared" ca="1" si="109"/>
        <v>59</v>
      </c>
    </row>
    <row r="782" spans="1:17" s="245" customFormat="1" hidden="1">
      <c r="A782" s="289">
        <f t="shared" si="110"/>
        <v>780</v>
      </c>
      <c r="B782" s="284">
        <v>45992</v>
      </c>
      <c r="C782" s="245" t="str">
        <f t="shared" si="111"/>
        <v>MP0780</v>
      </c>
      <c r="D782" s="245" t="s">
        <v>92</v>
      </c>
      <c r="E782" s="289">
        <v>500</v>
      </c>
      <c r="F782" s="289">
        <v>1200</v>
      </c>
      <c r="G782" s="289">
        <v>50</v>
      </c>
      <c r="H782" s="246">
        <f t="shared" si="114"/>
        <v>25000</v>
      </c>
      <c r="I782" s="245" t="s">
        <v>1351</v>
      </c>
      <c r="J782" s="245" t="s">
        <v>609</v>
      </c>
      <c r="K782" s="245" t="s">
        <v>1042</v>
      </c>
      <c r="L782" s="289"/>
      <c r="O782" s="245" t="s">
        <v>55</v>
      </c>
      <c r="P782" s="326">
        <v>46066</v>
      </c>
      <c r="Q782" s="419">
        <f t="shared" ca="1" si="109"/>
        <v>59</v>
      </c>
    </row>
    <row r="783" spans="1:17" s="245" customFormat="1" hidden="1">
      <c r="A783" s="289">
        <f t="shared" si="110"/>
        <v>781</v>
      </c>
      <c r="B783" s="284">
        <v>45992</v>
      </c>
      <c r="C783" s="245" t="str">
        <f t="shared" si="111"/>
        <v>MP0781</v>
      </c>
      <c r="D783" s="245" t="s">
        <v>1054</v>
      </c>
      <c r="E783" s="289">
        <v>200</v>
      </c>
      <c r="F783" s="289" t="s">
        <v>1689</v>
      </c>
      <c r="G783" s="289">
        <v>305</v>
      </c>
      <c r="H783" s="246">
        <f t="shared" si="113"/>
        <v>61000</v>
      </c>
      <c r="I783" s="245" t="s">
        <v>531</v>
      </c>
      <c r="J783" s="245" t="s">
        <v>609</v>
      </c>
      <c r="K783" s="245" t="s">
        <v>9</v>
      </c>
      <c r="L783" s="289"/>
      <c r="O783" s="245" t="s">
        <v>55</v>
      </c>
      <c r="P783" s="326">
        <v>46043</v>
      </c>
      <c r="Q783" s="245">
        <f t="shared" ca="1" si="109"/>
        <v>82</v>
      </c>
    </row>
    <row r="784" spans="1:17" s="245" customFormat="1" hidden="1">
      <c r="A784" s="289">
        <f t="shared" si="110"/>
        <v>782</v>
      </c>
      <c r="B784" s="284">
        <v>45992</v>
      </c>
      <c r="C784" s="245" t="str">
        <f t="shared" si="111"/>
        <v>MP0782</v>
      </c>
      <c r="D784" s="246" t="s">
        <v>381</v>
      </c>
      <c r="E784" s="247">
        <v>300</v>
      </c>
      <c r="F784" s="247" t="s">
        <v>1690</v>
      </c>
      <c r="G784" s="247">
        <v>72</v>
      </c>
      <c r="H784" s="246">
        <f t="shared" si="113"/>
        <v>21600</v>
      </c>
      <c r="I784" s="246" t="s">
        <v>125</v>
      </c>
      <c r="J784" s="246" t="s">
        <v>113</v>
      </c>
      <c r="K784" s="246" t="s">
        <v>19</v>
      </c>
      <c r="L784" s="289"/>
      <c r="O784" s="245" t="s">
        <v>55</v>
      </c>
      <c r="P784" s="326">
        <v>46014</v>
      </c>
      <c r="Q784" s="245">
        <f t="shared" ca="1" si="109"/>
        <v>111</v>
      </c>
    </row>
    <row r="785" spans="1:17" s="245" customFormat="1" hidden="1">
      <c r="A785" s="289">
        <f t="shared" si="110"/>
        <v>783</v>
      </c>
      <c r="B785" s="284">
        <v>45992</v>
      </c>
      <c r="C785" s="245" t="str">
        <f t="shared" si="111"/>
        <v>MP0783</v>
      </c>
      <c r="D785" s="245" t="s">
        <v>1691</v>
      </c>
      <c r="E785" s="337">
        <v>1250</v>
      </c>
      <c r="F785" s="337">
        <v>80</v>
      </c>
      <c r="G785" s="348">
        <v>29</v>
      </c>
      <c r="H785" s="315">
        <f t="shared" si="113"/>
        <v>36250</v>
      </c>
      <c r="I785" s="294" t="s">
        <v>1332</v>
      </c>
      <c r="J785" s="277" t="s">
        <v>930</v>
      </c>
      <c r="K785" s="277" t="s">
        <v>1289</v>
      </c>
      <c r="L785" s="289"/>
      <c r="O785" s="245" t="s">
        <v>55</v>
      </c>
      <c r="P785" s="326">
        <v>46023</v>
      </c>
      <c r="Q785" s="245">
        <f t="shared" ca="1" si="109"/>
        <v>102</v>
      </c>
    </row>
    <row r="786" spans="1:17" s="245" customFormat="1" hidden="1">
      <c r="A786" s="289">
        <f t="shared" si="110"/>
        <v>784</v>
      </c>
      <c r="B786" s="284">
        <v>45992</v>
      </c>
      <c r="C786" s="245" t="str">
        <f t="shared" si="111"/>
        <v>MP0784</v>
      </c>
      <c r="D786" s="245" t="s">
        <v>1259</v>
      </c>
      <c r="E786" s="289">
        <v>1000</v>
      </c>
      <c r="F786" s="289">
        <v>350</v>
      </c>
      <c r="G786" s="289">
        <v>65</v>
      </c>
      <c r="H786" s="246">
        <f t="shared" si="113"/>
        <v>65000</v>
      </c>
      <c r="I786" s="245" t="s">
        <v>1260</v>
      </c>
      <c r="K786" s="245" t="s">
        <v>1289</v>
      </c>
      <c r="L786" s="289"/>
      <c r="O786" s="245" t="s">
        <v>55</v>
      </c>
      <c r="P786" s="326">
        <v>46093</v>
      </c>
      <c r="Q786" s="245">
        <f t="shared" ca="1" si="109"/>
        <v>32</v>
      </c>
    </row>
    <row r="787" spans="1:17" s="245" customFormat="1" hidden="1">
      <c r="A787" s="289">
        <f t="shared" si="110"/>
        <v>785</v>
      </c>
      <c r="B787" s="284">
        <v>45992</v>
      </c>
      <c r="C787" s="245" t="str">
        <f t="shared" si="111"/>
        <v>MP0785</v>
      </c>
      <c r="D787" s="245" t="s">
        <v>209</v>
      </c>
      <c r="E787" s="289">
        <v>300</v>
      </c>
      <c r="F787" s="289" t="s">
        <v>1692</v>
      </c>
      <c r="G787" s="289">
        <v>90</v>
      </c>
      <c r="H787" s="246">
        <f t="shared" si="113"/>
        <v>27000</v>
      </c>
      <c r="I787" s="245" t="s">
        <v>1098</v>
      </c>
      <c r="J787" s="245" t="s">
        <v>1092</v>
      </c>
      <c r="K787" s="245" t="s">
        <v>4</v>
      </c>
      <c r="L787" s="289"/>
      <c r="O787" s="245" t="s">
        <v>55</v>
      </c>
      <c r="P787" s="326">
        <v>46022</v>
      </c>
      <c r="Q787" s="245">
        <f t="shared" ca="1" si="109"/>
        <v>103</v>
      </c>
    </row>
    <row r="788" spans="1:17" s="245" customFormat="1" hidden="1">
      <c r="A788" s="289">
        <f t="shared" si="110"/>
        <v>786</v>
      </c>
      <c r="B788" s="284">
        <v>45992</v>
      </c>
      <c r="C788" s="245" t="str">
        <f t="shared" si="111"/>
        <v>MP0786</v>
      </c>
      <c r="D788" s="246" t="s">
        <v>226</v>
      </c>
      <c r="E788" s="247">
        <v>3000</v>
      </c>
      <c r="F788" s="247">
        <v>157.5</v>
      </c>
      <c r="G788" s="247">
        <v>24</v>
      </c>
      <c r="H788" s="246">
        <f t="shared" si="113"/>
        <v>72000</v>
      </c>
      <c r="I788" s="246" t="s">
        <v>227</v>
      </c>
      <c r="J788" s="246" t="s">
        <v>228</v>
      </c>
      <c r="K788" s="246" t="s">
        <v>16</v>
      </c>
      <c r="L788" s="248"/>
      <c r="M788" s="249"/>
      <c r="N788" s="246"/>
      <c r="O788" s="246" t="s">
        <v>55</v>
      </c>
      <c r="P788" s="328">
        <v>46049</v>
      </c>
      <c r="Q788" s="246">
        <f t="shared" ca="1" si="109"/>
        <v>76</v>
      </c>
    </row>
    <row r="789" spans="1:17" s="245" customFormat="1" hidden="1">
      <c r="A789" s="289">
        <f t="shared" si="110"/>
        <v>787</v>
      </c>
      <c r="B789" s="284">
        <v>45992</v>
      </c>
      <c r="C789" s="245" t="str">
        <f t="shared" si="111"/>
        <v>MP0787</v>
      </c>
      <c r="D789" s="246" t="s">
        <v>233</v>
      </c>
      <c r="E789" s="247">
        <v>300</v>
      </c>
      <c r="F789" s="247" t="s">
        <v>1693</v>
      </c>
      <c r="G789" s="247">
        <v>410</v>
      </c>
      <c r="H789" s="246">
        <f t="shared" si="113"/>
        <v>123000</v>
      </c>
      <c r="I789" s="246" t="s">
        <v>152</v>
      </c>
      <c r="J789" s="246" t="s">
        <v>60</v>
      </c>
      <c r="K789" s="246" t="s">
        <v>16</v>
      </c>
      <c r="L789" s="248"/>
      <c r="M789" s="249"/>
      <c r="N789" s="246"/>
      <c r="O789" s="246" t="s">
        <v>55</v>
      </c>
      <c r="P789" s="328">
        <v>46043</v>
      </c>
      <c r="Q789" s="246">
        <f t="shared" ca="1" si="109"/>
        <v>82</v>
      </c>
    </row>
    <row r="790" spans="1:17" s="250" customFormat="1" hidden="1">
      <c r="A790" s="270">
        <f t="shared" si="110"/>
        <v>788</v>
      </c>
      <c r="B790" s="296">
        <v>45992</v>
      </c>
      <c r="C790" s="250" t="str">
        <f t="shared" si="111"/>
        <v>MP0788</v>
      </c>
      <c r="D790" s="250" t="s">
        <v>467</v>
      </c>
      <c r="E790" s="270">
        <v>1500</v>
      </c>
      <c r="F790" s="270">
        <v>645</v>
      </c>
      <c r="G790" s="270">
        <v>118</v>
      </c>
      <c r="H790" s="252" t="s">
        <v>213</v>
      </c>
      <c r="I790" s="250" t="s">
        <v>264</v>
      </c>
      <c r="J790" s="250" t="s">
        <v>775</v>
      </c>
      <c r="K790" s="250" t="s">
        <v>10</v>
      </c>
      <c r="L790" s="270"/>
      <c r="M790" s="250" t="s">
        <v>1694</v>
      </c>
      <c r="O790" s="252" t="s">
        <v>370</v>
      </c>
      <c r="P790" s="316">
        <v>45995</v>
      </c>
      <c r="Q790" s="252">
        <f t="shared" ca="1" si="109"/>
        <v>130</v>
      </c>
    </row>
    <row r="791" spans="1:17" s="245" customFormat="1" hidden="1">
      <c r="A791" s="289">
        <f t="shared" si="110"/>
        <v>789</v>
      </c>
      <c r="B791" s="284">
        <v>45992</v>
      </c>
      <c r="C791" s="245" t="str">
        <f t="shared" si="111"/>
        <v>MP0789</v>
      </c>
      <c r="D791" s="245" t="s">
        <v>344</v>
      </c>
      <c r="E791" s="289">
        <v>250</v>
      </c>
      <c r="F791" s="289" t="s">
        <v>1695</v>
      </c>
      <c r="G791" s="289">
        <v>150</v>
      </c>
      <c r="H791" s="315">
        <f t="shared" si="113"/>
        <v>37500</v>
      </c>
      <c r="I791" s="245" t="s">
        <v>125</v>
      </c>
      <c r="J791" s="245" t="s">
        <v>113</v>
      </c>
      <c r="K791" s="245" t="s">
        <v>9</v>
      </c>
      <c r="L791" s="289"/>
      <c r="O791" s="246" t="s">
        <v>55</v>
      </c>
      <c r="P791" s="328">
        <v>46066</v>
      </c>
      <c r="Q791" s="246">
        <f t="shared" ca="1" si="109"/>
        <v>59</v>
      </c>
    </row>
    <row r="792" spans="1:17" s="245" customFormat="1" hidden="1">
      <c r="A792" s="289">
        <f t="shared" si="110"/>
        <v>790</v>
      </c>
      <c r="B792" s="284">
        <v>45992</v>
      </c>
      <c r="C792" s="245" t="str">
        <f t="shared" si="111"/>
        <v>MP0790</v>
      </c>
      <c r="D792" s="246" t="s">
        <v>1696</v>
      </c>
      <c r="E792" s="247">
        <v>5000</v>
      </c>
      <c r="F792" s="247">
        <v>99</v>
      </c>
      <c r="G792" s="278">
        <v>11.5</v>
      </c>
      <c r="H792" s="246">
        <f t="shared" si="113"/>
        <v>57500</v>
      </c>
      <c r="I792" s="246" t="s">
        <v>51</v>
      </c>
      <c r="J792" s="246" t="s">
        <v>265</v>
      </c>
      <c r="K792" s="246" t="s">
        <v>24</v>
      </c>
      <c r="L792" s="248"/>
      <c r="M792" s="249"/>
      <c r="N792" s="246"/>
      <c r="O792" s="246" t="s">
        <v>55</v>
      </c>
      <c r="P792" s="328">
        <v>46060</v>
      </c>
      <c r="Q792" s="246">
        <f t="shared" ca="1" si="109"/>
        <v>65</v>
      </c>
    </row>
    <row r="793" spans="1:17" s="250" customFormat="1" hidden="1">
      <c r="A793" s="270">
        <f t="shared" si="110"/>
        <v>791</v>
      </c>
      <c r="B793" s="296">
        <v>45992</v>
      </c>
      <c r="C793" s="250" t="str">
        <f t="shared" si="111"/>
        <v>MP0791</v>
      </c>
      <c r="D793" s="252" t="s">
        <v>938</v>
      </c>
      <c r="E793" s="231">
        <v>200</v>
      </c>
      <c r="F793" s="231">
        <v>3400</v>
      </c>
      <c r="G793" s="268">
        <v>360</v>
      </c>
      <c r="H793" s="252" t="s">
        <v>213</v>
      </c>
      <c r="I793" s="252" t="s">
        <v>939</v>
      </c>
      <c r="J793" s="252" t="s">
        <v>609</v>
      </c>
      <c r="K793" s="252" t="s">
        <v>4</v>
      </c>
      <c r="L793" s="270"/>
      <c r="M793" s="250" t="s">
        <v>1697</v>
      </c>
      <c r="O793" s="252" t="s">
        <v>370</v>
      </c>
      <c r="P793" s="316">
        <v>45995</v>
      </c>
      <c r="Q793" s="252">
        <f t="shared" ca="1" si="109"/>
        <v>130</v>
      </c>
    </row>
    <row r="794" spans="1:17" s="245" customFormat="1" hidden="1">
      <c r="A794" s="289">
        <f t="shared" si="110"/>
        <v>792</v>
      </c>
      <c r="B794" s="284">
        <v>45992</v>
      </c>
      <c r="C794" s="245" t="str">
        <f t="shared" si="111"/>
        <v>MP0792</v>
      </c>
      <c r="D794" s="245" t="s">
        <v>1698</v>
      </c>
      <c r="E794" s="289">
        <v>300</v>
      </c>
      <c r="F794" s="289">
        <v>102.18</v>
      </c>
      <c r="G794" s="289">
        <v>145</v>
      </c>
      <c r="H794" s="407">
        <f t="shared" si="113"/>
        <v>43500</v>
      </c>
      <c r="I794" s="245" t="s">
        <v>656</v>
      </c>
      <c r="J794" s="246" t="s">
        <v>609</v>
      </c>
      <c r="K794" s="245" t="s">
        <v>7</v>
      </c>
      <c r="L794" s="289"/>
      <c r="O794" s="245" t="s">
        <v>55</v>
      </c>
      <c r="P794" s="326">
        <v>46053</v>
      </c>
      <c r="Q794" s="245">
        <f t="shared" ca="1" si="109"/>
        <v>72</v>
      </c>
    </row>
    <row r="795" spans="1:17" s="245" customFormat="1" hidden="1">
      <c r="A795" s="289">
        <f t="shared" si="110"/>
        <v>793</v>
      </c>
      <c r="B795" s="284">
        <v>45992</v>
      </c>
      <c r="C795" s="245" t="str">
        <f t="shared" si="111"/>
        <v>MP0793</v>
      </c>
      <c r="D795" s="246" t="s">
        <v>1502</v>
      </c>
      <c r="E795" s="247">
        <v>10000</v>
      </c>
      <c r="F795" s="247">
        <v>116.25</v>
      </c>
      <c r="G795" s="247">
        <v>12.75</v>
      </c>
      <c r="H795" s="246">
        <f t="shared" si="113"/>
        <v>127500</v>
      </c>
      <c r="I795" s="246" t="s">
        <v>237</v>
      </c>
      <c r="J795" s="246" t="s">
        <v>265</v>
      </c>
      <c r="K795" s="246" t="s">
        <v>24</v>
      </c>
      <c r="L795" s="248"/>
      <c r="M795" s="249"/>
      <c r="N795" s="246"/>
      <c r="O795" s="246" t="s">
        <v>55</v>
      </c>
      <c r="P795" s="328">
        <v>46071</v>
      </c>
      <c r="Q795" s="246">
        <f t="shared" ca="1" si="109"/>
        <v>54</v>
      </c>
    </row>
    <row r="796" spans="1:17" s="245" customFormat="1" hidden="1">
      <c r="A796" s="289">
        <f t="shared" si="110"/>
        <v>794</v>
      </c>
      <c r="B796" s="284">
        <v>45992</v>
      </c>
      <c r="C796" s="245" t="str">
        <f t="shared" si="111"/>
        <v>MP0794</v>
      </c>
      <c r="D796" s="245" t="s">
        <v>1083</v>
      </c>
      <c r="E796" s="289">
        <v>3000</v>
      </c>
      <c r="F796" s="289">
        <v>79</v>
      </c>
      <c r="G796" s="289">
        <v>9.5</v>
      </c>
      <c r="H796" s="246">
        <f>IF(G796="","",E796*G796)</f>
        <v>28500</v>
      </c>
      <c r="I796" s="245" t="s">
        <v>1077</v>
      </c>
      <c r="J796" s="245" t="s">
        <v>844</v>
      </c>
      <c r="K796" s="245" t="s">
        <v>20</v>
      </c>
      <c r="L796" s="289"/>
      <c r="O796" s="245" t="s">
        <v>55</v>
      </c>
      <c r="P796" s="326">
        <v>46057</v>
      </c>
      <c r="Q796" s="245">
        <f t="shared" ca="1" si="109"/>
        <v>68</v>
      </c>
    </row>
    <row r="797" spans="1:17" s="245" customFormat="1" hidden="1">
      <c r="A797" s="289">
        <f t="shared" si="110"/>
        <v>795</v>
      </c>
      <c r="B797" s="284">
        <v>45992</v>
      </c>
      <c r="C797" s="245" t="str">
        <f t="shared" si="111"/>
        <v>MP0795</v>
      </c>
      <c r="D797" s="245" t="s">
        <v>1699</v>
      </c>
      <c r="E797" s="289">
        <v>150</v>
      </c>
      <c r="F797" s="289" t="s">
        <v>1700</v>
      </c>
      <c r="G797" s="289">
        <v>1110</v>
      </c>
      <c r="H797" s="246">
        <f>IF(G797="","",E797*G797)</f>
        <v>166500</v>
      </c>
      <c r="I797" s="245" t="s">
        <v>942</v>
      </c>
      <c r="J797" s="245" t="s">
        <v>1092</v>
      </c>
      <c r="K797" s="245" t="s">
        <v>1171</v>
      </c>
      <c r="L797" s="289"/>
      <c r="N797" s="245" t="s">
        <v>620</v>
      </c>
      <c r="O797" s="245" t="s">
        <v>55</v>
      </c>
      <c r="P797" s="326">
        <v>46001</v>
      </c>
      <c r="Q797" s="245">
        <f t="shared" ca="1" si="109"/>
        <v>124</v>
      </c>
    </row>
    <row r="798" spans="1:17" s="466" customFormat="1">
      <c r="A798" s="464">
        <f t="shared" si="110"/>
        <v>796</v>
      </c>
      <c r="B798" s="465">
        <v>45992</v>
      </c>
      <c r="C798" s="466" t="str">
        <f t="shared" si="111"/>
        <v>MP0796</v>
      </c>
      <c r="D798" s="466" t="s">
        <v>1701</v>
      </c>
      <c r="E798" s="464"/>
      <c r="F798" s="464"/>
      <c r="G798" s="464"/>
      <c r="H798" s="467" t="str">
        <f t="shared" ref="H798:H807" si="115">IF(G798="","",E798*G798)</f>
        <v/>
      </c>
      <c r="L798" s="464"/>
      <c r="M798" s="466" t="s">
        <v>1702</v>
      </c>
      <c r="O798" s="466" t="s">
        <v>370</v>
      </c>
      <c r="P798" s="468"/>
      <c r="Q798" s="466">
        <f t="shared" ca="1" si="109"/>
        <v>46125</v>
      </c>
    </row>
    <row r="799" spans="1:17" s="466" customFormat="1" hidden="1">
      <c r="A799" s="464">
        <f t="shared" si="110"/>
        <v>797</v>
      </c>
      <c r="B799" s="465">
        <v>45992</v>
      </c>
      <c r="C799" s="466" t="str">
        <f t="shared" si="111"/>
        <v>MP0797</v>
      </c>
      <c r="D799" s="466" t="s">
        <v>1703</v>
      </c>
      <c r="E799" s="464"/>
      <c r="F799" s="464"/>
      <c r="G799" s="464"/>
      <c r="H799" s="467" t="str">
        <f t="shared" si="115"/>
        <v/>
      </c>
      <c r="L799" s="464"/>
      <c r="O799" s="466" t="s">
        <v>370</v>
      </c>
      <c r="P799" s="468"/>
      <c r="Q799" s="466">
        <f t="shared" ca="1" si="109"/>
        <v>46125</v>
      </c>
    </row>
    <row r="800" spans="1:17" s="250" customFormat="1" hidden="1">
      <c r="A800" s="270">
        <f t="shared" si="110"/>
        <v>798</v>
      </c>
      <c r="B800" s="296">
        <v>45992</v>
      </c>
      <c r="C800" s="250" t="str">
        <f t="shared" si="111"/>
        <v>MP0798</v>
      </c>
      <c r="D800" s="250" t="s">
        <v>1704</v>
      </c>
      <c r="E800" s="270"/>
      <c r="F800" s="270"/>
      <c r="G800" s="270"/>
      <c r="H800" s="252" t="str">
        <f t="shared" si="115"/>
        <v/>
      </c>
      <c r="I800" s="250" t="s">
        <v>1705</v>
      </c>
      <c r="L800" s="270"/>
      <c r="O800" s="250" t="s">
        <v>370</v>
      </c>
      <c r="P800" s="308"/>
      <c r="Q800" s="250">
        <f t="shared" ca="1" si="109"/>
        <v>46125</v>
      </c>
    </row>
    <row r="801" spans="1:17" s="250" customFormat="1" hidden="1">
      <c r="A801" s="270">
        <f t="shared" si="110"/>
        <v>799</v>
      </c>
      <c r="B801" s="296">
        <v>45992</v>
      </c>
      <c r="C801" s="250" t="str">
        <f t="shared" si="111"/>
        <v>MP0799</v>
      </c>
      <c r="D801" s="250" t="s">
        <v>1706</v>
      </c>
      <c r="E801" s="270"/>
      <c r="F801" s="270"/>
      <c r="G801" s="270"/>
      <c r="H801" s="252" t="str">
        <f t="shared" si="115"/>
        <v/>
      </c>
      <c r="I801" s="250" t="s">
        <v>1705</v>
      </c>
      <c r="L801" s="270"/>
      <c r="O801" s="250" t="s">
        <v>370</v>
      </c>
      <c r="P801" s="308"/>
      <c r="Q801" s="250">
        <f t="shared" ca="1" si="109"/>
        <v>46125</v>
      </c>
    </row>
    <row r="802" spans="1:17" s="466" customFormat="1" hidden="1">
      <c r="A802" s="464">
        <f t="shared" si="110"/>
        <v>800</v>
      </c>
      <c r="B802" s="465">
        <v>45992</v>
      </c>
      <c r="C802" s="466" t="str">
        <f t="shared" si="111"/>
        <v>MP0800</v>
      </c>
      <c r="D802" s="466" t="s">
        <v>1707</v>
      </c>
      <c r="E802" s="464"/>
      <c r="F802" s="464"/>
      <c r="G802" s="464"/>
      <c r="H802" s="467" t="str">
        <f t="shared" si="115"/>
        <v/>
      </c>
      <c r="L802" s="464"/>
      <c r="O802" s="466" t="s">
        <v>370</v>
      </c>
      <c r="P802" s="468"/>
      <c r="Q802" s="466">
        <f t="shared" ca="1" si="109"/>
        <v>46125</v>
      </c>
    </row>
    <row r="803" spans="1:17" s="250" customFormat="1" hidden="1">
      <c r="A803" s="270">
        <f t="shared" si="110"/>
        <v>801</v>
      </c>
      <c r="B803" s="296">
        <v>45992</v>
      </c>
      <c r="C803" s="250" t="str">
        <f t="shared" si="111"/>
        <v>MP0801</v>
      </c>
      <c r="D803" s="250" t="s">
        <v>1708</v>
      </c>
      <c r="E803" s="270"/>
      <c r="F803" s="270"/>
      <c r="G803" s="270"/>
      <c r="H803" s="252" t="str">
        <f t="shared" si="115"/>
        <v/>
      </c>
      <c r="I803" s="250" t="s">
        <v>1705</v>
      </c>
      <c r="L803" s="270"/>
      <c r="O803" s="250" t="s">
        <v>370</v>
      </c>
      <c r="P803" s="308"/>
      <c r="Q803" s="250">
        <f t="shared" ca="1" si="109"/>
        <v>46125</v>
      </c>
    </row>
    <row r="804" spans="1:17" s="245" customFormat="1" hidden="1">
      <c r="A804" s="289">
        <f t="shared" si="110"/>
        <v>802</v>
      </c>
      <c r="B804" s="284">
        <v>45995</v>
      </c>
      <c r="C804" s="245" t="str">
        <f t="shared" si="111"/>
        <v>MP0802</v>
      </c>
      <c r="D804" s="245" t="s">
        <v>1709</v>
      </c>
      <c r="E804" s="289">
        <v>300</v>
      </c>
      <c r="F804" s="289" t="s">
        <v>231</v>
      </c>
      <c r="G804" s="289">
        <v>390</v>
      </c>
      <c r="H804" s="246">
        <f t="shared" si="115"/>
        <v>117000</v>
      </c>
      <c r="I804" s="245" t="s">
        <v>1710</v>
      </c>
      <c r="J804" s="245" t="s">
        <v>609</v>
      </c>
      <c r="K804" s="245" t="s">
        <v>4</v>
      </c>
      <c r="L804" s="289"/>
      <c r="M804" s="245" t="s">
        <v>1711</v>
      </c>
      <c r="N804" s="245" t="s">
        <v>620</v>
      </c>
      <c r="O804" s="245" t="s">
        <v>55</v>
      </c>
      <c r="P804" s="326">
        <v>46386</v>
      </c>
      <c r="Q804" s="245">
        <f t="shared" ref="Q804:Q867" ca="1" si="116">TODAY()-P804</f>
        <v>-261</v>
      </c>
    </row>
    <row r="805" spans="1:17" s="245" customFormat="1" hidden="1">
      <c r="A805" s="289">
        <f t="shared" si="110"/>
        <v>803</v>
      </c>
      <c r="B805" s="284">
        <v>45995</v>
      </c>
      <c r="C805" s="245" t="str">
        <f t="shared" si="111"/>
        <v>MP0803</v>
      </c>
      <c r="D805" s="315" t="s">
        <v>1327</v>
      </c>
      <c r="E805" s="337">
        <v>3000</v>
      </c>
      <c r="F805" s="337">
        <v>330</v>
      </c>
      <c r="G805" s="348">
        <v>16</v>
      </c>
      <c r="H805" s="315">
        <f t="shared" si="115"/>
        <v>48000</v>
      </c>
      <c r="I805" s="294" t="s">
        <v>1328</v>
      </c>
      <c r="J805" s="277" t="s">
        <v>634</v>
      </c>
      <c r="K805" s="277" t="s">
        <v>1459</v>
      </c>
      <c r="L805" s="289"/>
      <c r="N805" s="245" t="s">
        <v>620</v>
      </c>
      <c r="O805" s="245" t="s">
        <v>55</v>
      </c>
      <c r="P805" s="326">
        <v>46029</v>
      </c>
      <c r="Q805" s="245">
        <f t="shared" ca="1" si="116"/>
        <v>96</v>
      </c>
    </row>
    <row r="806" spans="1:17" s="245" customFormat="1" hidden="1">
      <c r="A806" s="289">
        <f t="shared" si="110"/>
        <v>804</v>
      </c>
      <c r="B806" s="284">
        <v>45995</v>
      </c>
      <c r="C806" s="245" t="str">
        <f t="shared" si="111"/>
        <v>MP0804</v>
      </c>
      <c r="D806" s="245" t="s">
        <v>1712</v>
      </c>
      <c r="E806" s="289">
        <v>500</v>
      </c>
      <c r="F806" s="289" t="s">
        <v>1713</v>
      </c>
      <c r="G806" s="289">
        <v>28.2</v>
      </c>
      <c r="H806" s="246">
        <f t="shared" si="115"/>
        <v>14100</v>
      </c>
      <c r="I806" s="245" t="s">
        <v>1714</v>
      </c>
      <c r="J806" s="245" t="s">
        <v>967</v>
      </c>
      <c r="K806" s="245" t="s">
        <v>2</v>
      </c>
      <c r="L806" s="433" t="s">
        <v>1715</v>
      </c>
      <c r="M806" s="245" t="s">
        <v>1281</v>
      </c>
      <c r="N806" s="245" t="s">
        <v>620</v>
      </c>
      <c r="O806" s="245" t="s">
        <v>55</v>
      </c>
      <c r="P806" s="326">
        <v>46031</v>
      </c>
      <c r="Q806" s="245">
        <f t="shared" ca="1" si="116"/>
        <v>94</v>
      </c>
    </row>
    <row r="807" spans="1:17" s="245" customFormat="1" hidden="1">
      <c r="A807" s="289">
        <f t="shared" si="110"/>
        <v>805</v>
      </c>
      <c r="B807" s="284">
        <v>46021</v>
      </c>
      <c r="C807" s="245" t="str">
        <f t="shared" si="111"/>
        <v>MP0805</v>
      </c>
      <c r="D807" s="245" t="s">
        <v>1716</v>
      </c>
      <c r="E807" s="289">
        <v>2000</v>
      </c>
      <c r="F807" s="289" t="s">
        <v>1717</v>
      </c>
      <c r="G807" s="289">
        <v>9</v>
      </c>
      <c r="H807" s="246">
        <f t="shared" si="115"/>
        <v>18000</v>
      </c>
      <c r="I807" s="245" t="s">
        <v>1718</v>
      </c>
      <c r="J807" s="245" t="s">
        <v>930</v>
      </c>
      <c r="K807" s="245" t="s">
        <v>1589</v>
      </c>
      <c r="L807" s="289"/>
      <c r="N807" s="245" t="s">
        <v>620</v>
      </c>
      <c r="O807" s="245" t="s">
        <v>55</v>
      </c>
      <c r="P807" s="326">
        <v>46057</v>
      </c>
      <c r="Q807" s="245">
        <f t="shared" ca="1" si="116"/>
        <v>68</v>
      </c>
    </row>
    <row r="808" spans="1:17" s="245" customFormat="1" hidden="1">
      <c r="A808" s="289">
        <f t="shared" si="110"/>
        <v>806</v>
      </c>
      <c r="B808" s="284">
        <v>45995</v>
      </c>
      <c r="C808" s="245" t="str">
        <f t="shared" si="111"/>
        <v>MP0806</v>
      </c>
      <c r="D808" s="246" t="s">
        <v>415</v>
      </c>
      <c r="E808" s="247">
        <v>500</v>
      </c>
      <c r="F808" s="247" t="s">
        <v>1719</v>
      </c>
      <c r="G808" s="247">
        <v>366</v>
      </c>
      <c r="H808" s="246">
        <f t="shared" ref="H808:H837" si="117">IF(G808="","",E808*G808)</f>
        <v>183000</v>
      </c>
      <c r="I808" s="246" t="s">
        <v>416</v>
      </c>
      <c r="J808" s="246" t="s">
        <v>60</v>
      </c>
      <c r="K808" s="246" t="s">
        <v>1171</v>
      </c>
      <c r="L808" s="248"/>
      <c r="N808" s="246"/>
      <c r="O808" s="246" t="s">
        <v>55</v>
      </c>
      <c r="P808" s="328">
        <v>46035</v>
      </c>
      <c r="Q808" s="246">
        <f t="shared" ca="1" si="116"/>
        <v>90</v>
      </c>
    </row>
    <row r="809" spans="1:17" s="245" customFormat="1" hidden="1">
      <c r="A809" s="289">
        <f t="shared" si="110"/>
        <v>807</v>
      </c>
      <c r="B809" s="284">
        <v>45996</v>
      </c>
      <c r="C809" s="245" t="str">
        <f t="shared" si="111"/>
        <v>MP0807</v>
      </c>
      <c r="D809" s="245" t="s">
        <v>1720</v>
      </c>
      <c r="E809" s="289">
        <v>300</v>
      </c>
      <c r="F809" s="289" t="s">
        <v>1721</v>
      </c>
      <c r="G809" s="289">
        <v>75</v>
      </c>
      <c r="H809" s="246">
        <f t="shared" si="117"/>
        <v>22500</v>
      </c>
      <c r="I809" s="245" t="s">
        <v>1722</v>
      </c>
      <c r="J809" s="246" t="s">
        <v>1723</v>
      </c>
      <c r="K809" s="245" t="s">
        <v>1031</v>
      </c>
      <c r="L809" s="289"/>
      <c r="O809" s="246" t="s">
        <v>55</v>
      </c>
      <c r="P809" s="326">
        <v>46066</v>
      </c>
      <c r="Q809" s="245">
        <f t="shared" ca="1" si="116"/>
        <v>59</v>
      </c>
    </row>
    <row r="810" spans="1:17" s="245" customFormat="1" hidden="1">
      <c r="A810" s="289">
        <f t="shared" si="110"/>
        <v>808</v>
      </c>
      <c r="B810" s="284">
        <v>45996</v>
      </c>
      <c r="C810" s="245" t="str">
        <f t="shared" si="111"/>
        <v>MP0808</v>
      </c>
      <c r="D810" s="245" t="s">
        <v>1724</v>
      </c>
      <c r="E810" s="289">
        <v>500</v>
      </c>
      <c r="F810" s="289" t="s">
        <v>1725</v>
      </c>
      <c r="G810" s="289">
        <v>90</v>
      </c>
      <c r="H810" s="246">
        <f t="shared" si="117"/>
        <v>45000</v>
      </c>
      <c r="I810" s="245" t="s">
        <v>1726</v>
      </c>
      <c r="J810" s="246" t="s">
        <v>60</v>
      </c>
      <c r="K810" s="245" t="s">
        <v>1442</v>
      </c>
      <c r="L810" s="289"/>
      <c r="O810" s="246" t="s">
        <v>55</v>
      </c>
      <c r="P810" s="326">
        <v>46059</v>
      </c>
      <c r="Q810" s="245">
        <f t="shared" ca="1" si="116"/>
        <v>66</v>
      </c>
    </row>
    <row r="811" spans="1:17" s="245" customFormat="1" hidden="1">
      <c r="A811" s="289">
        <f t="shared" si="110"/>
        <v>809</v>
      </c>
      <c r="B811" s="284">
        <v>45997</v>
      </c>
      <c r="C811" s="245" t="str">
        <f t="shared" si="111"/>
        <v>MP0809</v>
      </c>
      <c r="D811" s="245" t="s">
        <v>1727</v>
      </c>
      <c r="E811" s="289">
        <v>500</v>
      </c>
      <c r="F811" s="289" t="s">
        <v>1728</v>
      </c>
      <c r="G811" s="289">
        <v>125</v>
      </c>
      <c r="H811" s="246">
        <f t="shared" si="117"/>
        <v>62500</v>
      </c>
      <c r="I811" s="370" t="s">
        <v>1729</v>
      </c>
      <c r="J811" s="245" t="s">
        <v>937</v>
      </c>
      <c r="K811" s="245" t="s">
        <v>4</v>
      </c>
      <c r="L811" s="289"/>
      <c r="M811" s="245" t="s">
        <v>1730</v>
      </c>
      <c r="N811" s="245" t="s">
        <v>620</v>
      </c>
      <c r="O811" s="245" t="s">
        <v>55</v>
      </c>
      <c r="P811" s="326">
        <v>46049</v>
      </c>
      <c r="Q811" s="245">
        <f t="shared" ca="1" si="116"/>
        <v>76</v>
      </c>
    </row>
    <row r="812" spans="1:17" s="245" customFormat="1" hidden="1">
      <c r="A812" s="289">
        <f t="shared" si="110"/>
        <v>810</v>
      </c>
      <c r="B812" s="284">
        <v>45997</v>
      </c>
      <c r="C812" s="245" t="str">
        <f t="shared" si="111"/>
        <v>MP0810</v>
      </c>
      <c r="D812" s="245" t="s">
        <v>1731</v>
      </c>
      <c r="E812" s="289">
        <v>300</v>
      </c>
      <c r="F812" s="289" t="s">
        <v>1732</v>
      </c>
      <c r="G812" s="289">
        <v>50</v>
      </c>
      <c r="H812" s="246">
        <f t="shared" si="117"/>
        <v>15000</v>
      </c>
      <c r="I812" s="245" t="s">
        <v>1733</v>
      </c>
      <c r="J812" s="245" t="s">
        <v>609</v>
      </c>
      <c r="K812" s="245" t="s">
        <v>1442</v>
      </c>
      <c r="L812" s="289"/>
      <c r="M812" s="245" t="s">
        <v>1734</v>
      </c>
      <c r="N812" s="245" t="s">
        <v>620</v>
      </c>
      <c r="O812" s="245" t="s">
        <v>55</v>
      </c>
      <c r="P812" s="326">
        <v>46049</v>
      </c>
      <c r="Q812" s="245">
        <f t="shared" ca="1" si="116"/>
        <v>76</v>
      </c>
    </row>
    <row r="813" spans="1:17" s="245" customFormat="1" hidden="1">
      <c r="A813" s="289">
        <f t="shared" ref="A813:A815" si="118">IF(B813="","",ROW()-2)</f>
        <v>811</v>
      </c>
      <c r="B813" s="284">
        <v>45999</v>
      </c>
      <c r="C813" s="245" t="str">
        <f t="shared" si="111"/>
        <v>MP0811</v>
      </c>
      <c r="D813" s="245" t="s">
        <v>160</v>
      </c>
      <c r="E813" s="289">
        <v>1000</v>
      </c>
      <c r="F813" s="289">
        <v>1070</v>
      </c>
      <c r="G813" s="289">
        <v>68</v>
      </c>
      <c r="H813" s="315">
        <f t="shared" si="117"/>
        <v>68000</v>
      </c>
      <c r="I813" s="245" t="s">
        <v>66</v>
      </c>
      <c r="J813" s="245" t="s">
        <v>87</v>
      </c>
      <c r="K813" s="245" t="s">
        <v>24</v>
      </c>
      <c r="L813" s="289"/>
      <c r="O813" s="245" t="s">
        <v>55</v>
      </c>
      <c r="P813" s="326">
        <v>46049</v>
      </c>
      <c r="Q813" s="245">
        <f t="shared" ca="1" si="116"/>
        <v>76</v>
      </c>
    </row>
    <row r="814" spans="1:17" s="210" customFormat="1" hidden="1">
      <c r="A814" s="264">
        <f t="shared" si="118"/>
        <v>812</v>
      </c>
      <c r="B814" s="225">
        <v>45999</v>
      </c>
      <c r="C814" s="210" t="str">
        <f t="shared" ref="C814:C815" si="119">IF(B814="","",_xlfn.CONCAT("MP0",A814))</f>
        <v>MP0812</v>
      </c>
      <c r="D814" s="210" t="s">
        <v>487</v>
      </c>
      <c r="E814" s="264">
        <v>5000</v>
      </c>
      <c r="F814" s="264">
        <v>79</v>
      </c>
      <c r="G814" s="264">
        <v>10</v>
      </c>
      <c r="H814" s="235">
        <f t="shared" si="117"/>
        <v>50000</v>
      </c>
      <c r="I814" s="210" t="s">
        <v>1491</v>
      </c>
      <c r="J814" s="210" t="s">
        <v>930</v>
      </c>
      <c r="K814" s="210" t="s">
        <v>24</v>
      </c>
      <c r="L814" s="264"/>
      <c r="O814" s="210" t="s">
        <v>135</v>
      </c>
      <c r="P814" s="320">
        <v>46008</v>
      </c>
      <c r="Q814" s="210">
        <f t="shared" ca="1" si="116"/>
        <v>117</v>
      </c>
    </row>
    <row r="815" spans="1:17" s="245" customFormat="1" hidden="1">
      <c r="A815" s="289">
        <f t="shared" si="118"/>
        <v>813</v>
      </c>
      <c r="B815" s="284">
        <v>45999</v>
      </c>
      <c r="C815" s="245" t="str">
        <f t="shared" si="119"/>
        <v>MP0813</v>
      </c>
      <c r="D815" s="315" t="s">
        <v>1515</v>
      </c>
      <c r="E815" s="337">
        <v>500</v>
      </c>
      <c r="F815" s="337">
        <v>99</v>
      </c>
      <c r="G815" s="348">
        <v>50</v>
      </c>
      <c r="H815" s="315">
        <f>IF(G815="","",E815*G815)</f>
        <v>25000</v>
      </c>
      <c r="I815" s="294" t="s">
        <v>1516</v>
      </c>
      <c r="J815" s="277" t="s">
        <v>609</v>
      </c>
      <c r="K815" s="277" t="s">
        <v>1517</v>
      </c>
      <c r="L815" s="289"/>
      <c r="O815" s="245" t="s">
        <v>55</v>
      </c>
      <c r="P815" s="326">
        <v>46078</v>
      </c>
      <c r="Q815" s="245">
        <f t="shared" ca="1" si="116"/>
        <v>47</v>
      </c>
    </row>
    <row r="816" spans="1:17" s="245" customFormat="1" hidden="1">
      <c r="A816" s="289">
        <f t="shared" ref="A816:A879" si="120">IF(B816="","",ROW()-2)</f>
        <v>814</v>
      </c>
      <c r="B816" s="284">
        <v>45999</v>
      </c>
      <c r="C816" s="245" t="str">
        <f t="shared" ref="C816:C879" si="121">IF(B816="","",_xlfn.CONCAT("MP0",A816))</f>
        <v>MP0814</v>
      </c>
      <c r="D816" s="245" t="s">
        <v>1735</v>
      </c>
      <c r="E816" s="247">
        <v>2000</v>
      </c>
      <c r="F816" s="247">
        <v>390</v>
      </c>
      <c r="G816" s="247">
        <v>50</v>
      </c>
      <c r="H816" s="246">
        <f t="shared" ref="H816" si="122">IF(G816="","",E816*G816)</f>
        <v>100000</v>
      </c>
      <c r="I816" s="246" t="s">
        <v>237</v>
      </c>
      <c r="J816" s="246" t="s">
        <v>265</v>
      </c>
      <c r="K816" s="246" t="s">
        <v>21</v>
      </c>
      <c r="L816" s="248"/>
      <c r="M816" s="249" t="s">
        <v>808</v>
      </c>
      <c r="N816" s="246" t="s">
        <v>89</v>
      </c>
      <c r="O816" s="246" t="s">
        <v>55</v>
      </c>
      <c r="P816" s="328">
        <v>46065</v>
      </c>
      <c r="Q816" s="246">
        <f t="shared" ca="1" si="116"/>
        <v>60</v>
      </c>
    </row>
    <row r="817" spans="1:18" s="245" customFormat="1" hidden="1">
      <c r="A817" s="289">
        <f>IF(B817="","",ROW()-2)</f>
        <v>815</v>
      </c>
      <c r="B817" s="284">
        <v>45999</v>
      </c>
      <c r="C817" s="245" t="str">
        <f>IF(B817="","",_xlfn.CONCAT("MP0",A817))</f>
        <v>MP0815</v>
      </c>
      <c r="D817" s="245" t="s">
        <v>1468</v>
      </c>
      <c r="E817" s="289">
        <v>4000</v>
      </c>
      <c r="F817" s="289">
        <v>75</v>
      </c>
      <c r="G817" s="289">
        <v>7.5</v>
      </c>
      <c r="H817" s="315">
        <f>IF(G817="","",E817*G817)</f>
        <v>30000</v>
      </c>
      <c r="I817" s="245" t="s">
        <v>1469</v>
      </c>
      <c r="J817" s="245" t="s">
        <v>1466</v>
      </c>
      <c r="K817" s="245" t="s">
        <v>1289</v>
      </c>
      <c r="L817" s="289"/>
      <c r="O817" s="245" t="s">
        <v>55</v>
      </c>
      <c r="P817" s="328">
        <v>46060</v>
      </c>
      <c r="Q817" s="246">
        <f t="shared" ca="1" si="116"/>
        <v>65</v>
      </c>
      <c r="R817" s="339"/>
    </row>
    <row r="818" spans="1:18" s="245" customFormat="1" hidden="1">
      <c r="A818" s="289">
        <f>IF(B818="","",ROW()-2)</f>
        <v>816</v>
      </c>
      <c r="B818" s="284">
        <v>45999</v>
      </c>
      <c r="C818" s="245" t="str">
        <f>IF(B818="","",_xlfn.CONCAT("MP0",A818))</f>
        <v>MP0816</v>
      </c>
      <c r="D818" s="245" t="s">
        <v>910</v>
      </c>
      <c r="E818" s="340">
        <v>5000</v>
      </c>
      <c r="F818" s="341">
        <v>115</v>
      </c>
      <c r="G818" s="289">
        <v>6.25</v>
      </c>
      <c r="H818" s="246">
        <f>IF(G818="","",E818*G818)</f>
        <v>31250</v>
      </c>
      <c r="I818" s="246" t="s">
        <v>1736</v>
      </c>
      <c r="J818" s="246" t="s">
        <v>844</v>
      </c>
      <c r="K818" s="245" t="s">
        <v>1459</v>
      </c>
      <c r="L818" s="289"/>
      <c r="M818" s="245" t="s">
        <v>1737</v>
      </c>
      <c r="O818" s="245" t="s">
        <v>55</v>
      </c>
      <c r="P818" s="326">
        <v>46049</v>
      </c>
      <c r="Q818" s="245">
        <f t="shared" ca="1" si="116"/>
        <v>76</v>
      </c>
    </row>
    <row r="819" spans="1:18" s="245" customFormat="1" hidden="1">
      <c r="A819" s="289">
        <f t="shared" si="120"/>
        <v>817</v>
      </c>
      <c r="B819" s="284">
        <v>45999</v>
      </c>
      <c r="C819" s="245" t="str">
        <f t="shared" si="121"/>
        <v>MP0817</v>
      </c>
      <c r="D819" s="315" t="s">
        <v>1338</v>
      </c>
      <c r="E819" s="337">
        <v>2000</v>
      </c>
      <c r="F819" s="337">
        <v>150</v>
      </c>
      <c r="G819" s="348">
        <v>26</v>
      </c>
      <c r="H819" s="315">
        <f t="shared" si="117"/>
        <v>52000</v>
      </c>
      <c r="I819" s="294" t="s">
        <v>1339</v>
      </c>
      <c r="J819" s="277" t="s">
        <v>628</v>
      </c>
      <c r="K819" s="277" t="s">
        <v>683</v>
      </c>
      <c r="L819" s="289"/>
      <c r="M819" s="245" t="s">
        <v>1069</v>
      </c>
      <c r="N819" s="245" t="s">
        <v>620</v>
      </c>
      <c r="O819" s="245" t="s">
        <v>55</v>
      </c>
      <c r="P819" s="326">
        <v>46037</v>
      </c>
      <c r="Q819" s="245">
        <f t="shared" ca="1" si="116"/>
        <v>88</v>
      </c>
    </row>
    <row r="820" spans="1:18" s="245" customFormat="1" hidden="1">
      <c r="A820" s="289">
        <f t="shared" si="120"/>
        <v>818</v>
      </c>
      <c r="B820" s="284">
        <v>45999</v>
      </c>
      <c r="C820" s="245" t="str">
        <f t="shared" si="121"/>
        <v>MP0818</v>
      </c>
      <c r="D820" s="246" t="s">
        <v>911</v>
      </c>
      <c r="E820" s="340">
        <v>3000</v>
      </c>
      <c r="F820" s="247">
        <v>120</v>
      </c>
      <c r="G820" s="289">
        <v>7.5</v>
      </c>
      <c r="H820" s="246">
        <f t="shared" si="117"/>
        <v>22500</v>
      </c>
      <c r="I820" s="246" t="s">
        <v>1736</v>
      </c>
      <c r="J820" s="246" t="s">
        <v>844</v>
      </c>
      <c r="K820" s="245" t="s">
        <v>1459</v>
      </c>
      <c r="L820" s="289"/>
      <c r="O820" s="245" t="s">
        <v>55</v>
      </c>
      <c r="P820" s="326">
        <v>46043</v>
      </c>
      <c r="Q820" s="245">
        <f t="shared" ca="1" si="116"/>
        <v>82</v>
      </c>
    </row>
    <row r="821" spans="1:18" s="245" customFormat="1" hidden="1">
      <c r="A821" s="289">
        <f t="shared" si="120"/>
        <v>819</v>
      </c>
      <c r="B821" s="284">
        <v>45999</v>
      </c>
      <c r="C821" s="245" t="str">
        <f t="shared" si="121"/>
        <v>MP0819</v>
      </c>
      <c r="D821" s="245" t="s">
        <v>1738</v>
      </c>
      <c r="E821" s="289">
        <v>5000</v>
      </c>
      <c r="F821" s="289" t="s">
        <v>1739</v>
      </c>
      <c r="G821" s="289">
        <v>20.5</v>
      </c>
      <c r="H821" s="246">
        <f t="shared" si="117"/>
        <v>102500</v>
      </c>
      <c r="I821" s="438" t="s">
        <v>1740</v>
      </c>
      <c r="J821" s="245" t="s">
        <v>634</v>
      </c>
      <c r="K821" s="245" t="s">
        <v>7</v>
      </c>
      <c r="L821" s="289"/>
      <c r="O821" s="245" t="s">
        <v>55</v>
      </c>
      <c r="P821" s="326">
        <v>46049</v>
      </c>
      <c r="Q821" s="245">
        <f t="shared" ca="1" si="116"/>
        <v>76</v>
      </c>
    </row>
    <row r="822" spans="1:18" s="245" customFormat="1" hidden="1">
      <c r="A822" s="289">
        <f t="shared" si="120"/>
        <v>820</v>
      </c>
      <c r="B822" s="284">
        <v>46001</v>
      </c>
      <c r="C822" s="245" t="str">
        <f t="shared" si="121"/>
        <v>MP0820</v>
      </c>
      <c r="D822" s="245" t="s">
        <v>594</v>
      </c>
      <c r="E822" s="289">
        <v>300</v>
      </c>
      <c r="F822" s="289" t="s">
        <v>1551</v>
      </c>
      <c r="G822" s="289">
        <v>415</v>
      </c>
      <c r="H822" s="315">
        <f t="shared" si="117"/>
        <v>124500</v>
      </c>
      <c r="I822" s="245" t="s">
        <v>1036</v>
      </c>
      <c r="J822" s="245" t="s">
        <v>609</v>
      </c>
      <c r="K822" s="245" t="s">
        <v>1442</v>
      </c>
      <c r="L822" s="289"/>
      <c r="O822" s="245" t="s">
        <v>55</v>
      </c>
      <c r="P822" s="326">
        <v>46053</v>
      </c>
      <c r="Q822" s="245">
        <f t="shared" ca="1" si="116"/>
        <v>72</v>
      </c>
    </row>
    <row r="823" spans="1:18" s="245" customFormat="1" hidden="1">
      <c r="A823" s="289">
        <f t="shared" si="120"/>
        <v>821</v>
      </c>
      <c r="B823" s="284">
        <v>45999</v>
      </c>
      <c r="C823" s="245" t="str">
        <f t="shared" si="121"/>
        <v>MP0821</v>
      </c>
      <c r="D823" s="246" t="s">
        <v>525</v>
      </c>
      <c r="E823" s="247">
        <v>300</v>
      </c>
      <c r="F823" s="247" t="s">
        <v>1567</v>
      </c>
      <c r="G823" s="247">
        <v>150</v>
      </c>
      <c r="H823" s="246">
        <f t="shared" si="117"/>
        <v>45000</v>
      </c>
      <c r="I823" s="245" t="s">
        <v>1036</v>
      </c>
      <c r="J823" s="246" t="s">
        <v>60</v>
      </c>
      <c r="K823" s="245" t="s">
        <v>1442</v>
      </c>
      <c r="L823" s="289"/>
      <c r="O823" s="245" t="s">
        <v>55</v>
      </c>
      <c r="P823" s="326">
        <v>46066</v>
      </c>
      <c r="Q823" s="245">
        <f t="shared" ca="1" si="116"/>
        <v>59</v>
      </c>
    </row>
    <row r="824" spans="1:18" s="245" customFormat="1" hidden="1">
      <c r="A824" s="289">
        <f t="shared" si="120"/>
        <v>822</v>
      </c>
      <c r="B824" s="284">
        <v>45999</v>
      </c>
      <c r="C824" s="245" t="str">
        <f t="shared" si="121"/>
        <v>MP0822</v>
      </c>
      <c r="D824" s="245" t="s">
        <v>1741</v>
      </c>
      <c r="E824" s="289">
        <v>2000</v>
      </c>
      <c r="F824" s="289" t="s">
        <v>1742</v>
      </c>
      <c r="G824" s="289">
        <v>18</v>
      </c>
      <c r="H824" s="246">
        <f t="shared" si="117"/>
        <v>36000</v>
      </c>
      <c r="I824" s="245" t="s">
        <v>1743</v>
      </c>
      <c r="J824" s="245" t="s">
        <v>930</v>
      </c>
      <c r="K824" s="245" t="s">
        <v>23</v>
      </c>
      <c r="L824" s="289"/>
      <c r="O824" s="245" t="s">
        <v>55</v>
      </c>
      <c r="P824" s="326">
        <v>46066</v>
      </c>
      <c r="Q824" s="245">
        <f t="shared" ca="1" si="116"/>
        <v>59</v>
      </c>
    </row>
    <row r="825" spans="1:18" s="245" customFormat="1" hidden="1">
      <c r="A825" s="289">
        <f t="shared" si="120"/>
        <v>823</v>
      </c>
      <c r="B825" s="284">
        <v>46001</v>
      </c>
      <c r="C825" s="245" t="str">
        <f t="shared" si="121"/>
        <v>MP0823</v>
      </c>
      <c r="D825" s="246" t="s">
        <v>155</v>
      </c>
      <c r="E825" s="247">
        <v>300</v>
      </c>
      <c r="F825" s="247" t="s">
        <v>1744</v>
      </c>
      <c r="G825" s="247">
        <v>125</v>
      </c>
      <c r="H825" s="246">
        <f t="shared" si="117"/>
        <v>37500</v>
      </c>
      <c r="I825" s="246" t="s">
        <v>66</v>
      </c>
      <c r="J825" s="246" t="s">
        <v>60</v>
      </c>
      <c r="K825" s="246" t="s">
        <v>26</v>
      </c>
      <c r="L825" s="248"/>
      <c r="M825" s="249" t="s">
        <v>1745</v>
      </c>
      <c r="N825" s="246"/>
      <c r="O825" s="246" t="s">
        <v>55</v>
      </c>
      <c r="P825" s="328">
        <v>46121</v>
      </c>
      <c r="Q825" s="246">
        <f t="shared" ca="1" si="116"/>
        <v>4</v>
      </c>
    </row>
    <row r="826" spans="1:18" s="245" customFormat="1" hidden="1">
      <c r="A826" s="289">
        <f t="shared" si="120"/>
        <v>824</v>
      </c>
      <c r="B826" s="284">
        <v>46001</v>
      </c>
      <c r="C826" s="245" t="str">
        <f t="shared" si="121"/>
        <v>MP0824</v>
      </c>
      <c r="D826" s="245" t="s">
        <v>1746</v>
      </c>
      <c r="E826" s="289">
        <v>2000</v>
      </c>
      <c r="F826" s="289" t="s">
        <v>1747</v>
      </c>
      <c r="G826" s="289">
        <v>18</v>
      </c>
      <c r="H826" s="246">
        <f t="shared" ref="H826" si="123">IF(G826="","",E826*G826)</f>
        <v>36000</v>
      </c>
      <c r="I826" s="245" t="s">
        <v>1748</v>
      </c>
      <c r="J826" s="245" t="s">
        <v>930</v>
      </c>
      <c r="K826" s="245" t="s">
        <v>23</v>
      </c>
      <c r="L826" s="289" t="s">
        <v>1749</v>
      </c>
      <c r="M826" s="511"/>
      <c r="N826" s="245" t="s">
        <v>620</v>
      </c>
      <c r="O826" s="245" t="s">
        <v>55</v>
      </c>
      <c r="P826" s="326">
        <v>46051</v>
      </c>
      <c r="Q826" s="245">
        <f t="shared" ca="1" si="116"/>
        <v>74</v>
      </c>
    </row>
    <row r="827" spans="1:18" s="245" customFormat="1" ht="30" hidden="1">
      <c r="A827" s="289">
        <f t="shared" si="120"/>
        <v>825</v>
      </c>
      <c r="B827" s="284">
        <v>46001</v>
      </c>
      <c r="C827" s="245" t="str">
        <f t="shared" si="121"/>
        <v>MP0825</v>
      </c>
      <c r="D827" s="245" t="s">
        <v>1750</v>
      </c>
      <c r="E827" s="289">
        <v>500</v>
      </c>
      <c r="F827" s="289" t="s">
        <v>1728</v>
      </c>
      <c r="G827" s="289">
        <v>120</v>
      </c>
      <c r="H827" s="246">
        <f t="shared" si="117"/>
        <v>60000</v>
      </c>
      <c r="I827" s="370" t="s">
        <v>1751</v>
      </c>
      <c r="J827" s="245" t="s">
        <v>609</v>
      </c>
      <c r="K827" s="245" t="s">
        <v>12</v>
      </c>
      <c r="L827" s="289"/>
      <c r="O827" s="245" t="s">
        <v>55</v>
      </c>
      <c r="P827" s="326">
        <v>46066</v>
      </c>
      <c r="Q827" s="245">
        <f t="shared" ca="1" si="116"/>
        <v>59</v>
      </c>
    </row>
    <row r="828" spans="1:18" s="245" customFormat="1" ht="30" hidden="1">
      <c r="A828" s="289">
        <f t="shared" si="120"/>
        <v>826</v>
      </c>
      <c r="B828" s="284">
        <v>46001</v>
      </c>
      <c r="C828" s="245" t="str">
        <f t="shared" si="121"/>
        <v>MP0826</v>
      </c>
      <c r="D828" s="245" t="s">
        <v>1752</v>
      </c>
      <c r="E828" s="289">
        <v>500</v>
      </c>
      <c r="F828" s="289" t="s">
        <v>1728</v>
      </c>
      <c r="G828" s="289">
        <v>120</v>
      </c>
      <c r="H828" s="246">
        <f t="shared" si="117"/>
        <v>60000</v>
      </c>
      <c r="I828" s="370" t="s">
        <v>1751</v>
      </c>
      <c r="J828" s="245" t="s">
        <v>609</v>
      </c>
      <c r="K828" s="245" t="s">
        <v>12</v>
      </c>
      <c r="L828" s="289"/>
      <c r="O828" s="245" t="s">
        <v>55</v>
      </c>
      <c r="P828" s="326">
        <v>46059</v>
      </c>
      <c r="Q828" s="245">
        <f t="shared" ca="1" si="116"/>
        <v>66</v>
      </c>
    </row>
    <row r="829" spans="1:18" s="250" customFormat="1" hidden="1">
      <c r="A829" s="270">
        <f t="shared" si="120"/>
        <v>827</v>
      </c>
      <c r="B829" s="296">
        <v>46002</v>
      </c>
      <c r="C829" s="250" t="str">
        <f t="shared" si="121"/>
        <v>MP0827</v>
      </c>
      <c r="D829" s="250" t="s">
        <v>1753</v>
      </c>
      <c r="E829" s="270">
        <v>1000</v>
      </c>
      <c r="F829" s="270" t="s">
        <v>1754</v>
      </c>
      <c r="G829" s="270">
        <v>29</v>
      </c>
      <c r="H829" s="252"/>
      <c r="I829" s="250" t="s">
        <v>1020</v>
      </c>
      <c r="J829" s="250" t="s">
        <v>782</v>
      </c>
      <c r="K829" s="250" t="s">
        <v>1289</v>
      </c>
      <c r="L829" s="270"/>
      <c r="M829" s="250" t="s">
        <v>1755</v>
      </c>
      <c r="O829" s="250" t="s">
        <v>370</v>
      </c>
      <c r="P829" s="308">
        <v>46034</v>
      </c>
      <c r="Q829" s="250">
        <f t="shared" ca="1" si="116"/>
        <v>91</v>
      </c>
    </row>
    <row r="830" spans="1:18" s="245" customFormat="1" hidden="1">
      <c r="A830" s="289">
        <f t="shared" si="120"/>
        <v>828</v>
      </c>
      <c r="B830" s="284">
        <v>46004</v>
      </c>
      <c r="C830" s="245" t="str">
        <f t="shared" si="121"/>
        <v>MP0828</v>
      </c>
      <c r="D830" s="245" t="s">
        <v>795</v>
      </c>
      <c r="E830" s="289">
        <v>2000</v>
      </c>
      <c r="F830" s="289">
        <v>120</v>
      </c>
      <c r="G830" s="289">
        <v>13</v>
      </c>
      <c r="H830" s="315">
        <f t="shared" si="117"/>
        <v>26000</v>
      </c>
      <c r="I830" s="245" t="s">
        <v>1496</v>
      </c>
      <c r="J830" s="245" t="s">
        <v>930</v>
      </c>
      <c r="K830" s="245" t="s">
        <v>23</v>
      </c>
      <c r="L830" s="289"/>
      <c r="M830" s="245" t="s">
        <v>1756</v>
      </c>
      <c r="O830" s="245" t="s">
        <v>55</v>
      </c>
      <c r="P830" s="326">
        <v>46076</v>
      </c>
      <c r="Q830" s="245">
        <f t="shared" ca="1" si="116"/>
        <v>49</v>
      </c>
    </row>
    <row r="831" spans="1:18" s="250" customFormat="1" hidden="1">
      <c r="A831" s="270">
        <f t="shared" si="120"/>
        <v>829</v>
      </c>
      <c r="B831" s="296">
        <v>46004</v>
      </c>
      <c r="C831" s="250" t="str">
        <f t="shared" si="121"/>
        <v>MP0829</v>
      </c>
      <c r="D831" s="250" t="s">
        <v>1757</v>
      </c>
      <c r="E831" s="270"/>
      <c r="F831" s="270"/>
      <c r="G831" s="270"/>
      <c r="H831" s="252" t="str">
        <f t="shared" si="117"/>
        <v/>
      </c>
      <c r="L831" s="270"/>
      <c r="O831" s="250" t="s">
        <v>370</v>
      </c>
      <c r="P831" s="308"/>
      <c r="Q831" s="250">
        <f t="shared" ca="1" si="116"/>
        <v>46125</v>
      </c>
    </row>
    <row r="832" spans="1:18" s="245" customFormat="1" hidden="1">
      <c r="A832" s="289">
        <f t="shared" si="120"/>
        <v>830</v>
      </c>
      <c r="B832" s="284">
        <v>46004</v>
      </c>
      <c r="C832" s="245" t="str">
        <f t="shared" si="121"/>
        <v>MP0830</v>
      </c>
      <c r="D832" s="315" t="s">
        <v>1336</v>
      </c>
      <c r="E832" s="337">
        <v>1200</v>
      </c>
      <c r="F832" s="337">
        <v>150</v>
      </c>
      <c r="G832" s="348">
        <v>26</v>
      </c>
      <c r="H832" s="315">
        <f t="shared" si="117"/>
        <v>31200</v>
      </c>
      <c r="I832" s="294" t="s">
        <v>1337</v>
      </c>
      <c r="J832" s="277" t="s">
        <v>628</v>
      </c>
      <c r="K832" s="277" t="s">
        <v>683</v>
      </c>
      <c r="L832" s="289"/>
      <c r="M832" s="245" t="s">
        <v>1069</v>
      </c>
      <c r="N832" s="245" t="s">
        <v>620</v>
      </c>
      <c r="O832" s="245" t="s">
        <v>55</v>
      </c>
      <c r="P832" s="326">
        <v>46037</v>
      </c>
      <c r="Q832" s="245">
        <f t="shared" ca="1" si="116"/>
        <v>88</v>
      </c>
    </row>
    <row r="833" spans="1:17" s="245" customFormat="1" hidden="1">
      <c r="A833" s="289">
        <f t="shared" si="120"/>
        <v>831</v>
      </c>
      <c r="B833" s="284">
        <v>46004</v>
      </c>
      <c r="C833" s="245" t="str">
        <f t="shared" si="121"/>
        <v>MP0831</v>
      </c>
      <c r="D833" s="315" t="s">
        <v>1329</v>
      </c>
      <c r="E833" s="289">
        <v>3000</v>
      </c>
      <c r="F833" s="337">
        <v>199</v>
      </c>
      <c r="G833" s="348">
        <v>16</v>
      </c>
      <c r="H833" s="315">
        <f t="shared" si="117"/>
        <v>48000</v>
      </c>
      <c r="I833" s="370" t="s">
        <v>1758</v>
      </c>
      <c r="J833" s="245" t="s">
        <v>930</v>
      </c>
      <c r="K833" s="245" t="s">
        <v>20</v>
      </c>
      <c r="L833" s="289"/>
      <c r="M833" s="245" t="s">
        <v>1730</v>
      </c>
      <c r="N833" s="245" t="s">
        <v>620</v>
      </c>
      <c r="O833" s="245" t="s">
        <v>55</v>
      </c>
      <c r="P833" s="326">
        <v>46076</v>
      </c>
      <c r="Q833" s="245">
        <f t="shared" ca="1" si="116"/>
        <v>49</v>
      </c>
    </row>
    <row r="834" spans="1:17" s="245" customFormat="1" hidden="1">
      <c r="A834" s="289">
        <f t="shared" si="120"/>
        <v>832</v>
      </c>
      <c r="B834" s="284">
        <v>46004</v>
      </c>
      <c r="C834" s="245" t="str">
        <f t="shared" si="121"/>
        <v>MP0832</v>
      </c>
      <c r="D834" s="245" t="s">
        <v>1759</v>
      </c>
      <c r="E834" s="289">
        <v>500</v>
      </c>
      <c r="F834" s="289" t="s">
        <v>1760</v>
      </c>
      <c r="G834" s="289">
        <v>78</v>
      </c>
      <c r="H834" s="246">
        <f t="shared" si="117"/>
        <v>39000</v>
      </c>
      <c r="I834" s="370" t="s">
        <v>1761</v>
      </c>
      <c r="J834" s="245" t="s">
        <v>609</v>
      </c>
      <c r="K834" s="245" t="s">
        <v>22</v>
      </c>
      <c r="L834" s="289"/>
      <c r="M834" s="245" t="s">
        <v>1762</v>
      </c>
      <c r="N834" s="245" t="s">
        <v>620</v>
      </c>
      <c r="O834" s="245" t="s">
        <v>55</v>
      </c>
      <c r="P834" s="326">
        <v>46057</v>
      </c>
      <c r="Q834" s="245">
        <f t="shared" ca="1" si="116"/>
        <v>68</v>
      </c>
    </row>
    <row r="835" spans="1:17" s="250" customFormat="1" ht="30" hidden="1">
      <c r="A835" s="270">
        <f t="shared" si="120"/>
        <v>833</v>
      </c>
      <c r="B835" s="296">
        <v>46004</v>
      </c>
      <c r="C835" s="250" t="str">
        <f t="shared" si="121"/>
        <v>MP0833</v>
      </c>
      <c r="D835" s="250" t="s">
        <v>1763</v>
      </c>
      <c r="E835" s="270">
        <v>2000</v>
      </c>
      <c r="F835" s="270"/>
      <c r="G835" s="270">
        <v>12.5</v>
      </c>
      <c r="H835" s="252">
        <v>0</v>
      </c>
      <c r="I835" s="333" t="s">
        <v>1764</v>
      </c>
      <c r="J835" s="250" t="s">
        <v>609</v>
      </c>
      <c r="L835" s="270"/>
      <c r="O835" s="250" t="s">
        <v>370</v>
      </c>
      <c r="P835" s="308"/>
      <c r="Q835" s="250">
        <f t="shared" ca="1" si="116"/>
        <v>46125</v>
      </c>
    </row>
    <row r="836" spans="1:17" s="245" customFormat="1" hidden="1">
      <c r="A836" s="289">
        <f t="shared" si="120"/>
        <v>834</v>
      </c>
      <c r="B836" s="284">
        <v>46006</v>
      </c>
      <c r="C836" s="245" t="str">
        <f t="shared" si="121"/>
        <v>MP0834</v>
      </c>
      <c r="D836" s="246" t="s">
        <v>941</v>
      </c>
      <c r="E836" s="247">
        <v>200</v>
      </c>
      <c r="F836" s="247" t="s">
        <v>1765</v>
      </c>
      <c r="G836" s="278">
        <v>270</v>
      </c>
      <c r="H836" s="246">
        <f t="shared" si="117"/>
        <v>54000</v>
      </c>
      <c r="I836" s="246" t="s">
        <v>942</v>
      </c>
      <c r="J836" s="246" t="s">
        <v>609</v>
      </c>
      <c r="K836" s="246" t="s">
        <v>4</v>
      </c>
      <c r="L836" s="248"/>
      <c r="O836" s="245" t="s">
        <v>55</v>
      </c>
      <c r="P836" s="326">
        <v>46043</v>
      </c>
      <c r="Q836" s="245">
        <f t="shared" ca="1" si="116"/>
        <v>82</v>
      </c>
    </row>
    <row r="837" spans="1:17" s="245" customFormat="1" hidden="1">
      <c r="A837" s="289">
        <f t="shared" si="120"/>
        <v>835</v>
      </c>
      <c r="B837" s="284">
        <v>46006</v>
      </c>
      <c r="C837" s="245" t="str">
        <f t="shared" si="121"/>
        <v>MP0835</v>
      </c>
      <c r="D837" s="245" t="s">
        <v>1766</v>
      </c>
      <c r="E837" s="289">
        <v>500</v>
      </c>
      <c r="F837" s="289" t="s">
        <v>1654</v>
      </c>
      <c r="G837" s="289">
        <v>135</v>
      </c>
      <c r="H837" s="246">
        <f t="shared" si="117"/>
        <v>67500</v>
      </c>
      <c r="I837" s="245" t="s">
        <v>1767</v>
      </c>
      <c r="J837" s="245" t="s">
        <v>609</v>
      </c>
      <c r="K837" s="245" t="s">
        <v>1442</v>
      </c>
      <c r="L837" s="289"/>
      <c r="M837" s="245" t="s">
        <v>1285</v>
      </c>
      <c r="N837" s="245" t="s">
        <v>620</v>
      </c>
      <c r="O837" s="245" t="s">
        <v>55</v>
      </c>
      <c r="P837" s="326">
        <v>46057</v>
      </c>
      <c r="Q837" s="245">
        <f t="shared" ca="1" si="116"/>
        <v>68</v>
      </c>
    </row>
    <row r="838" spans="1:17" s="245" customFormat="1" hidden="1">
      <c r="A838" s="289">
        <f t="shared" si="120"/>
        <v>836</v>
      </c>
      <c r="B838" s="284">
        <v>46006</v>
      </c>
      <c r="C838" s="245" t="str">
        <f t="shared" si="121"/>
        <v>MP0836</v>
      </c>
      <c r="D838" s="246" t="s">
        <v>902</v>
      </c>
      <c r="E838" s="247">
        <v>500</v>
      </c>
      <c r="F838" s="247" t="s">
        <v>1768</v>
      </c>
      <c r="G838" s="278">
        <v>47</v>
      </c>
      <c r="H838" s="246">
        <v>23500</v>
      </c>
      <c r="I838" s="246" t="s">
        <v>66</v>
      </c>
      <c r="J838" s="246" t="s">
        <v>60</v>
      </c>
      <c r="K838" s="246" t="s">
        <v>15</v>
      </c>
      <c r="L838" s="289"/>
      <c r="M838" s="245" t="s">
        <v>1769</v>
      </c>
      <c r="N838" s="245" t="s">
        <v>620</v>
      </c>
      <c r="O838" s="245" t="s">
        <v>55</v>
      </c>
      <c r="P838" s="326">
        <v>46039</v>
      </c>
      <c r="Q838" s="245">
        <f t="shared" ca="1" si="116"/>
        <v>86</v>
      </c>
    </row>
    <row r="839" spans="1:17" s="250" customFormat="1" hidden="1">
      <c r="A839" s="270">
        <f t="shared" si="120"/>
        <v>837</v>
      </c>
      <c r="B839" s="296">
        <v>46006</v>
      </c>
      <c r="C839" s="250" t="str">
        <f t="shared" si="121"/>
        <v>MP0837</v>
      </c>
      <c r="D839" s="250" t="s">
        <v>913</v>
      </c>
      <c r="E839" s="270">
        <v>3000</v>
      </c>
      <c r="F839" s="270">
        <v>110</v>
      </c>
      <c r="G839" s="270">
        <v>9</v>
      </c>
      <c r="H839" s="252">
        <f t="shared" ref="H839:H849" si="124">IF(G839="","",E839*G839)</f>
        <v>27000</v>
      </c>
      <c r="I839" s="250" t="s">
        <v>1104</v>
      </c>
      <c r="J839" s="250" t="s">
        <v>844</v>
      </c>
      <c r="K839" s="250" t="s">
        <v>1134</v>
      </c>
      <c r="L839" s="270"/>
      <c r="M839" s="250" t="s">
        <v>1770</v>
      </c>
      <c r="O839" s="250" t="s">
        <v>370</v>
      </c>
      <c r="P839" s="308">
        <v>46029</v>
      </c>
      <c r="Q839" s="250">
        <f t="shared" ca="1" si="116"/>
        <v>96</v>
      </c>
    </row>
    <row r="840" spans="1:17" s="245" customFormat="1" hidden="1">
      <c r="A840" s="289">
        <f t="shared" si="120"/>
        <v>838</v>
      </c>
      <c r="B840" s="284">
        <v>46006</v>
      </c>
      <c r="C840" s="245" t="str">
        <f t="shared" si="121"/>
        <v>MP0838</v>
      </c>
      <c r="D840" s="245" t="s">
        <v>1257</v>
      </c>
      <c r="E840" s="367">
        <v>3000</v>
      </c>
      <c r="F840" s="289">
        <v>56.25</v>
      </c>
      <c r="G840" s="289">
        <v>7.25</v>
      </c>
      <c r="H840" s="246">
        <f t="shared" si="124"/>
        <v>21750</v>
      </c>
      <c r="I840" s="245" t="s">
        <v>1256</v>
      </c>
      <c r="J840" s="245" t="s">
        <v>930</v>
      </c>
      <c r="K840" s="245" t="s">
        <v>22</v>
      </c>
      <c r="L840" s="289"/>
      <c r="M840" s="245" t="s">
        <v>1254</v>
      </c>
      <c r="O840" s="245" t="s">
        <v>55</v>
      </c>
      <c r="P840" s="326">
        <v>46033</v>
      </c>
      <c r="Q840" s="245">
        <f t="shared" ca="1" si="116"/>
        <v>92</v>
      </c>
    </row>
    <row r="841" spans="1:17" s="245" customFormat="1" hidden="1">
      <c r="A841" s="289">
        <f t="shared" si="120"/>
        <v>839</v>
      </c>
      <c r="B841" s="284">
        <v>46006</v>
      </c>
      <c r="C841" s="245" t="str">
        <f t="shared" si="121"/>
        <v>MP0839</v>
      </c>
      <c r="D841" s="245" t="s">
        <v>147</v>
      </c>
      <c r="E841" s="289">
        <v>500</v>
      </c>
      <c r="F841" s="289" t="s">
        <v>1771</v>
      </c>
      <c r="G841" s="289">
        <v>144</v>
      </c>
      <c r="H841" s="246">
        <f t="shared" si="124"/>
        <v>72000</v>
      </c>
      <c r="I841" s="245" t="s">
        <v>66</v>
      </c>
      <c r="J841" s="245" t="s">
        <v>87</v>
      </c>
      <c r="K841" s="245" t="s">
        <v>15</v>
      </c>
      <c r="L841" s="289"/>
      <c r="O841" s="245" t="s">
        <v>55</v>
      </c>
      <c r="P841" s="326">
        <v>46086</v>
      </c>
      <c r="Q841" s="245">
        <f t="shared" ca="1" si="116"/>
        <v>39</v>
      </c>
    </row>
    <row r="842" spans="1:17" s="250" customFormat="1" hidden="1">
      <c r="A842" s="270">
        <f t="shared" si="120"/>
        <v>840</v>
      </c>
      <c r="B842" s="296">
        <v>46006</v>
      </c>
      <c r="C842" s="250" t="str">
        <f t="shared" si="121"/>
        <v>MP0840</v>
      </c>
      <c r="D842" s="250" t="s">
        <v>1499</v>
      </c>
      <c r="E842" s="270">
        <v>300</v>
      </c>
      <c r="F842" s="270" t="s">
        <v>1772</v>
      </c>
      <c r="G842" s="270">
        <v>300</v>
      </c>
      <c r="H842" s="355">
        <v>0</v>
      </c>
      <c r="I842" s="250" t="s">
        <v>66</v>
      </c>
      <c r="J842" s="250" t="s">
        <v>60</v>
      </c>
      <c r="K842" s="250" t="s">
        <v>4</v>
      </c>
      <c r="L842" s="270"/>
      <c r="M842" s="250" t="s">
        <v>1500</v>
      </c>
      <c r="O842" s="252" t="s">
        <v>370</v>
      </c>
      <c r="P842" s="308"/>
      <c r="Q842" s="250">
        <f t="shared" ca="1" si="116"/>
        <v>46125</v>
      </c>
    </row>
    <row r="843" spans="1:17" s="245" customFormat="1" hidden="1">
      <c r="A843" s="289">
        <f t="shared" si="120"/>
        <v>841</v>
      </c>
      <c r="B843" s="284">
        <v>46006</v>
      </c>
      <c r="C843" s="245" t="str">
        <f t="shared" si="121"/>
        <v>MP0841</v>
      </c>
      <c r="D843" s="245" t="s">
        <v>1013</v>
      </c>
      <c r="E843" s="289">
        <v>300</v>
      </c>
      <c r="F843" s="289">
        <v>1450</v>
      </c>
      <c r="G843" s="289">
        <v>245</v>
      </c>
      <c r="H843" s="246">
        <f t="shared" si="124"/>
        <v>73500</v>
      </c>
      <c r="I843" s="245" t="s">
        <v>66</v>
      </c>
      <c r="J843" s="245" t="s">
        <v>609</v>
      </c>
      <c r="K843" s="245" t="s">
        <v>4</v>
      </c>
      <c r="L843" s="289"/>
      <c r="O843" s="245" t="s">
        <v>55</v>
      </c>
      <c r="P843" s="326">
        <v>46028</v>
      </c>
      <c r="Q843" s="245">
        <f t="shared" ca="1" si="116"/>
        <v>97</v>
      </c>
    </row>
    <row r="844" spans="1:17" s="245" customFormat="1" hidden="1">
      <c r="A844" s="289">
        <f t="shared" si="120"/>
        <v>842</v>
      </c>
      <c r="B844" s="284">
        <v>46006</v>
      </c>
      <c r="C844" s="245" t="str">
        <f t="shared" si="121"/>
        <v>MP0842</v>
      </c>
      <c r="D844" s="279" t="s">
        <v>474</v>
      </c>
      <c r="E844" s="289">
        <v>300</v>
      </c>
      <c r="F844" s="289">
        <v>2340</v>
      </c>
      <c r="G844" s="289">
        <v>115</v>
      </c>
      <c r="H844" s="315">
        <f t="shared" si="124"/>
        <v>34500</v>
      </c>
      <c r="I844" s="245" t="s">
        <v>125</v>
      </c>
      <c r="J844" s="245" t="s">
        <v>87</v>
      </c>
      <c r="K844" s="245" t="s">
        <v>2</v>
      </c>
      <c r="L844" s="289"/>
      <c r="O844" s="245" t="s">
        <v>55</v>
      </c>
      <c r="P844" s="326">
        <v>46040</v>
      </c>
      <c r="Q844" s="245">
        <f t="shared" ca="1" si="116"/>
        <v>85</v>
      </c>
    </row>
    <row r="845" spans="1:17" s="245" customFormat="1" hidden="1">
      <c r="A845" s="289">
        <f t="shared" si="120"/>
        <v>843</v>
      </c>
      <c r="B845" s="284">
        <v>46006</v>
      </c>
      <c r="C845" s="245" t="str">
        <f t="shared" si="121"/>
        <v>MP0843</v>
      </c>
      <c r="D845" s="246" t="s">
        <v>376</v>
      </c>
      <c r="E845" s="247">
        <v>500</v>
      </c>
      <c r="F845" s="247" t="s">
        <v>1773</v>
      </c>
      <c r="G845" s="247">
        <v>72</v>
      </c>
      <c r="H845" s="246">
        <f t="shared" si="124"/>
        <v>36000</v>
      </c>
      <c r="I845" s="246" t="s">
        <v>66</v>
      </c>
      <c r="J845" s="246" t="s">
        <v>60</v>
      </c>
      <c r="K845" s="246" t="s">
        <v>22</v>
      </c>
      <c r="L845" s="248"/>
      <c r="M845" s="249"/>
      <c r="O845" s="245" t="s">
        <v>55</v>
      </c>
      <c r="P845" s="326">
        <v>46057</v>
      </c>
      <c r="Q845" s="245">
        <f t="shared" ca="1" si="116"/>
        <v>68</v>
      </c>
    </row>
    <row r="846" spans="1:17" s="245" customFormat="1" hidden="1">
      <c r="A846" s="289">
        <f t="shared" si="120"/>
        <v>844</v>
      </c>
      <c r="B846" s="284">
        <v>46006</v>
      </c>
      <c r="C846" s="245" t="str">
        <f t="shared" si="121"/>
        <v>MP0844</v>
      </c>
      <c r="D846" s="246" t="s">
        <v>970</v>
      </c>
      <c r="E846" s="247">
        <v>300</v>
      </c>
      <c r="F846" s="247" t="s">
        <v>1475</v>
      </c>
      <c r="G846" s="278">
        <v>115</v>
      </c>
      <c r="H846" s="246">
        <f t="shared" si="124"/>
        <v>34500</v>
      </c>
      <c r="I846" s="246" t="s">
        <v>971</v>
      </c>
      <c r="J846" s="246" t="s">
        <v>113</v>
      </c>
      <c r="K846" s="246" t="s">
        <v>2</v>
      </c>
      <c r="L846" s="289"/>
      <c r="O846" s="245" t="s">
        <v>55</v>
      </c>
      <c r="P846" s="326">
        <v>46049</v>
      </c>
      <c r="Q846" s="245">
        <f t="shared" ca="1" si="116"/>
        <v>76</v>
      </c>
    </row>
    <row r="847" spans="1:17" s="245" customFormat="1" hidden="1">
      <c r="A847" s="289">
        <f t="shared" si="120"/>
        <v>845</v>
      </c>
      <c r="B847" s="284">
        <v>46006</v>
      </c>
      <c r="C847" s="245" t="str">
        <f t="shared" si="121"/>
        <v>MP0845</v>
      </c>
      <c r="D847" s="246" t="s">
        <v>199</v>
      </c>
      <c r="E847" s="247">
        <v>500</v>
      </c>
      <c r="F847" s="247" t="s">
        <v>1774</v>
      </c>
      <c r="G847" s="247">
        <v>50</v>
      </c>
      <c r="H847" s="246">
        <f t="shared" si="124"/>
        <v>25000</v>
      </c>
      <c r="I847" s="246" t="s">
        <v>66</v>
      </c>
      <c r="J847" s="246" t="s">
        <v>60</v>
      </c>
      <c r="K847" s="246" t="s">
        <v>15</v>
      </c>
      <c r="L847" s="248"/>
      <c r="M847" s="249" t="s">
        <v>148</v>
      </c>
      <c r="N847" s="246" t="s">
        <v>200</v>
      </c>
      <c r="O847" s="245" t="s">
        <v>55</v>
      </c>
      <c r="P847" s="326">
        <v>46043</v>
      </c>
      <c r="Q847" s="245">
        <f t="shared" ca="1" si="116"/>
        <v>82</v>
      </c>
    </row>
    <row r="848" spans="1:17" s="245" customFormat="1" hidden="1">
      <c r="A848" s="289">
        <f t="shared" si="120"/>
        <v>846</v>
      </c>
      <c r="B848" s="284">
        <v>46006</v>
      </c>
      <c r="C848" s="245" t="str">
        <f t="shared" si="121"/>
        <v>MP0846</v>
      </c>
      <c r="D848" s="246" t="s">
        <v>205</v>
      </c>
      <c r="E848" s="247">
        <v>500</v>
      </c>
      <c r="F848" s="247" t="s">
        <v>1688</v>
      </c>
      <c r="G848" s="247">
        <v>65</v>
      </c>
      <c r="H848" s="246">
        <f t="shared" si="124"/>
        <v>32500</v>
      </c>
      <c r="I848" s="246" t="s">
        <v>66</v>
      </c>
      <c r="J848" s="246" t="s">
        <v>60</v>
      </c>
      <c r="K848" s="246" t="s">
        <v>12</v>
      </c>
      <c r="L848" s="248"/>
      <c r="O848" s="245" t="s">
        <v>55</v>
      </c>
      <c r="P848" s="326">
        <v>46053</v>
      </c>
      <c r="Q848" s="245">
        <f t="shared" ca="1" si="116"/>
        <v>72</v>
      </c>
    </row>
    <row r="849" spans="1:17" s="245" customFormat="1" hidden="1">
      <c r="A849" s="289">
        <f t="shared" si="120"/>
        <v>847</v>
      </c>
      <c r="B849" s="284">
        <v>46006</v>
      </c>
      <c r="C849" s="245" t="str">
        <f t="shared" si="121"/>
        <v>MP0847</v>
      </c>
      <c r="D849" s="249" t="s">
        <v>818</v>
      </c>
      <c r="E849" s="247">
        <v>5000</v>
      </c>
      <c r="F849" s="247" t="s">
        <v>1775</v>
      </c>
      <c r="G849" s="247">
        <v>24</v>
      </c>
      <c r="H849" s="246">
        <f t="shared" si="124"/>
        <v>120000</v>
      </c>
      <c r="I849" s="246" t="s">
        <v>480</v>
      </c>
      <c r="J849" s="246" t="s">
        <v>265</v>
      </c>
      <c r="K849" s="246" t="s">
        <v>24</v>
      </c>
      <c r="L849" s="248"/>
      <c r="M849" s="249" t="s">
        <v>1776</v>
      </c>
      <c r="N849" s="246" t="s">
        <v>133</v>
      </c>
      <c r="O849" s="246" t="s">
        <v>55</v>
      </c>
      <c r="P849" s="328">
        <v>46088</v>
      </c>
      <c r="Q849" s="246">
        <f t="shared" ca="1" si="116"/>
        <v>37</v>
      </c>
    </row>
    <row r="850" spans="1:17" s="245" customFormat="1" hidden="1">
      <c r="A850" s="289">
        <f t="shared" si="120"/>
        <v>848</v>
      </c>
      <c r="B850" s="284">
        <v>46006</v>
      </c>
      <c r="C850" s="245" t="str">
        <f t="shared" si="121"/>
        <v>MP0848</v>
      </c>
      <c r="D850" s="245" t="s">
        <v>1777</v>
      </c>
      <c r="E850" s="289">
        <v>3000</v>
      </c>
      <c r="F850" s="289">
        <v>70</v>
      </c>
      <c r="G850" s="289">
        <v>9</v>
      </c>
      <c r="H850" s="246">
        <f t="shared" ref="H850:H913" si="125">IF(G850="","",E850*G850)</f>
        <v>27000</v>
      </c>
      <c r="I850" s="246" t="s">
        <v>1778</v>
      </c>
      <c r="J850" s="245" t="s">
        <v>930</v>
      </c>
      <c r="K850" s="245" t="s">
        <v>22</v>
      </c>
      <c r="L850" s="289"/>
      <c r="N850" s="245" t="s">
        <v>620</v>
      </c>
      <c r="O850" s="245" t="s">
        <v>55</v>
      </c>
      <c r="P850" s="326">
        <v>46064</v>
      </c>
      <c r="Q850" s="245">
        <f t="shared" ca="1" si="116"/>
        <v>61</v>
      </c>
    </row>
    <row r="851" spans="1:17" s="245" customFormat="1" hidden="1">
      <c r="A851" s="289">
        <f t="shared" si="120"/>
        <v>849</v>
      </c>
      <c r="B851" s="284">
        <v>46006</v>
      </c>
      <c r="C851" s="245" t="str">
        <f t="shared" si="121"/>
        <v>MP0849</v>
      </c>
      <c r="D851" s="246" t="s">
        <v>354</v>
      </c>
      <c r="E851" s="247">
        <v>5000</v>
      </c>
      <c r="F851" s="247">
        <v>75</v>
      </c>
      <c r="G851" s="278">
        <v>9.3000000000000007</v>
      </c>
      <c r="H851" s="246">
        <f t="shared" si="125"/>
        <v>46500</v>
      </c>
      <c r="I851" s="246" t="s">
        <v>1778</v>
      </c>
      <c r="J851" s="246" t="s">
        <v>265</v>
      </c>
      <c r="K851" s="245" t="s">
        <v>22</v>
      </c>
      <c r="L851" s="289"/>
      <c r="O851" s="245" t="s">
        <v>55</v>
      </c>
      <c r="P851" s="326">
        <v>46066</v>
      </c>
      <c r="Q851" s="245">
        <f t="shared" ca="1" si="116"/>
        <v>59</v>
      </c>
    </row>
    <row r="852" spans="1:17" s="250" customFormat="1" hidden="1">
      <c r="A852" s="270">
        <f t="shared" si="120"/>
        <v>850</v>
      </c>
      <c r="B852" s="296">
        <v>46006</v>
      </c>
      <c r="C852" s="250" t="str">
        <f t="shared" si="121"/>
        <v>MP0850</v>
      </c>
      <c r="D852" s="250" t="s">
        <v>1779</v>
      </c>
      <c r="E852" s="231">
        <v>5000</v>
      </c>
      <c r="F852" s="270">
        <v>135</v>
      </c>
      <c r="G852" s="270">
        <v>12</v>
      </c>
      <c r="H852" s="252" t="s">
        <v>213</v>
      </c>
      <c r="I852" s="250" t="s">
        <v>1780</v>
      </c>
      <c r="J852" s="250" t="s">
        <v>930</v>
      </c>
      <c r="K852" s="250" t="s">
        <v>1289</v>
      </c>
      <c r="L852" s="270"/>
      <c r="N852" s="250" t="s">
        <v>620</v>
      </c>
      <c r="O852" s="250" t="s">
        <v>370</v>
      </c>
      <c r="P852" s="308">
        <v>46094</v>
      </c>
      <c r="Q852" s="250">
        <f t="shared" ca="1" si="116"/>
        <v>31</v>
      </c>
    </row>
    <row r="853" spans="1:17" s="245" customFormat="1" hidden="1">
      <c r="A853" s="289">
        <f t="shared" si="120"/>
        <v>851</v>
      </c>
      <c r="B853" s="284">
        <v>46006</v>
      </c>
      <c r="C853" s="245" t="str">
        <f t="shared" si="121"/>
        <v>MP0851</v>
      </c>
      <c r="D853" s="245" t="s">
        <v>1781</v>
      </c>
      <c r="E853" s="289">
        <v>300</v>
      </c>
      <c r="F853" s="289" t="s">
        <v>806</v>
      </c>
      <c r="G853" s="289">
        <v>85</v>
      </c>
      <c r="H853" s="246">
        <f t="shared" si="125"/>
        <v>25500</v>
      </c>
      <c r="I853" s="245" t="s">
        <v>365</v>
      </c>
      <c r="J853" s="277" t="s">
        <v>100</v>
      </c>
      <c r="K853" s="245" t="s">
        <v>2</v>
      </c>
      <c r="L853" s="289"/>
      <c r="O853" s="245" t="s">
        <v>55</v>
      </c>
      <c r="P853" s="326">
        <v>46059</v>
      </c>
      <c r="Q853" s="245">
        <f t="shared" ca="1" si="116"/>
        <v>66</v>
      </c>
    </row>
    <row r="854" spans="1:17" s="245" customFormat="1" hidden="1">
      <c r="A854" s="289">
        <f t="shared" si="120"/>
        <v>852</v>
      </c>
      <c r="B854" s="284">
        <v>46009</v>
      </c>
      <c r="C854" s="245" t="str">
        <f t="shared" si="121"/>
        <v>MP0852</v>
      </c>
      <c r="D854" s="245" t="s">
        <v>1782</v>
      </c>
      <c r="E854" s="289">
        <v>300</v>
      </c>
      <c r="F854" s="289" t="s">
        <v>1783</v>
      </c>
      <c r="G854" s="289">
        <v>425</v>
      </c>
      <c r="H854" s="246">
        <f t="shared" si="125"/>
        <v>127500</v>
      </c>
      <c r="I854" s="245" t="s">
        <v>1784</v>
      </c>
      <c r="J854" s="245" t="s">
        <v>609</v>
      </c>
      <c r="K854" s="245" t="s">
        <v>16</v>
      </c>
      <c r="L854" s="289"/>
      <c r="O854" s="245" t="s">
        <v>55</v>
      </c>
      <c r="P854" s="326">
        <v>46071</v>
      </c>
      <c r="Q854" s="245">
        <f t="shared" ca="1" si="116"/>
        <v>54</v>
      </c>
    </row>
    <row r="855" spans="1:17" s="245" customFormat="1" hidden="1">
      <c r="A855" s="289">
        <f t="shared" si="120"/>
        <v>853</v>
      </c>
      <c r="B855" s="284">
        <v>46006</v>
      </c>
      <c r="C855" s="245" t="str">
        <f t="shared" si="121"/>
        <v>MP0853</v>
      </c>
      <c r="D855" s="245" t="s">
        <v>1427</v>
      </c>
      <c r="E855" s="289">
        <v>1000</v>
      </c>
      <c r="F855" s="289" t="s">
        <v>1785</v>
      </c>
      <c r="G855" s="289">
        <v>38</v>
      </c>
      <c r="H855" s="246">
        <f t="shared" si="125"/>
        <v>38000</v>
      </c>
      <c r="I855" s="245" t="s">
        <v>1428</v>
      </c>
      <c r="J855" s="245" t="s">
        <v>1429</v>
      </c>
      <c r="K855" s="245" t="s">
        <v>1156</v>
      </c>
      <c r="L855" s="289"/>
      <c r="O855" s="245" t="s">
        <v>55</v>
      </c>
      <c r="P855" s="326">
        <v>46109</v>
      </c>
      <c r="Q855" s="245">
        <f t="shared" ca="1" si="116"/>
        <v>16</v>
      </c>
    </row>
    <row r="856" spans="1:17" s="245" customFormat="1" hidden="1">
      <c r="A856" s="289">
        <f t="shared" si="120"/>
        <v>854</v>
      </c>
      <c r="B856" s="284">
        <v>46009</v>
      </c>
      <c r="C856" s="245" t="str">
        <f t="shared" si="121"/>
        <v>MP0854</v>
      </c>
      <c r="D856" s="245" t="s">
        <v>1786</v>
      </c>
      <c r="E856" s="289">
        <v>300</v>
      </c>
      <c r="F856" s="289" t="s">
        <v>1787</v>
      </c>
      <c r="G856" s="289">
        <v>112</v>
      </c>
      <c r="H856" s="246">
        <f t="shared" si="125"/>
        <v>33600</v>
      </c>
      <c r="I856" s="245" t="s">
        <v>1788</v>
      </c>
      <c r="J856" s="245" t="s">
        <v>609</v>
      </c>
      <c r="K856" s="245" t="s">
        <v>1525</v>
      </c>
      <c r="L856" s="289"/>
      <c r="O856" s="245" t="s">
        <v>55</v>
      </c>
      <c r="P856" s="326">
        <v>46121</v>
      </c>
      <c r="Q856" s="245">
        <f t="shared" ca="1" si="116"/>
        <v>4</v>
      </c>
    </row>
    <row r="857" spans="1:17" s="245" customFormat="1" hidden="1">
      <c r="A857" s="289">
        <f t="shared" si="120"/>
        <v>855</v>
      </c>
      <c r="B857" s="284">
        <v>46053</v>
      </c>
      <c r="C857" s="245" t="str">
        <f t="shared" si="121"/>
        <v>MP0855</v>
      </c>
      <c r="D857" s="246" t="s">
        <v>801</v>
      </c>
      <c r="E857" s="247">
        <v>6000</v>
      </c>
      <c r="F857" s="247">
        <v>111</v>
      </c>
      <c r="G857" s="247">
        <v>11.1</v>
      </c>
      <c r="H857" s="246">
        <f t="shared" si="125"/>
        <v>66600</v>
      </c>
      <c r="I857" s="246" t="s">
        <v>237</v>
      </c>
      <c r="J857" s="246" t="s">
        <v>265</v>
      </c>
      <c r="K857" s="246" t="s">
        <v>22</v>
      </c>
      <c r="L857" s="248"/>
      <c r="M857" s="249" t="s">
        <v>1789</v>
      </c>
      <c r="N857" s="246"/>
      <c r="O857" s="246" t="s">
        <v>55</v>
      </c>
      <c r="P857" s="328">
        <v>46109</v>
      </c>
      <c r="Q857" s="246">
        <f t="shared" ca="1" si="116"/>
        <v>16</v>
      </c>
    </row>
    <row r="858" spans="1:17" s="245" customFormat="1" ht="45" hidden="1">
      <c r="A858" s="289">
        <f t="shared" si="120"/>
        <v>856</v>
      </c>
      <c r="B858" s="284">
        <v>46011</v>
      </c>
      <c r="C858" s="245" t="str">
        <f t="shared" si="121"/>
        <v>MP0856</v>
      </c>
      <c r="D858" s="245" t="s">
        <v>1790</v>
      </c>
      <c r="E858" s="289">
        <v>3000</v>
      </c>
      <c r="F858" s="289">
        <v>165</v>
      </c>
      <c r="G858" s="289">
        <v>6.75</v>
      </c>
      <c r="H858" s="246">
        <f t="shared" si="125"/>
        <v>20250</v>
      </c>
      <c r="I858" s="370" t="s">
        <v>1791</v>
      </c>
      <c r="J858" s="245" t="s">
        <v>1792</v>
      </c>
      <c r="K858" s="245" t="s">
        <v>1134</v>
      </c>
      <c r="L858" s="289"/>
      <c r="N858" s="245" t="s">
        <v>620</v>
      </c>
      <c r="O858" s="245" t="s">
        <v>55</v>
      </c>
      <c r="P858" s="326">
        <v>46076</v>
      </c>
      <c r="Q858" s="245">
        <f t="shared" ca="1" si="116"/>
        <v>49</v>
      </c>
    </row>
    <row r="859" spans="1:17" s="245" customFormat="1" ht="45" hidden="1">
      <c r="A859" s="289">
        <f t="shared" si="120"/>
        <v>857</v>
      </c>
      <c r="B859" s="284">
        <v>46011</v>
      </c>
      <c r="C859" s="245" t="str">
        <f t="shared" si="121"/>
        <v>MP0857</v>
      </c>
      <c r="D859" s="245" t="s">
        <v>1793</v>
      </c>
      <c r="E859" s="289">
        <v>3000</v>
      </c>
      <c r="F859" s="289">
        <v>160</v>
      </c>
      <c r="G859" s="289">
        <v>8.5</v>
      </c>
      <c r="H859" s="246">
        <f t="shared" si="125"/>
        <v>25500</v>
      </c>
      <c r="I859" s="370" t="s">
        <v>1794</v>
      </c>
      <c r="J859" s="245" t="s">
        <v>1792</v>
      </c>
      <c r="K859" s="245" t="s">
        <v>1134</v>
      </c>
      <c r="L859" s="289"/>
      <c r="N859" s="245" t="s">
        <v>620</v>
      </c>
      <c r="O859" s="245" t="s">
        <v>55</v>
      </c>
      <c r="P859" s="326">
        <v>46119</v>
      </c>
      <c r="Q859" s="245">
        <f t="shared" ca="1" si="116"/>
        <v>6</v>
      </c>
    </row>
    <row r="860" spans="1:17" s="245" customFormat="1" ht="29.25" hidden="1">
      <c r="A860" s="289">
        <f t="shared" si="120"/>
        <v>858</v>
      </c>
      <c r="B860" s="284">
        <v>46011</v>
      </c>
      <c r="C860" s="245" t="str">
        <f t="shared" si="121"/>
        <v>MP0858</v>
      </c>
      <c r="D860" s="245" t="s">
        <v>1795</v>
      </c>
      <c r="E860" s="289">
        <v>1000</v>
      </c>
      <c r="F860" s="289">
        <v>327</v>
      </c>
      <c r="G860" s="289">
        <v>60</v>
      </c>
      <c r="H860" s="246">
        <f t="shared" si="125"/>
        <v>60000</v>
      </c>
      <c r="I860" s="460" t="s">
        <v>1796</v>
      </c>
      <c r="J860" s="245" t="s">
        <v>782</v>
      </c>
      <c r="K860" s="245" t="s">
        <v>1171</v>
      </c>
      <c r="L860" s="289"/>
      <c r="N860" s="245" t="s">
        <v>620</v>
      </c>
      <c r="O860" s="245" t="s">
        <v>55</v>
      </c>
      <c r="P860" s="326">
        <v>46090</v>
      </c>
      <c r="Q860" s="245">
        <f t="shared" ca="1" si="116"/>
        <v>35</v>
      </c>
    </row>
    <row r="861" spans="1:17" s="245" customFormat="1" hidden="1">
      <c r="A861" s="289">
        <f t="shared" si="120"/>
        <v>859</v>
      </c>
      <c r="B861" s="284">
        <v>46011</v>
      </c>
      <c r="C861" s="245" t="str">
        <f t="shared" si="121"/>
        <v>MP0859</v>
      </c>
      <c r="D861" s="317" t="s">
        <v>1797</v>
      </c>
      <c r="E861" s="289">
        <v>500</v>
      </c>
      <c r="F861" s="289" t="s">
        <v>1732</v>
      </c>
      <c r="G861" s="289">
        <v>45</v>
      </c>
      <c r="H861" s="246">
        <f t="shared" si="125"/>
        <v>22500</v>
      </c>
      <c r="I861" s="245" t="s">
        <v>1798</v>
      </c>
      <c r="J861" s="245" t="s">
        <v>609</v>
      </c>
      <c r="K861" s="245" t="s">
        <v>1442</v>
      </c>
      <c r="L861" s="289"/>
      <c r="N861" s="245" t="s">
        <v>620</v>
      </c>
      <c r="O861" s="245" t="s">
        <v>55</v>
      </c>
      <c r="P861" s="326">
        <v>46066</v>
      </c>
      <c r="Q861" s="245">
        <f t="shared" ca="1" si="116"/>
        <v>59</v>
      </c>
    </row>
    <row r="862" spans="1:17" s="245" customFormat="1" ht="30" hidden="1">
      <c r="A862" s="289">
        <f t="shared" si="120"/>
        <v>860</v>
      </c>
      <c r="B862" s="284">
        <v>46013</v>
      </c>
      <c r="C862" s="245" t="str">
        <f t="shared" si="121"/>
        <v>MP0860</v>
      </c>
      <c r="D862" s="245" t="s">
        <v>1799</v>
      </c>
      <c r="E862" s="289">
        <v>500</v>
      </c>
      <c r="F862" s="289" t="s">
        <v>1728</v>
      </c>
      <c r="G862" s="289">
        <v>110</v>
      </c>
      <c r="H862" s="246">
        <f t="shared" si="125"/>
        <v>55000</v>
      </c>
      <c r="I862" s="370" t="s">
        <v>1800</v>
      </c>
      <c r="J862" s="245" t="s">
        <v>609</v>
      </c>
      <c r="K862" s="245" t="s">
        <v>1442</v>
      </c>
      <c r="L862" s="289"/>
      <c r="M862" s="245" t="s">
        <v>1801</v>
      </c>
      <c r="N862" s="245" t="s">
        <v>620</v>
      </c>
      <c r="O862" s="245" t="s">
        <v>55</v>
      </c>
      <c r="P862" s="326">
        <v>46057</v>
      </c>
      <c r="Q862" s="245">
        <f t="shared" ca="1" si="116"/>
        <v>68</v>
      </c>
    </row>
    <row r="863" spans="1:17" s="245" customFormat="1" hidden="1">
      <c r="A863" s="289">
        <f t="shared" si="120"/>
        <v>861</v>
      </c>
      <c r="B863" s="284">
        <v>46013</v>
      </c>
      <c r="C863" s="245" t="str">
        <f t="shared" si="121"/>
        <v>MP0861</v>
      </c>
      <c r="D863" s="317" t="s">
        <v>1802</v>
      </c>
      <c r="E863" s="289">
        <v>500</v>
      </c>
      <c r="F863" s="289" t="s">
        <v>1732</v>
      </c>
      <c r="G863" s="289">
        <v>45</v>
      </c>
      <c r="H863" s="246">
        <f t="shared" ref="H863" si="126">IF(G863="","",E863*G863)</f>
        <v>22500</v>
      </c>
      <c r="I863" s="245" t="s">
        <v>1798</v>
      </c>
      <c r="J863" s="245" t="s">
        <v>609</v>
      </c>
      <c r="K863" s="245" t="s">
        <v>1442</v>
      </c>
      <c r="L863" s="289"/>
      <c r="O863" s="245" t="s">
        <v>55</v>
      </c>
      <c r="P863" s="326">
        <v>46076</v>
      </c>
      <c r="Q863" s="245">
        <f t="shared" ca="1" si="116"/>
        <v>49</v>
      </c>
    </row>
    <row r="864" spans="1:17" s="245" customFormat="1" hidden="1">
      <c r="A864" s="289">
        <f t="shared" si="120"/>
        <v>862</v>
      </c>
      <c r="B864" s="284">
        <v>46014</v>
      </c>
      <c r="C864" s="245" t="str">
        <f t="shared" si="121"/>
        <v>MP0862</v>
      </c>
      <c r="D864" s="245" t="s">
        <v>1803</v>
      </c>
      <c r="E864" s="289">
        <v>5000</v>
      </c>
      <c r="F864" s="289" t="s">
        <v>1804</v>
      </c>
      <c r="G864" s="289">
        <v>12</v>
      </c>
      <c r="H864" s="246">
        <f t="shared" si="125"/>
        <v>60000</v>
      </c>
      <c r="I864" s="245" t="s">
        <v>1805</v>
      </c>
      <c r="J864" s="245" t="s">
        <v>634</v>
      </c>
      <c r="K864" s="245" t="s">
        <v>1459</v>
      </c>
      <c r="L864" s="289"/>
      <c r="O864" s="245" t="s">
        <v>55</v>
      </c>
      <c r="P864" s="326">
        <v>46090</v>
      </c>
      <c r="Q864" s="245">
        <f t="shared" ca="1" si="116"/>
        <v>35</v>
      </c>
    </row>
    <row r="865" spans="1:17" s="210" customFormat="1" ht="45" hidden="1">
      <c r="A865" s="264">
        <f t="shared" si="120"/>
        <v>863</v>
      </c>
      <c r="B865" s="225">
        <v>46014</v>
      </c>
      <c r="C865" s="210" t="str">
        <f t="shared" si="121"/>
        <v>MP0863</v>
      </c>
      <c r="D865" s="210" t="s">
        <v>1806</v>
      </c>
      <c r="E865" s="264">
        <v>3000</v>
      </c>
      <c r="F865" s="264">
        <v>160</v>
      </c>
      <c r="G865" s="264">
        <v>8.5</v>
      </c>
      <c r="H865" s="209">
        <f t="shared" ref="H865" si="127">IF(G865="","",E865*G865)</f>
        <v>25500</v>
      </c>
      <c r="I865" s="336" t="s">
        <v>1794</v>
      </c>
      <c r="J865" s="210" t="s">
        <v>1792</v>
      </c>
      <c r="K865" s="210" t="s">
        <v>1134</v>
      </c>
      <c r="L865" s="264"/>
      <c r="O865" s="210" t="s">
        <v>135</v>
      </c>
      <c r="P865" s="320">
        <v>46028</v>
      </c>
      <c r="Q865" s="210">
        <f t="shared" ca="1" si="116"/>
        <v>97</v>
      </c>
    </row>
    <row r="866" spans="1:17" s="245" customFormat="1" ht="45" hidden="1">
      <c r="A866" s="289">
        <f t="shared" si="120"/>
        <v>864</v>
      </c>
      <c r="B866" s="284">
        <v>46014</v>
      </c>
      <c r="C866" s="245" t="str">
        <f t="shared" si="121"/>
        <v>MP0864</v>
      </c>
      <c r="D866" s="245" t="s">
        <v>1807</v>
      </c>
      <c r="E866" s="289">
        <v>500</v>
      </c>
      <c r="F866" s="289" t="s">
        <v>1808</v>
      </c>
      <c r="G866" s="289">
        <v>180</v>
      </c>
      <c r="H866" s="246">
        <f t="shared" si="125"/>
        <v>90000</v>
      </c>
      <c r="I866" s="370" t="s">
        <v>1809</v>
      </c>
      <c r="J866" s="245" t="s">
        <v>937</v>
      </c>
      <c r="K866" s="245" t="s">
        <v>12</v>
      </c>
      <c r="L866" s="289"/>
      <c r="M866" s="245" t="s">
        <v>1810</v>
      </c>
      <c r="N866" s="245" t="s">
        <v>1244</v>
      </c>
      <c r="O866" s="245" t="s">
        <v>55</v>
      </c>
      <c r="P866" s="326">
        <v>46094</v>
      </c>
      <c r="Q866" s="245">
        <f t="shared" ca="1" si="116"/>
        <v>31</v>
      </c>
    </row>
    <row r="867" spans="1:17" s="245" customFormat="1" ht="45" hidden="1">
      <c r="A867" s="289">
        <f t="shared" si="120"/>
        <v>865</v>
      </c>
      <c r="B867" s="284">
        <v>46014</v>
      </c>
      <c r="C867" s="245" t="str">
        <f t="shared" si="121"/>
        <v>MP0865</v>
      </c>
      <c r="D867" s="245" t="s">
        <v>1811</v>
      </c>
      <c r="E867" s="289">
        <v>500</v>
      </c>
      <c r="F867" s="289" t="s">
        <v>1808</v>
      </c>
      <c r="G867" s="289">
        <v>160</v>
      </c>
      <c r="H867" s="246">
        <f t="shared" si="125"/>
        <v>80000</v>
      </c>
      <c r="I867" s="370" t="s">
        <v>1812</v>
      </c>
      <c r="J867" s="245" t="s">
        <v>937</v>
      </c>
      <c r="K867" s="245" t="s">
        <v>12</v>
      </c>
      <c r="L867" s="289"/>
      <c r="M867" s="245" t="s">
        <v>1810</v>
      </c>
      <c r="N867" s="245" t="s">
        <v>1244</v>
      </c>
      <c r="O867" s="245" t="s">
        <v>55</v>
      </c>
      <c r="P867" s="326">
        <v>46064</v>
      </c>
      <c r="Q867" s="245">
        <f t="shared" ca="1" si="116"/>
        <v>61</v>
      </c>
    </row>
    <row r="868" spans="1:17" s="214" customFormat="1" ht="15.75" hidden="1">
      <c r="A868" s="282">
        <f t="shared" si="120"/>
        <v>866</v>
      </c>
      <c r="B868" s="286">
        <v>46014</v>
      </c>
      <c r="C868" s="214" t="str">
        <f t="shared" si="121"/>
        <v>MP0866</v>
      </c>
      <c r="D868" s="214" t="s">
        <v>602</v>
      </c>
      <c r="E868" s="282">
        <v>25000</v>
      </c>
      <c r="F868" s="282" t="s">
        <v>1813</v>
      </c>
      <c r="G868" s="282">
        <v>39</v>
      </c>
      <c r="H868" s="215">
        <f t="shared" si="125"/>
        <v>975000</v>
      </c>
      <c r="I868" s="434" t="s">
        <v>603</v>
      </c>
      <c r="J868" s="214" t="s">
        <v>604</v>
      </c>
      <c r="K868" s="434" t="s">
        <v>25</v>
      </c>
      <c r="L868" s="282"/>
      <c r="M868" s="214" t="s">
        <v>1814</v>
      </c>
      <c r="O868" s="214" t="s">
        <v>695</v>
      </c>
      <c r="P868" s="307">
        <v>46029</v>
      </c>
      <c r="Q868" s="214">
        <f t="shared" ref="Q868:Q931" ca="1" si="128">TODAY()-P868</f>
        <v>96</v>
      </c>
    </row>
    <row r="869" spans="1:17" s="245" customFormat="1" hidden="1">
      <c r="A869" s="289">
        <f t="shared" si="120"/>
        <v>867</v>
      </c>
      <c r="B869" s="284">
        <v>46014</v>
      </c>
      <c r="C869" s="245" t="str">
        <f t="shared" si="121"/>
        <v>MP0867</v>
      </c>
      <c r="D869" s="245" t="s">
        <v>1815</v>
      </c>
      <c r="E869" s="289">
        <v>5000</v>
      </c>
      <c r="F869" s="289" t="s">
        <v>1816</v>
      </c>
      <c r="G869" s="289">
        <v>38</v>
      </c>
      <c r="H869" s="246">
        <f t="shared" si="125"/>
        <v>190000</v>
      </c>
      <c r="I869" s="245" t="s">
        <v>1817</v>
      </c>
      <c r="J869" s="245" t="s">
        <v>930</v>
      </c>
      <c r="K869" s="245" t="s">
        <v>678</v>
      </c>
      <c r="L869" s="289"/>
      <c r="M869" s="245" t="s">
        <v>1810</v>
      </c>
      <c r="N869" s="245" t="s">
        <v>1244</v>
      </c>
      <c r="O869" s="245" t="s">
        <v>55</v>
      </c>
      <c r="P869" s="326">
        <v>46066</v>
      </c>
      <c r="Q869" s="245">
        <f t="shared" ca="1" si="128"/>
        <v>59</v>
      </c>
    </row>
    <row r="870" spans="1:17" s="245" customFormat="1" hidden="1">
      <c r="A870" s="289">
        <f t="shared" si="120"/>
        <v>868</v>
      </c>
      <c r="B870" s="284">
        <v>46016</v>
      </c>
      <c r="C870" s="245" t="str">
        <f t="shared" si="121"/>
        <v>MP0868</v>
      </c>
      <c r="D870" s="245" t="s">
        <v>1818</v>
      </c>
      <c r="E870" s="289">
        <v>500</v>
      </c>
      <c r="F870" s="289" t="s">
        <v>1819</v>
      </c>
      <c r="G870" s="289">
        <v>290</v>
      </c>
      <c r="H870" s="246">
        <f t="shared" si="125"/>
        <v>145000</v>
      </c>
      <c r="I870" s="245" t="s">
        <v>1820</v>
      </c>
      <c r="J870" s="245" t="s">
        <v>1398</v>
      </c>
      <c r="K870" s="245" t="s">
        <v>9</v>
      </c>
      <c r="L870" s="289"/>
      <c r="M870" s="245" t="s">
        <v>1711</v>
      </c>
      <c r="N870" s="245" t="s">
        <v>620</v>
      </c>
      <c r="O870" s="245" t="s">
        <v>55</v>
      </c>
      <c r="P870" s="326">
        <v>46071</v>
      </c>
      <c r="Q870" s="245">
        <f t="shared" ca="1" si="128"/>
        <v>54</v>
      </c>
    </row>
    <row r="871" spans="1:17" s="245" customFormat="1" hidden="1">
      <c r="A871" s="289">
        <f t="shared" si="120"/>
        <v>869</v>
      </c>
      <c r="B871" s="284">
        <v>46016</v>
      </c>
      <c r="C871" s="245" t="str">
        <f t="shared" si="121"/>
        <v>MP0869</v>
      </c>
      <c r="D871" s="246" t="s">
        <v>70</v>
      </c>
      <c r="E871" s="247">
        <v>500</v>
      </c>
      <c r="F871" s="247" t="s">
        <v>1821</v>
      </c>
      <c r="G871" s="247">
        <v>72</v>
      </c>
      <c r="H871" s="246">
        <f t="shared" si="125"/>
        <v>36000</v>
      </c>
      <c r="I871" s="246" t="s">
        <v>66</v>
      </c>
      <c r="J871" s="246" t="s">
        <v>60</v>
      </c>
      <c r="K871" s="246" t="s">
        <v>22</v>
      </c>
      <c r="L871" s="248"/>
      <c r="M871" s="249"/>
      <c r="N871" s="246"/>
      <c r="O871" s="246" t="s">
        <v>55</v>
      </c>
      <c r="P871" s="328">
        <v>46057</v>
      </c>
      <c r="Q871" s="246">
        <f t="shared" ca="1" si="128"/>
        <v>68</v>
      </c>
    </row>
    <row r="872" spans="1:17" s="245" customFormat="1" hidden="1">
      <c r="A872" s="289">
        <f t="shared" si="120"/>
        <v>870</v>
      </c>
      <c r="B872" s="284">
        <v>46016</v>
      </c>
      <c r="C872" s="245" t="str">
        <f t="shared" si="121"/>
        <v>MP0870</v>
      </c>
      <c r="D872" s="246" t="s">
        <v>394</v>
      </c>
      <c r="E872" s="247">
        <v>3000</v>
      </c>
      <c r="F872" s="247">
        <v>107.8</v>
      </c>
      <c r="G872" s="278">
        <v>14.2</v>
      </c>
      <c r="H872" s="246">
        <f t="shared" si="125"/>
        <v>42600</v>
      </c>
      <c r="I872" s="246" t="s">
        <v>227</v>
      </c>
      <c r="J872" s="246" t="s">
        <v>228</v>
      </c>
      <c r="K872" s="246" t="s">
        <v>22</v>
      </c>
      <c r="L872" s="289"/>
      <c r="O872" s="246" t="s">
        <v>55</v>
      </c>
      <c r="P872" s="328">
        <v>46053</v>
      </c>
      <c r="Q872" s="246">
        <f t="shared" ca="1" si="128"/>
        <v>72</v>
      </c>
    </row>
    <row r="873" spans="1:17" s="245" customFormat="1" hidden="1">
      <c r="A873" s="289">
        <f t="shared" si="120"/>
        <v>871</v>
      </c>
      <c r="B873" s="284">
        <v>46016</v>
      </c>
      <c r="C873" s="245" t="str">
        <f t="shared" si="121"/>
        <v>MP0871</v>
      </c>
      <c r="D873" s="245" t="s">
        <v>815</v>
      </c>
      <c r="E873" s="289">
        <v>1500</v>
      </c>
      <c r="F873" s="289">
        <v>123</v>
      </c>
      <c r="G873" s="289">
        <v>14.5</v>
      </c>
      <c r="H873" s="315">
        <f t="shared" si="125"/>
        <v>21750</v>
      </c>
      <c r="I873" s="245" t="s">
        <v>1454</v>
      </c>
      <c r="J873" s="245" t="s">
        <v>265</v>
      </c>
      <c r="K873" s="245" t="s">
        <v>20</v>
      </c>
      <c r="L873" s="289"/>
      <c r="O873" s="245" t="s">
        <v>55</v>
      </c>
      <c r="P873" s="326">
        <v>46074</v>
      </c>
      <c r="Q873" s="245">
        <f t="shared" ca="1" si="128"/>
        <v>51</v>
      </c>
    </row>
    <row r="874" spans="1:17" s="245" customFormat="1" ht="15.75" hidden="1">
      <c r="A874" s="289">
        <f t="shared" si="120"/>
        <v>872</v>
      </c>
      <c r="B874" s="284">
        <v>46017</v>
      </c>
      <c r="C874" s="245" t="str">
        <f t="shared" si="121"/>
        <v>MP0872</v>
      </c>
      <c r="D874" s="273" t="s">
        <v>668</v>
      </c>
      <c r="E874" s="247">
        <v>300</v>
      </c>
      <c r="F874" s="247" t="s">
        <v>1822</v>
      </c>
      <c r="G874" s="247">
        <v>165</v>
      </c>
      <c r="H874" s="246">
        <f t="shared" si="125"/>
        <v>49500</v>
      </c>
      <c r="I874" s="273" t="s">
        <v>1265</v>
      </c>
      <c r="J874" s="246" t="s">
        <v>609</v>
      </c>
      <c r="K874" s="246" t="s">
        <v>7</v>
      </c>
      <c r="L874" s="289"/>
      <c r="O874" s="245" t="s">
        <v>55</v>
      </c>
      <c r="P874" s="326">
        <v>46086</v>
      </c>
      <c r="Q874" s="245">
        <f t="shared" ca="1" si="128"/>
        <v>39</v>
      </c>
    </row>
    <row r="875" spans="1:17" s="245" customFormat="1" hidden="1">
      <c r="A875" s="289">
        <f t="shared" si="120"/>
        <v>873</v>
      </c>
      <c r="B875" s="284">
        <v>46017</v>
      </c>
      <c r="C875" s="245" t="str">
        <f t="shared" si="121"/>
        <v>MP0873</v>
      </c>
      <c r="D875" s="249" t="s">
        <v>823</v>
      </c>
      <c r="E875" s="247">
        <v>1200</v>
      </c>
      <c r="F875" s="247">
        <v>256</v>
      </c>
      <c r="G875" s="247">
        <v>62</v>
      </c>
      <c r="H875" s="246">
        <f t="shared" si="125"/>
        <v>74400</v>
      </c>
      <c r="I875" s="246" t="s">
        <v>264</v>
      </c>
      <c r="J875" s="246" t="s">
        <v>265</v>
      </c>
      <c r="K875" s="246" t="s">
        <v>20</v>
      </c>
      <c r="L875" s="248"/>
      <c r="M875" s="249"/>
      <c r="N875" s="246" t="s">
        <v>133</v>
      </c>
      <c r="O875" s="245" t="s">
        <v>55</v>
      </c>
      <c r="P875" s="326">
        <v>46087</v>
      </c>
      <c r="Q875" s="245">
        <f t="shared" ca="1" si="128"/>
        <v>38</v>
      </c>
    </row>
    <row r="876" spans="1:17" s="245" customFormat="1" hidden="1">
      <c r="A876" s="289">
        <f t="shared" si="120"/>
        <v>874</v>
      </c>
      <c r="B876" s="284">
        <v>46017</v>
      </c>
      <c r="C876" s="245" t="str">
        <f t="shared" si="121"/>
        <v>MP0874</v>
      </c>
      <c r="D876" s="246" t="s">
        <v>50</v>
      </c>
      <c r="E876" s="247">
        <v>3000</v>
      </c>
      <c r="F876" s="247">
        <v>157.5</v>
      </c>
      <c r="G876" s="247">
        <v>24</v>
      </c>
      <c r="H876" s="246">
        <f t="shared" si="125"/>
        <v>72000</v>
      </c>
      <c r="I876" s="246" t="s">
        <v>51</v>
      </c>
      <c r="J876" s="246" t="s">
        <v>52</v>
      </c>
      <c r="K876" s="246" t="s">
        <v>27</v>
      </c>
      <c r="L876" s="248"/>
      <c r="M876" s="245" t="s">
        <v>1823</v>
      </c>
      <c r="O876" s="245" t="s">
        <v>55</v>
      </c>
      <c r="P876" s="326">
        <v>46109</v>
      </c>
      <c r="Q876" s="245">
        <f t="shared" ca="1" si="128"/>
        <v>16</v>
      </c>
    </row>
    <row r="877" spans="1:17" s="245" customFormat="1" hidden="1">
      <c r="A877" s="289">
        <f t="shared" si="120"/>
        <v>875</v>
      </c>
      <c r="B877" s="284">
        <v>46017</v>
      </c>
      <c r="C877" s="245" t="str">
        <f t="shared" si="121"/>
        <v>MP0875</v>
      </c>
      <c r="D877" s="246" t="s">
        <v>131</v>
      </c>
      <c r="E877" s="247">
        <v>500</v>
      </c>
      <c r="F877" s="247" t="s">
        <v>1824</v>
      </c>
      <c r="G877" s="247">
        <v>59</v>
      </c>
      <c r="H877" s="246">
        <f t="shared" si="125"/>
        <v>29500</v>
      </c>
      <c r="I877" s="246" t="s">
        <v>1441</v>
      </c>
      <c r="J877" s="246" t="s">
        <v>60</v>
      </c>
      <c r="K877" s="246" t="s">
        <v>1042</v>
      </c>
      <c r="L877" s="248"/>
      <c r="M877" s="245" t="s">
        <v>1381</v>
      </c>
      <c r="O877" s="245" t="s">
        <v>55</v>
      </c>
      <c r="P877" s="326">
        <v>46093</v>
      </c>
      <c r="Q877" s="245">
        <f t="shared" ca="1" si="128"/>
        <v>32</v>
      </c>
    </row>
    <row r="878" spans="1:17" s="245" customFormat="1" hidden="1">
      <c r="A878" s="289">
        <f t="shared" si="120"/>
        <v>876</v>
      </c>
      <c r="B878" s="284">
        <v>46017</v>
      </c>
      <c r="C878" s="245" t="str">
        <f t="shared" si="121"/>
        <v>MP0876</v>
      </c>
      <c r="D878" s="245" t="s">
        <v>1467</v>
      </c>
      <c r="E878" s="289">
        <v>4000</v>
      </c>
      <c r="F878" s="289">
        <v>44</v>
      </c>
      <c r="G878" s="289">
        <v>7.5</v>
      </c>
      <c r="H878" s="315">
        <f t="shared" si="125"/>
        <v>30000</v>
      </c>
      <c r="I878" s="245" t="s">
        <v>1465</v>
      </c>
      <c r="J878" s="245" t="s">
        <v>1466</v>
      </c>
      <c r="K878" s="245" t="s">
        <v>1289</v>
      </c>
      <c r="L878" s="289"/>
      <c r="O878" s="245" t="s">
        <v>55</v>
      </c>
      <c r="P878" s="326">
        <v>46076</v>
      </c>
      <c r="Q878" s="245">
        <f t="shared" ca="1" si="128"/>
        <v>49</v>
      </c>
    </row>
    <row r="879" spans="1:17" s="245" customFormat="1" hidden="1">
      <c r="A879" s="289">
        <f t="shared" si="120"/>
        <v>877</v>
      </c>
      <c r="B879" s="284">
        <v>46017</v>
      </c>
      <c r="C879" s="245" t="str">
        <f t="shared" si="121"/>
        <v>MP0877</v>
      </c>
      <c r="D879" s="452" t="s">
        <v>1825</v>
      </c>
      <c r="E879" s="289">
        <v>1500</v>
      </c>
      <c r="F879" s="289" t="s">
        <v>1754</v>
      </c>
      <c r="G879" s="289">
        <v>29</v>
      </c>
      <c r="H879" s="246">
        <f t="shared" si="125"/>
        <v>43500</v>
      </c>
      <c r="I879" s="245" t="s">
        <v>1020</v>
      </c>
      <c r="J879" s="245" t="s">
        <v>782</v>
      </c>
      <c r="K879" s="245" t="s">
        <v>1289</v>
      </c>
      <c r="L879" s="289"/>
      <c r="M879" s="245" t="s">
        <v>1381</v>
      </c>
      <c r="O879" s="245" t="s">
        <v>55</v>
      </c>
      <c r="P879" s="326">
        <v>46087</v>
      </c>
      <c r="Q879" s="245">
        <f t="shared" ca="1" si="128"/>
        <v>38</v>
      </c>
    </row>
    <row r="880" spans="1:17" s="245" customFormat="1" hidden="1">
      <c r="A880" s="289">
        <f t="shared" ref="A880:A943" si="129">IF(B880="","",ROW()-2)</f>
        <v>878</v>
      </c>
      <c r="B880" s="284">
        <v>46017</v>
      </c>
      <c r="C880" s="245" t="str">
        <f t="shared" ref="C880:C943" si="130">IF(B880="","",_xlfn.CONCAT("MP0",A880))</f>
        <v>MP0878</v>
      </c>
      <c r="D880" s="245" t="s">
        <v>1826</v>
      </c>
      <c r="E880" s="289">
        <v>300</v>
      </c>
      <c r="F880" s="289" t="s">
        <v>1827</v>
      </c>
      <c r="G880" s="289">
        <v>130</v>
      </c>
      <c r="H880" s="246">
        <f t="shared" si="125"/>
        <v>39000</v>
      </c>
      <c r="I880" s="370" t="s">
        <v>1828</v>
      </c>
      <c r="J880" s="245" t="s">
        <v>609</v>
      </c>
      <c r="K880" s="245" t="s">
        <v>1525</v>
      </c>
      <c r="L880" s="289"/>
      <c r="O880" s="245" t="s">
        <v>55</v>
      </c>
      <c r="P880" s="326">
        <v>46080</v>
      </c>
      <c r="Q880" s="245">
        <f t="shared" ca="1" si="128"/>
        <v>45</v>
      </c>
    </row>
    <row r="881" spans="1:17" s="245" customFormat="1" hidden="1">
      <c r="A881" s="289">
        <f t="shared" si="129"/>
        <v>879</v>
      </c>
      <c r="B881" s="284">
        <v>46017</v>
      </c>
      <c r="C881" s="245" t="str">
        <f t="shared" si="130"/>
        <v>MP0879</v>
      </c>
      <c r="D881" s="245" t="s">
        <v>1829</v>
      </c>
      <c r="E881" s="289">
        <v>300</v>
      </c>
      <c r="F881" s="289" t="s">
        <v>1830</v>
      </c>
      <c r="G881" s="289">
        <v>150</v>
      </c>
      <c r="H881" s="246">
        <f t="shared" si="125"/>
        <v>45000</v>
      </c>
      <c r="I881" s="370" t="s">
        <v>1831</v>
      </c>
      <c r="J881" s="245" t="s">
        <v>609</v>
      </c>
      <c r="K881" s="245" t="s">
        <v>1525</v>
      </c>
      <c r="L881" s="289"/>
      <c r="O881" s="245" t="s">
        <v>55</v>
      </c>
      <c r="P881" s="326">
        <v>46080</v>
      </c>
      <c r="Q881" s="245">
        <f t="shared" ca="1" si="128"/>
        <v>45</v>
      </c>
    </row>
    <row r="882" spans="1:17" s="245" customFormat="1" hidden="1">
      <c r="A882" s="289">
        <f t="shared" si="129"/>
        <v>880</v>
      </c>
      <c r="B882" s="284">
        <v>46017</v>
      </c>
      <c r="C882" s="245" t="str">
        <f t="shared" si="130"/>
        <v>MP0880</v>
      </c>
      <c r="D882" s="245" t="s">
        <v>1617</v>
      </c>
      <c r="E882" s="289">
        <v>200</v>
      </c>
      <c r="F882" s="289" t="s">
        <v>1832</v>
      </c>
      <c r="G882" s="289">
        <v>785</v>
      </c>
      <c r="H882" s="246">
        <f t="shared" si="125"/>
        <v>157000</v>
      </c>
      <c r="I882" s="245" t="s">
        <v>1833</v>
      </c>
      <c r="J882" s="245" t="s">
        <v>609</v>
      </c>
      <c r="K882" s="245" t="s">
        <v>1525</v>
      </c>
      <c r="L882" s="289"/>
      <c r="O882" s="245" t="s">
        <v>55</v>
      </c>
      <c r="P882" s="326">
        <v>46113</v>
      </c>
      <c r="Q882" s="245">
        <f t="shared" ca="1" si="128"/>
        <v>12</v>
      </c>
    </row>
    <row r="883" spans="1:17" s="245" customFormat="1" ht="45" hidden="1">
      <c r="A883" s="289">
        <f t="shared" si="129"/>
        <v>881</v>
      </c>
      <c r="B883" s="284">
        <v>46021</v>
      </c>
      <c r="C883" s="245" t="str">
        <f t="shared" si="130"/>
        <v>MP0881</v>
      </c>
      <c r="D883" s="245" t="s">
        <v>1834</v>
      </c>
      <c r="E883" s="289">
        <v>3000</v>
      </c>
      <c r="F883" s="289" t="s">
        <v>1835</v>
      </c>
      <c r="G883" s="289">
        <v>9.8000000000000007</v>
      </c>
      <c r="H883" s="246">
        <f t="shared" si="125"/>
        <v>29400.000000000004</v>
      </c>
      <c r="I883" s="370" t="s">
        <v>1836</v>
      </c>
      <c r="J883" s="245" t="s">
        <v>930</v>
      </c>
      <c r="K883" s="245" t="s">
        <v>678</v>
      </c>
      <c r="L883" s="289"/>
      <c r="M883" s="245" t="s">
        <v>1837</v>
      </c>
      <c r="N883" s="245" t="s">
        <v>620</v>
      </c>
      <c r="O883" s="245" t="s">
        <v>55</v>
      </c>
      <c r="P883" s="326">
        <v>46060</v>
      </c>
      <c r="Q883" s="245">
        <f t="shared" ca="1" si="128"/>
        <v>65</v>
      </c>
    </row>
    <row r="884" spans="1:17" s="245" customFormat="1" hidden="1">
      <c r="A884" s="289">
        <f t="shared" si="129"/>
        <v>882</v>
      </c>
      <c r="B884" s="284">
        <v>46021</v>
      </c>
      <c r="C884" s="245" t="str">
        <f t="shared" si="130"/>
        <v>MP0882</v>
      </c>
      <c r="D884" s="245" t="s">
        <v>1520</v>
      </c>
      <c r="E884" s="289">
        <v>5000</v>
      </c>
      <c r="F884" s="289">
        <v>190</v>
      </c>
      <c r="G884" s="289">
        <v>17</v>
      </c>
      <c r="H884" s="315">
        <f t="shared" si="125"/>
        <v>85000</v>
      </c>
      <c r="I884" s="245" t="s">
        <v>1521</v>
      </c>
      <c r="J884" s="245" t="s">
        <v>1522</v>
      </c>
      <c r="K884" s="245" t="s">
        <v>1289</v>
      </c>
      <c r="L884" s="289"/>
      <c r="O884" s="245" t="s">
        <v>55</v>
      </c>
      <c r="P884" s="326">
        <v>46093</v>
      </c>
      <c r="Q884" s="245">
        <f t="shared" ca="1" si="128"/>
        <v>32</v>
      </c>
    </row>
    <row r="885" spans="1:17" s="245" customFormat="1" hidden="1">
      <c r="A885" s="289">
        <f t="shared" si="129"/>
        <v>883</v>
      </c>
      <c r="B885" s="284">
        <v>46021</v>
      </c>
      <c r="C885" s="245" t="str">
        <f t="shared" si="130"/>
        <v>MP0883</v>
      </c>
      <c r="D885" s="245" t="s">
        <v>1838</v>
      </c>
      <c r="E885" s="247">
        <v>3000</v>
      </c>
      <c r="F885" s="247" t="s">
        <v>1839</v>
      </c>
      <c r="G885" s="278">
        <v>8.6999999999999993</v>
      </c>
      <c r="H885" s="246">
        <f t="shared" si="125"/>
        <v>26099.999999999996</v>
      </c>
      <c r="I885" s="246" t="s">
        <v>51</v>
      </c>
      <c r="J885" s="246" t="s">
        <v>385</v>
      </c>
      <c r="K885" s="246" t="s">
        <v>22</v>
      </c>
      <c r="L885" s="289"/>
      <c r="O885" s="245" t="s">
        <v>55</v>
      </c>
      <c r="P885" s="326">
        <v>46109</v>
      </c>
      <c r="Q885" s="245">
        <f t="shared" ca="1" si="128"/>
        <v>16</v>
      </c>
    </row>
    <row r="886" spans="1:17" s="245" customFormat="1" hidden="1">
      <c r="A886" s="289">
        <f t="shared" si="129"/>
        <v>884</v>
      </c>
      <c r="B886" s="284">
        <v>46024</v>
      </c>
      <c r="C886" s="245" t="str">
        <f t="shared" si="130"/>
        <v>MP0884</v>
      </c>
      <c r="D886" s="245" t="s">
        <v>1840</v>
      </c>
      <c r="E886" s="289">
        <v>3000</v>
      </c>
      <c r="F886" s="289" t="s">
        <v>1841</v>
      </c>
      <c r="G886" s="289">
        <v>10.5</v>
      </c>
      <c r="H886" s="246">
        <f t="shared" si="125"/>
        <v>31500</v>
      </c>
      <c r="I886" s="245" t="s">
        <v>1842</v>
      </c>
      <c r="J886" s="245" t="s">
        <v>930</v>
      </c>
      <c r="K886" s="245" t="s">
        <v>22</v>
      </c>
      <c r="L886" s="289" t="s">
        <v>1843</v>
      </c>
      <c r="N886" s="245" t="s">
        <v>620</v>
      </c>
      <c r="O886" s="245" t="s">
        <v>55</v>
      </c>
      <c r="P886" s="326">
        <v>46109</v>
      </c>
      <c r="Q886" s="245">
        <f t="shared" ca="1" si="128"/>
        <v>16</v>
      </c>
    </row>
    <row r="887" spans="1:17" s="245" customFormat="1" hidden="1">
      <c r="A887" s="289">
        <f t="shared" si="129"/>
        <v>885</v>
      </c>
      <c r="B887" s="284">
        <v>46024</v>
      </c>
      <c r="C887" s="245" t="str">
        <f t="shared" si="130"/>
        <v>MP0885</v>
      </c>
      <c r="D887" s="245" t="s">
        <v>1844</v>
      </c>
      <c r="E887" s="289">
        <v>2000</v>
      </c>
      <c r="F887" s="289" t="s">
        <v>1845</v>
      </c>
      <c r="G887" s="289">
        <v>14</v>
      </c>
      <c r="H887" s="246">
        <f t="shared" si="125"/>
        <v>28000</v>
      </c>
      <c r="I887" s="457" t="s">
        <v>1846</v>
      </c>
      <c r="J887" s="245" t="s">
        <v>1170</v>
      </c>
      <c r="K887" s="245" t="s">
        <v>22</v>
      </c>
      <c r="L887" s="289" t="s">
        <v>1843</v>
      </c>
      <c r="N887" s="245" t="s">
        <v>620</v>
      </c>
      <c r="O887" s="245" t="s">
        <v>55</v>
      </c>
      <c r="P887" s="326">
        <v>46088</v>
      </c>
      <c r="Q887" s="245">
        <f t="shared" ca="1" si="128"/>
        <v>37</v>
      </c>
    </row>
    <row r="888" spans="1:17" s="245" customFormat="1" ht="30" hidden="1">
      <c r="A888" s="289">
        <f t="shared" si="129"/>
        <v>886</v>
      </c>
      <c r="B888" s="284">
        <v>46024</v>
      </c>
      <c r="C888" s="245" t="str">
        <f t="shared" si="130"/>
        <v>MP0886</v>
      </c>
      <c r="D888" s="245" t="s">
        <v>1847</v>
      </c>
      <c r="E888" s="289">
        <v>3000</v>
      </c>
      <c r="F888" s="289" t="s">
        <v>1848</v>
      </c>
      <c r="G888" s="289">
        <v>9.75</v>
      </c>
      <c r="H888" s="246">
        <f t="shared" si="125"/>
        <v>29250</v>
      </c>
      <c r="I888" s="370" t="s">
        <v>1849</v>
      </c>
      <c r="J888" s="245" t="s">
        <v>930</v>
      </c>
      <c r="K888" s="245" t="s">
        <v>22</v>
      </c>
      <c r="L888" s="289" t="s">
        <v>1843</v>
      </c>
      <c r="M888" s="245" t="s">
        <v>1381</v>
      </c>
      <c r="N888" s="245" t="s">
        <v>620</v>
      </c>
      <c r="O888" s="245" t="s">
        <v>55</v>
      </c>
      <c r="P888" s="326">
        <v>46088</v>
      </c>
      <c r="Q888" s="245">
        <f t="shared" ca="1" si="128"/>
        <v>37</v>
      </c>
    </row>
    <row r="889" spans="1:17" s="245" customFormat="1" ht="26.25" hidden="1">
      <c r="A889" s="289">
        <f t="shared" si="129"/>
        <v>887</v>
      </c>
      <c r="B889" s="284">
        <v>46024</v>
      </c>
      <c r="C889" s="245" t="str">
        <f t="shared" si="130"/>
        <v>MP0887</v>
      </c>
      <c r="D889" s="245" t="s">
        <v>1850</v>
      </c>
      <c r="E889" s="289">
        <v>1200</v>
      </c>
      <c r="F889" s="289" t="s">
        <v>1851</v>
      </c>
      <c r="G889" s="289">
        <v>16</v>
      </c>
      <c r="H889" s="246">
        <f t="shared" si="125"/>
        <v>19200</v>
      </c>
      <c r="I889" s="456" t="s">
        <v>1852</v>
      </c>
      <c r="J889" s="245" t="s">
        <v>930</v>
      </c>
      <c r="K889" s="245" t="s">
        <v>20</v>
      </c>
      <c r="L889" s="289" t="s">
        <v>1843</v>
      </c>
      <c r="N889" s="245" t="s">
        <v>620</v>
      </c>
      <c r="O889" s="245" t="s">
        <v>55</v>
      </c>
      <c r="P889" s="326">
        <v>46088</v>
      </c>
      <c r="Q889" s="245">
        <f t="shared" ca="1" si="128"/>
        <v>37</v>
      </c>
    </row>
    <row r="890" spans="1:17" s="245" customFormat="1" hidden="1">
      <c r="A890" s="289">
        <f t="shared" si="129"/>
        <v>888</v>
      </c>
      <c r="B890" s="284">
        <v>46024</v>
      </c>
      <c r="C890" s="245" t="str">
        <f t="shared" si="130"/>
        <v>MP0888</v>
      </c>
      <c r="D890" s="245" t="s">
        <v>1853</v>
      </c>
      <c r="E890" s="289">
        <v>3000</v>
      </c>
      <c r="F890" s="289" t="s">
        <v>1854</v>
      </c>
      <c r="G890" s="289">
        <v>16.5</v>
      </c>
      <c r="H890" s="246">
        <f t="shared" si="125"/>
        <v>49500</v>
      </c>
      <c r="I890" s="456" t="s">
        <v>1855</v>
      </c>
      <c r="J890" s="245" t="s">
        <v>1170</v>
      </c>
      <c r="K890" s="245" t="s">
        <v>16</v>
      </c>
      <c r="L890" s="289" t="s">
        <v>1843</v>
      </c>
      <c r="M890" s="245" t="s">
        <v>1381</v>
      </c>
      <c r="N890" s="245" t="s">
        <v>620</v>
      </c>
      <c r="O890" s="245" t="s">
        <v>55</v>
      </c>
      <c r="P890" s="326">
        <v>46088</v>
      </c>
      <c r="Q890" s="245">
        <f t="shared" ca="1" si="128"/>
        <v>37</v>
      </c>
    </row>
    <row r="891" spans="1:17" s="245" customFormat="1" hidden="1">
      <c r="A891" s="289">
        <f t="shared" si="129"/>
        <v>889</v>
      </c>
      <c r="B891" s="284">
        <v>46024</v>
      </c>
      <c r="C891" s="245" t="str">
        <f t="shared" si="130"/>
        <v>MP0889</v>
      </c>
      <c r="D891" s="245" t="s">
        <v>1856</v>
      </c>
      <c r="E891" s="289">
        <v>5000</v>
      </c>
      <c r="F891" s="289" t="s">
        <v>1857</v>
      </c>
      <c r="G891" s="289">
        <v>9</v>
      </c>
      <c r="H891" s="246">
        <f t="shared" si="125"/>
        <v>45000</v>
      </c>
      <c r="I891" s="245" t="s">
        <v>1858</v>
      </c>
      <c r="J891" s="245" t="s">
        <v>634</v>
      </c>
      <c r="K891" s="245" t="s">
        <v>1289</v>
      </c>
      <c r="L891" s="289" t="s">
        <v>1843</v>
      </c>
      <c r="M891" s="245" t="s">
        <v>1381</v>
      </c>
      <c r="N891" s="245" t="s">
        <v>620</v>
      </c>
      <c r="O891" s="245" t="s">
        <v>55</v>
      </c>
      <c r="P891" s="326">
        <v>46118</v>
      </c>
      <c r="Q891" s="245">
        <f t="shared" ca="1" si="128"/>
        <v>7</v>
      </c>
    </row>
    <row r="892" spans="1:17" s="245" customFormat="1" ht="26.25" hidden="1">
      <c r="A892" s="289">
        <f t="shared" si="129"/>
        <v>890</v>
      </c>
      <c r="B892" s="284">
        <v>46024</v>
      </c>
      <c r="C892" s="245" t="str">
        <f t="shared" si="130"/>
        <v>MP0890</v>
      </c>
      <c r="D892" s="245" t="s">
        <v>1859</v>
      </c>
      <c r="E892" s="289">
        <v>2000</v>
      </c>
      <c r="F892" s="289" t="s">
        <v>1860</v>
      </c>
      <c r="G892" s="289">
        <v>9.5</v>
      </c>
      <c r="H892" s="246">
        <f t="shared" si="125"/>
        <v>19000</v>
      </c>
      <c r="I892" s="456" t="s">
        <v>1861</v>
      </c>
      <c r="J892" s="245" t="s">
        <v>844</v>
      </c>
      <c r="K892" s="245" t="s">
        <v>20</v>
      </c>
      <c r="L892" s="289" t="s">
        <v>1843</v>
      </c>
      <c r="N892" s="245" t="s">
        <v>620</v>
      </c>
      <c r="O892" s="245" t="s">
        <v>55</v>
      </c>
      <c r="P892" s="326">
        <v>46096</v>
      </c>
      <c r="Q892" s="245">
        <f t="shared" ca="1" si="128"/>
        <v>29</v>
      </c>
    </row>
    <row r="893" spans="1:17" s="245" customFormat="1" hidden="1">
      <c r="A893" s="289">
        <f t="shared" si="129"/>
        <v>891</v>
      </c>
      <c r="B893" s="284">
        <v>46024</v>
      </c>
      <c r="C893" s="245" t="str">
        <f t="shared" si="130"/>
        <v>MP0891</v>
      </c>
      <c r="D893" s="245" t="s">
        <v>1862</v>
      </c>
      <c r="E893" s="289">
        <v>3000</v>
      </c>
      <c r="F893" s="289" t="s">
        <v>1863</v>
      </c>
      <c r="G893" s="289">
        <v>6.5</v>
      </c>
      <c r="H893" s="246">
        <f t="shared" si="125"/>
        <v>19500</v>
      </c>
      <c r="I893" s="245" t="s">
        <v>1864</v>
      </c>
      <c r="K893" s="245" t="s">
        <v>1134</v>
      </c>
      <c r="L893" s="289" t="s">
        <v>1843</v>
      </c>
      <c r="M893" s="245" t="s">
        <v>1381</v>
      </c>
      <c r="N893" s="245" t="s">
        <v>620</v>
      </c>
      <c r="O893" s="245" t="s">
        <v>55</v>
      </c>
      <c r="P893" s="326">
        <v>46094</v>
      </c>
      <c r="Q893" s="245">
        <f t="shared" ca="1" si="128"/>
        <v>31</v>
      </c>
    </row>
    <row r="894" spans="1:17" s="245" customFormat="1" hidden="1">
      <c r="A894" s="289">
        <f t="shared" si="129"/>
        <v>892</v>
      </c>
      <c r="B894" s="284">
        <v>46024</v>
      </c>
      <c r="C894" s="245" t="str">
        <f t="shared" si="130"/>
        <v>MP0892</v>
      </c>
      <c r="D894" s="245" t="s">
        <v>1865</v>
      </c>
      <c r="E894" s="289">
        <v>2000</v>
      </c>
      <c r="F894" s="289" t="s">
        <v>1851</v>
      </c>
      <c r="G894" s="289">
        <v>18</v>
      </c>
      <c r="H894" s="246">
        <f t="shared" si="125"/>
        <v>36000</v>
      </c>
      <c r="I894" s="457" t="s">
        <v>1866</v>
      </c>
      <c r="J894" s="245" t="s">
        <v>1170</v>
      </c>
      <c r="K894" s="245" t="s">
        <v>22</v>
      </c>
      <c r="L894" s="289" t="s">
        <v>1843</v>
      </c>
      <c r="N894" s="245" t="s">
        <v>620</v>
      </c>
      <c r="O894" s="245" t="s">
        <v>55</v>
      </c>
      <c r="P894" s="326">
        <v>46088</v>
      </c>
      <c r="Q894" s="245">
        <f t="shared" ca="1" si="128"/>
        <v>37</v>
      </c>
    </row>
    <row r="895" spans="1:17" s="245" customFormat="1" hidden="1">
      <c r="A895" s="289">
        <f t="shared" si="129"/>
        <v>893</v>
      </c>
      <c r="B895" s="284">
        <v>46024</v>
      </c>
      <c r="C895" s="245" t="str">
        <f t="shared" si="130"/>
        <v>MP0893</v>
      </c>
      <c r="D895" s="245" t="s">
        <v>1867</v>
      </c>
      <c r="E895" s="289">
        <v>3000</v>
      </c>
      <c r="F895" s="289" t="s">
        <v>1868</v>
      </c>
      <c r="G895" s="289">
        <v>9</v>
      </c>
      <c r="H895" s="246">
        <f t="shared" si="125"/>
        <v>27000</v>
      </c>
      <c r="I895" s="456" t="s">
        <v>1869</v>
      </c>
      <c r="K895" s="245" t="s">
        <v>22</v>
      </c>
      <c r="L895" s="289" t="s">
        <v>1843</v>
      </c>
      <c r="M895" s="245" t="s">
        <v>1381</v>
      </c>
      <c r="N895" s="245" t="s">
        <v>620</v>
      </c>
      <c r="O895" s="245" t="s">
        <v>55</v>
      </c>
      <c r="P895" s="326">
        <v>46109</v>
      </c>
      <c r="Q895" s="245">
        <f t="shared" ca="1" si="128"/>
        <v>16</v>
      </c>
    </row>
    <row r="896" spans="1:17" s="245" customFormat="1" hidden="1">
      <c r="A896" s="289">
        <f t="shared" si="129"/>
        <v>894</v>
      </c>
      <c r="B896" s="284">
        <v>46024</v>
      </c>
      <c r="C896" s="245" t="str">
        <f t="shared" si="130"/>
        <v>MP0894</v>
      </c>
      <c r="D896" s="245" t="s">
        <v>1870</v>
      </c>
      <c r="E896" s="289">
        <v>500</v>
      </c>
      <c r="F896" s="289" t="s">
        <v>1871</v>
      </c>
      <c r="G896" s="289">
        <v>58</v>
      </c>
      <c r="H896" s="246">
        <f t="shared" si="125"/>
        <v>29000</v>
      </c>
      <c r="I896" s="456" t="s">
        <v>1872</v>
      </c>
      <c r="J896" s="245" t="s">
        <v>609</v>
      </c>
      <c r="K896" s="245" t="s">
        <v>1042</v>
      </c>
      <c r="L896" s="289" t="s">
        <v>1843</v>
      </c>
      <c r="M896" s="245" t="s">
        <v>1381</v>
      </c>
      <c r="N896" s="245" t="s">
        <v>620</v>
      </c>
      <c r="O896" s="245" t="s">
        <v>55</v>
      </c>
      <c r="P896" s="326">
        <v>46082</v>
      </c>
      <c r="Q896" s="245">
        <f t="shared" ca="1" si="128"/>
        <v>43</v>
      </c>
    </row>
    <row r="897" spans="1:17" s="245" customFormat="1" hidden="1">
      <c r="A897" s="289">
        <f t="shared" si="129"/>
        <v>895</v>
      </c>
      <c r="B897" s="284">
        <v>46024</v>
      </c>
      <c r="C897" s="245" t="str">
        <f t="shared" si="130"/>
        <v>MP0895</v>
      </c>
      <c r="D897" s="245" t="s">
        <v>1873</v>
      </c>
      <c r="E897" s="289">
        <v>500</v>
      </c>
      <c r="F897" s="289" t="s">
        <v>1874</v>
      </c>
      <c r="G897" s="289">
        <v>75</v>
      </c>
      <c r="H897" s="246">
        <f t="shared" si="125"/>
        <v>37500</v>
      </c>
      <c r="I897" s="456" t="s">
        <v>1875</v>
      </c>
      <c r="J897" s="245" t="s">
        <v>609</v>
      </c>
      <c r="K897" s="245" t="s">
        <v>22</v>
      </c>
      <c r="L897" s="289" t="s">
        <v>1843</v>
      </c>
      <c r="M897" s="245" t="s">
        <v>1381</v>
      </c>
      <c r="N897" s="245" t="s">
        <v>620</v>
      </c>
      <c r="O897" s="245" t="s">
        <v>55</v>
      </c>
      <c r="P897" s="326">
        <v>46109</v>
      </c>
      <c r="Q897" s="245">
        <f t="shared" ca="1" si="128"/>
        <v>16</v>
      </c>
    </row>
    <row r="898" spans="1:17" s="245" customFormat="1" hidden="1">
      <c r="A898" s="289">
        <f t="shared" si="129"/>
        <v>896</v>
      </c>
      <c r="B898" s="284">
        <v>46023</v>
      </c>
      <c r="C898" s="245" t="str">
        <f t="shared" si="130"/>
        <v>MP0896</v>
      </c>
      <c r="D898" s="245" t="s">
        <v>1876</v>
      </c>
      <c r="E898" s="289">
        <v>500</v>
      </c>
      <c r="F898" s="289" t="s">
        <v>1819</v>
      </c>
      <c r="G898" s="289">
        <v>290</v>
      </c>
      <c r="H898" s="246">
        <f t="shared" ref="H898" si="131">IF(G898="","",E898*G898)</f>
        <v>145000</v>
      </c>
      <c r="I898" s="245" t="s">
        <v>1820</v>
      </c>
      <c r="J898" s="245" t="s">
        <v>1398</v>
      </c>
      <c r="K898" s="245" t="s">
        <v>9</v>
      </c>
      <c r="L898" s="289"/>
      <c r="M898" s="245" t="s">
        <v>1381</v>
      </c>
      <c r="O898" s="245" t="s">
        <v>55</v>
      </c>
      <c r="P898" s="326">
        <v>46086</v>
      </c>
      <c r="Q898" s="245">
        <f t="shared" ca="1" si="128"/>
        <v>39</v>
      </c>
    </row>
    <row r="899" spans="1:17" s="245" customFormat="1" hidden="1">
      <c r="A899" s="289">
        <f t="shared" si="129"/>
        <v>897</v>
      </c>
      <c r="B899" s="284">
        <v>46023</v>
      </c>
      <c r="C899" s="245" t="str">
        <f t="shared" si="130"/>
        <v>MP0897</v>
      </c>
      <c r="D899" s="245" t="s">
        <v>1620</v>
      </c>
      <c r="E899" s="289">
        <v>500</v>
      </c>
      <c r="F899" s="337">
        <v>130.80000000000001</v>
      </c>
      <c r="G899" s="289">
        <v>130</v>
      </c>
      <c r="H899" s="246">
        <f t="shared" si="125"/>
        <v>65000</v>
      </c>
      <c r="I899" s="277" t="s">
        <v>125</v>
      </c>
      <c r="J899" s="277" t="s">
        <v>87</v>
      </c>
      <c r="K899" s="245" t="s">
        <v>7</v>
      </c>
      <c r="L899" s="289"/>
      <c r="M899" s="245" t="s">
        <v>1381</v>
      </c>
      <c r="O899" s="245" t="s">
        <v>55</v>
      </c>
      <c r="P899" s="326">
        <v>46121</v>
      </c>
      <c r="Q899" s="245">
        <f t="shared" ca="1" si="128"/>
        <v>4</v>
      </c>
    </row>
    <row r="900" spans="1:17" s="245" customFormat="1" ht="30" hidden="1">
      <c r="A900" s="289">
        <f t="shared" si="129"/>
        <v>898</v>
      </c>
      <c r="B900" s="284">
        <v>46023</v>
      </c>
      <c r="C900" s="245" t="str">
        <f t="shared" si="130"/>
        <v>MP0898</v>
      </c>
      <c r="D900" s="317" t="s">
        <v>1877</v>
      </c>
      <c r="E900" s="289">
        <v>500</v>
      </c>
      <c r="F900" s="289" t="s">
        <v>1760</v>
      </c>
      <c r="G900" s="289">
        <v>76</v>
      </c>
      <c r="H900" s="246">
        <f t="shared" si="125"/>
        <v>38000</v>
      </c>
      <c r="I900" s="279" t="s">
        <v>1878</v>
      </c>
      <c r="K900" s="245" t="s">
        <v>22</v>
      </c>
      <c r="L900" s="289" t="s">
        <v>1879</v>
      </c>
      <c r="M900" s="245" t="s">
        <v>1381</v>
      </c>
      <c r="N900" s="245" t="s">
        <v>620</v>
      </c>
      <c r="O900" s="245" t="s">
        <v>55</v>
      </c>
      <c r="P900" s="326">
        <v>46076</v>
      </c>
      <c r="Q900" s="245">
        <f t="shared" ca="1" si="128"/>
        <v>49</v>
      </c>
    </row>
    <row r="901" spans="1:17" s="245" customFormat="1" hidden="1">
      <c r="A901" s="289">
        <f t="shared" si="129"/>
        <v>899</v>
      </c>
      <c r="B901" s="284">
        <v>46023</v>
      </c>
      <c r="C901" s="245" t="str">
        <f t="shared" si="130"/>
        <v>MP0899</v>
      </c>
      <c r="D901" s="317" t="s">
        <v>1880</v>
      </c>
      <c r="E901" s="289">
        <v>300</v>
      </c>
      <c r="F901" s="289" t="s">
        <v>1881</v>
      </c>
      <c r="G901" s="289">
        <v>200</v>
      </c>
      <c r="H901" s="246">
        <f t="shared" si="125"/>
        <v>60000</v>
      </c>
      <c r="I901" s="277" t="s">
        <v>1882</v>
      </c>
      <c r="K901" s="245" t="s">
        <v>1525</v>
      </c>
      <c r="L901" s="289"/>
      <c r="M901" s="245" t="s">
        <v>1381</v>
      </c>
      <c r="N901" s="245" t="s">
        <v>620</v>
      </c>
      <c r="O901" s="245" t="s">
        <v>55</v>
      </c>
      <c r="P901" s="326">
        <v>46118</v>
      </c>
      <c r="Q901" s="245">
        <f t="shared" ca="1" si="128"/>
        <v>7</v>
      </c>
    </row>
    <row r="902" spans="1:17" s="245" customFormat="1" hidden="1">
      <c r="A902" s="289">
        <f t="shared" si="129"/>
        <v>900</v>
      </c>
      <c r="B902" s="284">
        <v>46024</v>
      </c>
      <c r="C902" s="245" t="str">
        <f t="shared" si="130"/>
        <v>MP0900</v>
      </c>
      <c r="D902" s="245" t="s">
        <v>1883</v>
      </c>
      <c r="E902" s="247">
        <v>800</v>
      </c>
      <c r="F902" s="247" t="s">
        <v>1884</v>
      </c>
      <c r="G902" s="247">
        <v>177</v>
      </c>
      <c r="H902" s="246">
        <f t="shared" si="125"/>
        <v>141600</v>
      </c>
      <c r="I902" s="246" t="s">
        <v>294</v>
      </c>
      <c r="J902" s="246" t="s">
        <v>60</v>
      </c>
      <c r="K902" s="246" t="s">
        <v>7</v>
      </c>
      <c r="L902" s="248"/>
      <c r="M902" s="249" t="s">
        <v>1885</v>
      </c>
      <c r="N902" s="246" t="s">
        <v>211</v>
      </c>
      <c r="O902" s="246" t="s">
        <v>55</v>
      </c>
      <c r="P902" s="328">
        <v>46093</v>
      </c>
      <c r="Q902" s="246">
        <f t="shared" ca="1" si="128"/>
        <v>32</v>
      </c>
    </row>
    <row r="903" spans="1:17" s="245" customFormat="1" hidden="1">
      <c r="A903" s="289">
        <f t="shared" si="129"/>
        <v>901</v>
      </c>
      <c r="B903" s="284">
        <v>46024</v>
      </c>
      <c r="C903" s="245" t="str">
        <f t="shared" si="130"/>
        <v>MP0901</v>
      </c>
      <c r="D903" s="246" t="s">
        <v>299</v>
      </c>
      <c r="E903" s="247">
        <v>500</v>
      </c>
      <c r="F903" s="247" t="s">
        <v>1886</v>
      </c>
      <c r="G903" s="247">
        <v>33</v>
      </c>
      <c r="H903" s="246">
        <f t="shared" si="125"/>
        <v>16500</v>
      </c>
      <c r="I903" s="246" t="s">
        <v>300</v>
      </c>
      <c r="J903" s="246" t="s">
        <v>60</v>
      </c>
      <c r="K903" s="246" t="s">
        <v>7</v>
      </c>
      <c r="L903" s="289"/>
      <c r="O903" s="246" t="s">
        <v>55</v>
      </c>
      <c r="P903" s="328">
        <v>46109</v>
      </c>
      <c r="Q903" s="246">
        <f t="shared" ca="1" si="128"/>
        <v>16</v>
      </c>
    </row>
    <row r="904" spans="1:17" s="245" customFormat="1" hidden="1">
      <c r="A904" s="289">
        <f t="shared" si="129"/>
        <v>902</v>
      </c>
      <c r="B904" s="284">
        <v>46024</v>
      </c>
      <c r="C904" s="245" t="str">
        <f t="shared" si="130"/>
        <v>MP0902</v>
      </c>
      <c r="D904" s="370" t="s">
        <v>428</v>
      </c>
      <c r="E904" s="289">
        <v>500</v>
      </c>
      <c r="F904" s="289">
        <v>910</v>
      </c>
      <c r="G904" s="289">
        <v>50</v>
      </c>
      <c r="H904" s="315">
        <v>25000</v>
      </c>
      <c r="I904" s="245" t="s">
        <v>59</v>
      </c>
      <c r="J904" s="245" t="s">
        <v>60</v>
      </c>
      <c r="K904" s="245" t="s">
        <v>26</v>
      </c>
      <c r="L904" s="289"/>
      <c r="M904" s="245" t="s">
        <v>419</v>
      </c>
      <c r="N904" s="245" t="s">
        <v>429</v>
      </c>
      <c r="O904" s="246" t="s">
        <v>55</v>
      </c>
      <c r="P904" s="326">
        <v>46076</v>
      </c>
      <c r="Q904" s="245">
        <f t="shared" ca="1" si="128"/>
        <v>49</v>
      </c>
    </row>
    <row r="905" spans="1:17" s="245" customFormat="1" hidden="1">
      <c r="A905" s="289">
        <f t="shared" si="129"/>
        <v>903</v>
      </c>
      <c r="B905" s="284">
        <v>46024</v>
      </c>
      <c r="C905" s="245" t="str">
        <f t="shared" si="130"/>
        <v>MP0903</v>
      </c>
      <c r="D905" s="245" t="s">
        <v>1887</v>
      </c>
      <c r="E905" s="289">
        <v>400</v>
      </c>
      <c r="F905" s="289" t="s">
        <v>1888</v>
      </c>
      <c r="G905" s="289">
        <v>180</v>
      </c>
      <c r="H905" s="246">
        <f t="shared" si="125"/>
        <v>72000</v>
      </c>
      <c r="I905" s="246" t="s">
        <v>294</v>
      </c>
      <c r="J905" s="246" t="s">
        <v>60</v>
      </c>
      <c r="K905" s="245" t="s">
        <v>4</v>
      </c>
      <c r="L905" s="289"/>
      <c r="M905" s="245" t="s">
        <v>1381</v>
      </c>
      <c r="N905" s="245" t="s">
        <v>1244</v>
      </c>
      <c r="O905" s="245" t="s">
        <v>55</v>
      </c>
      <c r="P905" s="328">
        <v>46060</v>
      </c>
      <c r="Q905" s="246">
        <f t="shared" ca="1" si="128"/>
        <v>65</v>
      </c>
    </row>
    <row r="906" spans="1:17" s="245" customFormat="1" hidden="1">
      <c r="A906" s="289">
        <f t="shared" si="129"/>
        <v>904</v>
      </c>
      <c r="B906" s="284">
        <v>46027</v>
      </c>
      <c r="C906" s="245" t="str">
        <f t="shared" si="130"/>
        <v>MP0904</v>
      </c>
      <c r="D906" s="245" t="s">
        <v>1889</v>
      </c>
      <c r="E906" s="289">
        <v>300</v>
      </c>
      <c r="F906" s="289" t="s">
        <v>1890</v>
      </c>
      <c r="G906" s="289">
        <v>68</v>
      </c>
      <c r="H906" s="246">
        <f t="shared" si="125"/>
        <v>20400</v>
      </c>
      <c r="I906" s="246" t="s">
        <v>1891</v>
      </c>
      <c r="J906" s="246" t="s">
        <v>60</v>
      </c>
      <c r="K906" s="245" t="s">
        <v>4</v>
      </c>
      <c r="L906" s="245" t="s">
        <v>1892</v>
      </c>
      <c r="N906" s="245" t="s">
        <v>1244</v>
      </c>
      <c r="O906" s="245" t="s">
        <v>55</v>
      </c>
      <c r="P906" s="326">
        <v>46088</v>
      </c>
      <c r="Q906" s="245">
        <f t="shared" ca="1" si="128"/>
        <v>37</v>
      </c>
    </row>
    <row r="907" spans="1:17" s="245" customFormat="1" ht="30" hidden="1">
      <c r="A907" s="289">
        <f t="shared" si="129"/>
        <v>905</v>
      </c>
      <c r="B907" s="284">
        <v>46027</v>
      </c>
      <c r="C907" s="245" t="str">
        <f t="shared" si="130"/>
        <v>MP0905</v>
      </c>
      <c r="D907" s="317" t="s">
        <v>1893</v>
      </c>
      <c r="E907" s="289">
        <v>1200</v>
      </c>
      <c r="F907" s="289">
        <v>90</v>
      </c>
      <c r="G907" s="289">
        <v>12.5</v>
      </c>
      <c r="H907" s="246">
        <f t="shared" si="125"/>
        <v>15000</v>
      </c>
      <c r="I907" s="370" t="s">
        <v>1894</v>
      </c>
      <c r="J907" s="245" t="s">
        <v>930</v>
      </c>
      <c r="K907" s="245" t="s">
        <v>1589</v>
      </c>
      <c r="L907" s="289"/>
      <c r="M907" s="245" t="s">
        <v>1381</v>
      </c>
      <c r="N907" s="245" t="s">
        <v>1244</v>
      </c>
      <c r="O907" s="245" t="s">
        <v>55</v>
      </c>
      <c r="P907" s="326">
        <v>46076</v>
      </c>
      <c r="Q907" s="245">
        <f t="shared" ca="1" si="128"/>
        <v>49</v>
      </c>
    </row>
    <row r="908" spans="1:17" s="245" customFormat="1" ht="30" hidden="1">
      <c r="A908" s="289">
        <f t="shared" si="129"/>
        <v>906</v>
      </c>
      <c r="B908" s="284">
        <v>46027</v>
      </c>
      <c r="C908" s="245" t="str">
        <f t="shared" si="130"/>
        <v>MP0906</v>
      </c>
      <c r="D908" s="245" t="s">
        <v>1895</v>
      </c>
      <c r="E908" s="289">
        <v>250</v>
      </c>
      <c r="F908" s="289" t="s">
        <v>1896</v>
      </c>
      <c r="G908" s="289">
        <v>190</v>
      </c>
      <c r="H908" s="246">
        <f t="shared" si="125"/>
        <v>47500</v>
      </c>
      <c r="I908" s="370" t="s">
        <v>1897</v>
      </c>
      <c r="J908" s="246" t="s">
        <v>937</v>
      </c>
      <c r="K908" s="245" t="s">
        <v>4</v>
      </c>
      <c r="L908" s="289" t="s">
        <v>1069</v>
      </c>
      <c r="N908" s="245" t="s">
        <v>1244</v>
      </c>
      <c r="O908" s="245" t="s">
        <v>55</v>
      </c>
      <c r="P908" s="326">
        <v>46078</v>
      </c>
      <c r="Q908" s="245">
        <f t="shared" ca="1" si="128"/>
        <v>47</v>
      </c>
    </row>
    <row r="909" spans="1:17" s="250" customFormat="1" hidden="1">
      <c r="A909" s="270">
        <f t="shared" si="129"/>
        <v>907</v>
      </c>
      <c r="B909" s="296">
        <v>46027</v>
      </c>
      <c r="C909" s="250" t="str">
        <f t="shared" si="130"/>
        <v>MP0907</v>
      </c>
      <c r="D909" s="356" t="s">
        <v>1898</v>
      </c>
      <c r="E909" s="270">
        <v>500</v>
      </c>
      <c r="F909" s="270" t="s">
        <v>1899</v>
      </c>
      <c r="G909" s="270">
        <v>422</v>
      </c>
      <c r="H909" s="252"/>
      <c r="I909" s="356" t="s">
        <v>1900</v>
      </c>
      <c r="J909" s="252" t="s">
        <v>60</v>
      </c>
      <c r="K909" s="250" t="s">
        <v>7</v>
      </c>
      <c r="L909" s="270"/>
      <c r="M909" s="250" t="s">
        <v>1901</v>
      </c>
      <c r="N909" s="250" t="s">
        <v>1244</v>
      </c>
      <c r="O909" s="250" t="s">
        <v>370</v>
      </c>
      <c r="P909" s="308"/>
      <c r="Q909" s="250">
        <f t="shared" ca="1" si="128"/>
        <v>46125</v>
      </c>
    </row>
    <row r="910" spans="1:17" s="245" customFormat="1" hidden="1">
      <c r="A910" s="289">
        <f t="shared" si="129"/>
        <v>908</v>
      </c>
      <c r="B910" s="284">
        <v>46027</v>
      </c>
      <c r="C910" s="245" t="str">
        <f t="shared" si="130"/>
        <v>MP0908</v>
      </c>
      <c r="D910" s="245" t="s">
        <v>792</v>
      </c>
      <c r="E910" s="289">
        <v>500</v>
      </c>
      <c r="F910" s="289" t="s">
        <v>231</v>
      </c>
      <c r="G910" s="289">
        <v>405</v>
      </c>
      <c r="H910" s="315">
        <f t="shared" si="125"/>
        <v>202500</v>
      </c>
      <c r="I910" s="245" t="s">
        <v>66</v>
      </c>
      <c r="J910" s="245" t="s">
        <v>609</v>
      </c>
      <c r="K910" s="245" t="s">
        <v>7</v>
      </c>
      <c r="L910" s="289"/>
      <c r="O910" s="245" t="s">
        <v>55</v>
      </c>
      <c r="P910" s="326">
        <v>46076</v>
      </c>
      <c r="Q910" s="245">
        <f t="shared" ca="1" si="128"/>
        <v>49</v>
      </c>
    </row>
    <row r="911" spans="1:17" s="245" customFormat="1" ht="15.75" hidden="1">
      <c r="A911" s="289">
        <f t="shared" si="129"/>
        <v>909</v>
      </c>
      <c r="B911" s="284">
        <v>46027</v>
      </c>
      <c r="C911" s="245" t="str">
        <f t="shared" si="130"/>
        <v>MP0909</v>
      </c>
      <c r="D911" s="246" t="s">
        <v>779</v>
      </c>
      <c r="E911" s="247">
        <v>25000</v>
      </c>
      <c r="F911" s="247" t="s">
        <v>1902</v>
      </c>
      <c r="G911" s="278">
        <v>3</v>
      </c>
      <c r="H911" s="246">
        <f t="shared" si="125"/>
        <v>75000</v>
      </c>
      <c r="I911" s="302" t="s">
        <v>777</v>
      </c>
      <c r="J911" s="246" t="s">
        <v>778</v>
      </c>
      <c r="K911" s="246" t="s">
        <v>10</v>
      </c>
      <c r="L911" s="248"/>
      <c r="O911" s="245" t="s">
        <v>55</v>
      </c>
      <c r="P911" s="326">
        <v>46109</v>
      </c>
      <c r="Q911" s="245">
        <f t="shared" ca="1" si="128"/>
        <v>16</v>
      </c>
    </row>
    <row r="912" spans="1:17" s="245" customFormat="1" hidden="1">
      <c r="A912" s="289">
        <f t="shared" si="129"/>
        <v>910</v>
      </c>
      <c r="B912" s="284">
        <v>46028</v>
      </c>
      <c r="C912" s="245" t="str">
        <f t="shared" si="130"/>
        <v>MP0910</v>
      </c>
      <c r="D912" s="317" t="s">
        <v>1903</v>
      </c>
      <c r="E912" s="289">
        <v>250</v>
      </c>
      <c r="F912" s="289" t="s">
        <v>1904</v>
      </c>
      <c r="G912" s="289">
        <v>140</v>
      </c>
      <c r="H912" s="246">
        <f t="shared" si="125"/>
        <v>35000</v>
      </c>
      <c r="I912" s="317" t="s">
        <v>1905</v>
      </c>
      <c r="J912" s="245" t="s">
        <v>609</v>
      </c>
      <c r="K912" s="245" t="s">
        <v>1525</v>
      </c>
      <c r="L912" s="289"/>
      <c r="N912" s="245" t="s">
        <v>1244</v>
      </c>
      <c r="O912" s="245" t="s">
        <v>55</v>
      </c>
      <c r="P912" s="326">
        <v>46082</v>
      </c>
      <c r="Q912" s="245">
        <f t="shared" ca="1" si="128"/>
        <v>43</v>
      </c>
    </row>
    <row r="913" spans="1:17" s="245" customFormat="1" hidden="1">
      <c r="A913" s="289">
        <f t="shared" si="129"/>
        <v>911</v>
      </c>
      <c r="B913" s="284">
        <v>46028</v>
      </c>
      <c r="C913" s="245" t="str">
        <f t="shared" si="130"/>
        <v>MP0911</v>
      </c>
      <c r="D913" s="245" t="s">
        <v>1089</v>
      </c>
      <c r="E913" s="289">
        <v>2000</v>
      </c>
      <c r="F913" s="289">
        <v>450</v>
      </c>
      <c r="G913" s="289">
        <v>45</v>
      </c>
      <c r="H913" s="246">
        <f t="shared" si="125"/>
        <v>90000</v>
      </c>
      <c r="I913" s="245" t="s">
        <v>947</v>
      </c>
      <c r="J913" s="245" t="s">
        <v>634</v>
      </c>
      <c r="K913" s="245" t="s">
        <v>1134</v>
      </c>
      <c r="L913" s="289"/>
      <c r="O913" s="245" t="s">
        <v>55</v>
      </c>
      <c r="P913" s="326">
        <v>46029</v>
      </c>
      <c r="Q913" s="245">
        <f t="shared" ca="1" si="128"/>
        <v>96</v>
      </c>
    </row>
    <row r="914" spans="1:17" s="210" customFormat="1" hidden="1">
      <c r="A914" s="264">
        <f t="shared" si="129"/>
        <v>912</v>
      </c>
      <c r="B914" s="225">
        <v>46028</v>
      </c>
      <c r="C914" s="210" t="str">
        <f t="shared" si="130"/>
        <v>MP0912</v>
      </c>
      <c r="D914" s="210" t="s">
        <v>1906</v>
      </c>
      <c r="E914" s="264">
        <v>10000</v>
      </c>
      <c r="F914" s="264">
        <v>35</v>
      </c>
      <c r="G914" s="264">
        <v>7.5</v>
      </c>
      <c r="H914" s="209">
        <f t="shared" ref="H914:H954" si="132">IF(G914="","",E914*G914)</f>
        <v>75000</v>
      </c>
      <c r="I914" s="210" t="s">
        <v>1907</v>
      </c>
      <c r="K914" s="210" t="s">
        <v>1037</v>
      </c>
      <c r="L914" s="264"/>
      <c r="M914" s="310" t="s">
        <v>1908</v>
      </c>
      <c r="N914" s="210" t="s">
        <v>1244</v>
      </c>
      <c r="O914" s="210" t="s">
        <v>135</v>
      </c>
      <c r="P914" s="320">
        <v>46031</v>
      </c>
      <c r="Q914" s="210">
        <f t="shared" ca="1" si="128"/>
        <v>94</v>
      </c>
    </row>
    <row r="915" spans="1:17" s="250" customFormat="1" hidden="1">
      <c r="A915" s="270">
        <f t="shared" si="129"/>
        <v>913</v>
      </c>
      <c r="B915" s="296">
        <v>46028</v>
      </c>
      <c r="C915" s="250" t="str">
        <f t="shared" si="130"/>
        <v>MP0913</v>
      </c>
      <c r="D915" s="250" t="s">
        <v>1909</v>
      </c>
      <c r="E915" s="270"/>
      <c r="F915" s="270"/>
      <c r="G915" s="270"/>
      <c r="H915" s="252" t="str">
        <f t="shared" si="132"/>
        <v/>
      </c>
      <c r="L915" s="270"/>
      <c r="N915" s="250" t="s">
        <v>1244</v>
      </c>
      <c r="O915" s="466" t="s">
        <v>370</v>
      </c>
      <c r="P915" s="308"/>
      <c r="Q915" s="250">
        <f t="shared" ca="1" si="128"/>
        <v>46125</v>
      </c>
    </row>
    <row r="916" spans="1:17" s="245" customFormat="1" ht="15.75" hidden="1">
      <c r="A916" s="289">
        <f t="shared" si="129"/>
        <v>914</v>
      </c>
      <c r="B916" s="284">
        <v>46028</v>
      </c>
      <c r="C916" s="245" t="str">
        <f t="shared" si="130"/>
        <v>MP0914</v>
      </c>
      <c r="D916" s="273" t="s">
        <v>665</v>
      </c>
      <c r="E916" s="247">
        <v>300</v>
      </c>
      <c r="F916" s="247" t="s">
        <v>1910</v>
      </c>
      <c r="G916" s="247">
        <v>230</v>
      </c>
      <c r="H916" s="246">
        <f t="shared" si="132"/>
        <v>69000</v>
      </c>
      <c r="I916" s="298" t="s">
        <v>666</v>
      </c>
      <c r="J916" s="246" t="s">
        <v>609</v>
      </c>
      <c r="K916" s="246" t="s">
        <v>26</v>
      </c>
      <c r="L916" s="248"/>
      <c r="M916" s="249"/>
      <c r="N916" s="246" t="s">
        <v>133</v>
      </c>
      <c r="O916" s="246" t="s">
        <v>55</v>
      </c>
      <c r="P916" s="328">
        <v>46031</v>
      </c>
      <c r="Q916" s="246">
        <f t="shared" ca="1" si="128"/>
        <v>94</v>
      </c>
    </row>
    <row r="917" spans="1:17" s="245" customFormat="1" ht="15.75" hidden="1">
      <c r="A917" s="289">
        <f t="shared" si="129"/>
        <v>915</v>
      </c>
      <c r="B917" s="284">
        <v>46030</v>
      </c>
      <c r="C917" s="245" t="str">
        <f t="shared" si="130"/>
        <v>MP0915</v>
      </c>
      <c r="D917" s="453" t="s">
        <v>1911</v>
      </c>
      <c r="E917" s="289">
        <v>500</v>
      </c>
      <c r="F917" s="289" t="s">
        <v>1666</v>
      </c>
      <c r="G917" s="289">
        <v>73</v>
      </c>
      <c r="H917" s="407">
        <f t="shared" si="132"/>
        <v>36500</v>
      </c>
      <c r="I917" s="245" t="s">
        <v>656</v>
      </c>
      <c r="J917" s="245" t="s">
        <v>609</v>
      </c>
      <c r="K917" s="245" t="s">
        <v>1442</v>
      </c>
      <c r="L917" s="289"/>
      <c r="M917" s="245" t="s">
        <v>1381</v>
      </c>
      <c r="N917" s="245" t="s">
        <v>620</v>
      </c>
      <c r="O917" s="245" t="s">
        <v>55</v>
      </c>
      <c r="P917" s="326">
        <v>46038</v>
      </c>
      <c r="Q917" s="245">
        <f t="shared" ca="1" si="128"/>
        <v>87</v>
      </c>
    </row>
    <row r="918" spans="1:17" s="214" customFormat="1" ht="15.75" hidden="1">
      <c r="A918" s="282">
        <f t="shared" si="129"/>
        <v>916</v>
      </c>
      <c r="B918" s="286">
        <v>46030</v>
      </c>
      <c r="C918" s="214" t="str">
        <f t="shared" si="130"/>
        <v>MP0916</v>
      </c>
      <c r="D918" s="343" t="s">
        <v>612</v>
      </c>
      <c r="E918" s="233">
        <v>300</v>
      </c>
      <c r="F918" s="233">
        <v>2520</v>
      </c>
      <c r="G918" s="233">
        <v>340</v>
      </c>
      <c r="H918" s="215">
        <f t="shared" si="132"/>
        <v>102000</v>
      </c>
      <c r="I918" s="472" t="s">
        <v>613</v>
      </c>
      <c r="J918" s="215" t="s">
        <v>60</v>
      </c>
      <c r="K918" s="215" t="s">
        <v>4</v>
      </c>
      <c r="L918" s="243"/>
      <c r="M918" s="216"/>
      <c r="N918" s="215" t="s">
        <v>133</v>
      </c>
      <c r="O918" s="215" t="s">
        <v>695</v>
      </c>
      <c r="P918" s="307">
        <v>46094</v>
      </c>
      <c r="Q918" s="214">
        <f t="shared" ca="1" si="128"/>
        <v>31</v>
      </c>
    </row>
    <row r="919" spans="1:17" s="245" customFormat="1" hidden="1">
      <c r="A919" s="289">
        <f t="shared" si="129"/>
        <v>917</v>
      </c>
      <c r="B919" s="284">
        <v>46030</v>
      </c>
      <c r="C919" s="245" t="str">
        <f t="shared" si="130"/>
        <v>MP0917</v>
      </c>
      <c r="D919" s="245" t="s">
        <v>1455</v>
      </c>
      <c r="E919" s="289">
        <v>500</v>
      </c>
      <c r="F919" s="289">
        <v>220</v>
      </c>
      <c r="G919" s="289">
        <v>155</v>
      </c>
      <c r="H919" s="315">
        <f t="shared" si="132"/>
        <v>77500</v>
      </c>
      <c r="I919" s="245" t="s">
        <v>1456</v>
      </c>
      <c r="J919" s="245" t="s">
        <v>1092</v>
      </c>
      <c r="K919" s="245" t="s">
        <v>1322</v>
      </c>
      <c r="L919" s="289"/>
      <c r="N919" s="246" t="s">
        <v>1244</v>
      </c>
      <c r="O919" s="245" t="s">
        <v>55</v>
      </c>
      <c r="P919" s="326">
        <v>46062</v>
      </c>
      <c r="Q919" s="245">
        <f t="shared" ca="1" si="128"/>
        <v>63</v>
      </c>
    </row>
    <row r="920" spans="1:17" s="245" customFormat="1" ht="30" hidden="1">
      <c r="A920" s="289">
        <f t="shared" si="129"/>
        <v>918</v>
      </c>
      <c r="B920" s="284">
        <v>46030</v>
      </c>
      <c r="C920" s="245" t="str">
        <f t="shared" si="130"/>
        <v>MP0918</v>
      </c>
      <c r="D920" s="314" t="s">
        <v>1274</v>
      </c>
      <c r="E920" s="289">
        <v>500</v>
      </c>
      <c r="F920" s="382" t="s">
        <v>1506</v>
      </c>
      <c r="G920" s="289">
        <v>237</v>
      </c>
      <c r="H920" s="246">
        <f t="shared" si="132"/>
        <v>118500</v>
      </c>
      <c r="I920" s="408" t="s">
        <v>1276</v>
      </c>
      <c r="J920" s="314" t="s">
        <v>609</v>
      </c>
      <c r="K920" s="314" t="s">
        <v>1042</v>
      </c>
      <c r="L920" s="289"/>
      <c r="N920" s="246" t="s">
        <v>1244</v>
      </c>
      <c r="O920" s="245" t="s">
        <v>55</v>
      </c>
      <c r="P920" s="326">
        <v>46030</v>
      </c>
      <c r="Q920" s="245">
        <f t="shared" ca="1" si="128"/>
        <v>95</v>
      </c>
    </row>
    <row r="921" spans="1:17" s="245" customFormat="1" hidden="1">
      <c r="A921" s="289">
        <f t="shared" si="129"/>
        <v>919</v>
      </c>
      <c r="B921" s="284">
        <v>46030</v>
      </c>
      <c r="C921" s="245" t="str">
        <f t="shared" si="130"/>
        <v>MP0919</v>
      </c>
      <c r="D921" s="245" t="s">
        <v>1058</v>
      </c>
      <c r="E921" s="289">
        <v>10000</v>
      </c>
      <c r="F921" s="289" t="s">
        <v>1912</v>
      </c>
      <c r="G921" s="289">
        <v>6.2</v>
      </c>
      <c r="H921" s="246">
        <f t="shared" si="132"/>
        <v>62000</v>
      </c>
      <c r="I921" s="245" t="s">
        <v>1913</v>
      </c>
      <c r="J921" s="245" t="s">
        <v>967</v>
      </c>
      <c r="K921" s="245" t="s">
        <v>10</v>
      </c>
      <c r="L921" s="289"/>
      <c r="M921" s="245" t="s">
        <v>1381</v>
      </c>
      <c r="O921" s="245" t="s">
        <v>55</v>
      </c>
      <c r="P921" s="326">
        <v>46041</v>
      </c>
      <c r="Q921" s="245">
        <f t="shared" ca="1" si="128"/>
        <v>84</v>
      </c>
    </row>
    <row r="922" spans="1:17" s="245" customFormat="1" hidden="1">
      <c r="A922" s="289">
        <f t="shared" si="129"/>
        <v>920</v>
      </c>
      <c r="B922" s="284">
        <v>46030</v>
      </c>
      <c r="C922" s="245" t="str">
        <f t="shared" si="130"/>
        <v>MP0920</v>
      </c>
      <c r="D922" s="245" t="s">
        <v>1914</v>
      </c>
      <c r="E922" s="289">
        <v>75000</v>
      </c>
      <c r="F922" s="289" t="s">
        <v>1915</v>
      </c>
      <c r="G922" s="289">
        <v>2.2000000000000002</v>
      </c>
      <c r="H922" s="246">
        <f t="shared" si="132"/>
        <v>165000</v>
      </c>
      <c r="I922" s="245" t="s">
        <v>1916</v>
      </c>
      <c r="J922" s="245" t="s">
        <v>967</v>
      </c>
      <c r="K922" s="245" t="s">
        <v>10</v>
      </c>
      <c r="L922" s="289"/>
      <c r="O922" s="245" t="s">
        <v>55</v>
      </c>
      <c r="P922" s="326">
        <v>46080</v>
      </c>
      <c r="Q922" s="245">
        <f t="shared" ca="1" si="128"/>
        <v>45</v>
      </c>
    </row>
    <row r="923" spans="1:17" s="245" customFormat="1" hidden="1">
      <c r="A923" s="289">
        <f t="shared" si="129"/>
        <v>921</v>
      </c>
      <c r="B923" s="284">
        <v>46031</v>
      </c>
      <c r="C923" s="245" t="str">
        <f t="shared" si="130"/>
        <v>MP0921</v>
      </c>
      <c r="D923" s="381" t="s">
        <v>1917</v>
      </c>
      <c r="E923" s="289">
        <v>500</v>
      </c>
      <c r="F923" s="342" t="s">
        <v>1918</v>
      </c>
      <c r="G923" s="289">
        <v>430</v>
      </c>
      <c r="H923" s="246">
        <f t="shared" si="132"/>
        <v>215000</v>
      </c>
      <c r="I923" s="381" t="s">
        <v>1919</v>
      </c>
      <c r="J923" s="381" t="s">
        <v>609</v>
      </c>
      <c r="K923" s="245" t="s">
        <v>12</v>
      </c>
      <c r="L923" s="289"/>
      <c r="M923" s="245" t="s">
        <v>1920</v>
      </c>
      <c r="N923" s="245" t="s">
        <v>620</v>
      </c>
      <c r="O923" s="245" t="s">
        <v>55</v>
      </c>
      <c r="P923" s="326">
        <v>46090</v>
      </c>
      <c r="Q923" s="245">
        <f t="shared" ca="1" si="128"/>
        <v>35</v>
      </c>
    </row>
    <row r="924" spans="1:17" s="245" customFormat="1" hidden="1">
      <c r="A924" s="289">
        <f t="shared" si="129"/>
        <v>922</v>
      </c>
      <c r="B924" s="284">
        <v>46031</v>
      </c>
      <c r="C924" s="245" t="str">
        <f t="shared" si="130"/>
        <v>MP0922</v>
      </c>
      <c r="D924" s="381" t="s">
        <v>1921</v>
      </c>
      <c r="E924" s="289">
        <v>500</v>
      </c>
      <c r="F924" s="342" t="s">
        <v>1922</v>
      </c>
      <c r="G924" s="289">
        <v>445</v>
      </c>
      <c r="H924" s="246">
        <f t="shared" si="132"/>
        <v>222500</v>
      </c>
      <c r="I924" s="245" t="s">
        <v>1923</v>
      </c>
      <c r="J924" s="381" t="s">
        <v>609</v>
      </c>
      <c r="K924" s="245" t="s">
        <v>1525</v>
      </c>
      <c r="L924" s="289"/>
      <c r="M924" s="245" t="s">
        <v>1381</v>
      </c>
      <c r="N924" s="245" t="s">
        <v>620</v>
      </c>
      <c r="O924" s="245" t="s">
        <v>55</v>
      </c>
      <c r="P924" s="326">
        <v>46109</v>
      </c>
      <c r="Q924" s="245">
        <f t="shared" ca="1" si="128"/>
        <v>16</v>
      </c>
    </row>
    <row r="925" spans="1:17" s="245" customFormat="1" hidden="1">
      <c r="A925" s="289">
        <f t="shared" si="129"/>
        <v>923</v>
      </c>
      <c r="B925" s="284">
        <v>46031</v>
      </c>
      <c r="C925" s="245" t="str">
        <f t="shared" si="130"/>
        <v>MP0923</v>
      </c>
      <c r="D925" s="381" t="s">
        <v>1924</v>
      </c>
      <c r="E925" s="289">
        <v>1000</v>
      </c>
      <c r="F925" s="342" t="s">
        <v>1925</v>
      </c>
      <c r="G925" s="289">
        <v>29</v>
      </c>
      <c r="H925" s="246">
        <f t="shared" si="132"/>
        <v>29000</v>
      </c>
      <c r="I925" s="245" t="s">
        <v>1926</v>
      </c>
      <c r="J925" s="381" t="s">
        <v>609</v>
      </c>
      <c r="K925" s="245" t="s">
        <v>1289</v>
      </c>
      <c r="L925" s="289"/>
      <c r="N925" s="245" t="s">
        <v>620</v>
      </c>
      <c r="O925" s="245" t="s">
        <v>55</v>
      </c>
      <c r="P925" s="326">
        <v>46086</v>
      </c>
      <c r="Q925" s="245">
        <f t="shared" ca="1" si="128"/>
        <v>39</v>
      </c>
    </row>
    <row r="926" spans="1:17" s="250" customFormat="1" ht="29.25" hidden="1">
      <c r="A926" s="270">
        <f t="shared" si="129"/>
        <v>924</v>
      </c>
      <c r="B926" s="296">
        <v>46031</v>
      </c>
      <c r="C926" s="250" t="str">
        <f t="shared" si="130"/>
        <v>MP0924</v>
      </c>
      <c r="D926" s="441" t="s">
        <v>1927</v>
      </c>
      <c r="E926" s="270">
        <v>500</v>
      </c>
      <c r="F926" s="270" t="s">
        <v>1928</v>
      </c>
      <c r="G926" s="270">
        <v>145</v>
      </c>
      <c r="H926" s="252">
        <v>0</v>
      </c>
      <c r="I926" s="442" t="s">
        <v>1929</v>
      </c>
      <c r="J926" s="441" t="s">
        <v>609</v>
      </c>
      <c r="K926" s="250" t="s">
        <v>1525</v>
      </c>
      <c r="L926" s="270"/>
      <c r="M926" s="250" t="s">
        <v>1930</v>
      </c>
      <c r="N926" s="250" t="s">
        <v>620</v>
      </c>
      <c r="O926" s="250" t="s">
        <v>370</v>
      </c>
      <c r="P926" s="308">
        <v>46060</v>
      </c>
      <c r="Q926" s="250">
        <f t="shared" ca="1" si="128"/>
        <v>65</v>
      </c>
    </row>
    <row r="927" spans="1:17" s="245" customFormat="1" hidden="1">
      <c r="A927" s="289">
        <f t="shared" si="129"/>
        <v>925</v>
      </c>
      <c r="B927" s="284">
        <v>46031</v>
      </c>
      <c r="C927" s="245" t="str">
        <f t="shared" si="130"/>
        <v>MP0925</v>
      </c>
      <c r="D927" s="246" t="s">
        <v>800</v>
      </c>
      <c r="E927" s="247">
        <v>3000</v>
      </c>
      <c r="F927" s="247">
        <v>178</v>
      </c>
      <c r="G927" s="247">
        <v>28</v>
      </c>
      <c r="H927" s="246">
        <f t="shared" si="132"/>
        <v>84000</v>
      </c>
      <c r="I927" s="246" t="s">
        <v>237</v>
      </c>
      <c r="J927" s="246" t="s">
        <v>265</v>
      </c>
      <c r="K927" s="246" t="s">
        <v>24</v>
      </c>
      <c r="L927" s="248"/>
      <c r="M927" s="249"/>
      <c r="N927" s="246" t="s">
        <v>165</v>
      </c>
      <c r="O927" s="246" t="s">
        <v>55</v>
      </c>
      <c r="P927" s="328">
        <v>46076</v>
      </c>
      <c r="Q927" s="246">
        <f t="shared" ca="1" si="128"/>
        <v>49</v>
      </c>
    </row>
    <row r="928" spans="1:17" s="245" customFormat="1" ht="15.75" hidden="1">
      <c r="A928" s="289">
        <f t="shared" si="129"/>
        <v>926</v>
      </c>
      <c r="B928" s="284">
        <v>46031</v>
      </c>
      <c r="C928" s="245" t="str">
        <f t="shared" si="130"/>
        <v>MP0926</v>
      </c>
      <c r="D928" s="280" t="s">
        <v>626</v>
      </c>
      <c r="E928" s="247">
        <v>600</v>
      </c>
      <c r="F928" s="247">
        <v>350</v>
      </c>
      <c r="G928" s="247">
        <v>48</v>
      </c>
      <c r="H928" s="271">
        <f t="shared" si="132"/>
        <v>28800</v>
      </c>
      <c r="I928" s="277" t="s">
        <v>432</v>
      </c>
      <c r="J928" s="271" t="s">
        <v>628</v>
      </c>
      <c r="K928" s="271" t="s">
        <v>13</v>
      </c>
      <c r="L928" s="248"/>
      <c r="M928" s="281"/>
      <c r="N928" s="271" t="s">
        <v>133</v>
      </c>
      <c r="O928" s="271" t="s">
        <v>55</v>
      </c>
      <c r="P928" s="328">
        <v>46053</v>
      </c>
      <c r="Q928" s="246">
        <f t="shared" ca="1" si="128"/>
        <v>72</v>
      </c>
    </row>
    <row r="929" spans="1:17" s="245" customFormat="1" ht="15.75" hidden="1">
      <c r="A929" s="289">
        <f t="shared" si="129"/>
        <v>927</v>
      </c>
      <c r="B929" s="284">
        <v>46031</v>
      </c>
      <c r="C929" s="245" t="str">
        <f t="shared" si="130"/>
        <v>MP0927</v>
      </c>
      <c r="D929" s="273" t="s">
        <v>431</v>
      </c>
      <c r="E929" s="247">
        <v>600</v>
      </c>
      <c r="F929" s="247">
        <v>290</v>
      </c>
      <c r="G929" s="247">
        <v>48</v>
      </c>
      <c r="H929" s="246">
        <f t="shared" si="132"/>
        <v>28800</v>
      </c>
      <c r="I929" s="246" t="s">
        <v>432</v>
      </c>
      <c r="J929" s="246" t="s">
        <v>433</v>
      </c>
      <c r="K929" s="246" t="s">
        <v>13</v>
      </c>
      <c r="L929" s="248" t="s">
        <v>1810</v>
      </c>
      <c r="M929" s="249"/>
      <c r="N929" s="246" t="s">
        <v>620</v>
      </c>
      <c r="O929" s="271" t="s">
        <v>55</v>
      </c>
      <c r="P929" s="328">
        <v>46053</v>
      </c>
      <c r="Q929" s="246">
        <f t="shared" ca="1" si="128"/>
        <v>72</v>
      </c>
    </row>
    <row r="930" spans="1:17" s="245" customFormat="1" ht="15.75" hidden="1">
      <c r="A930" s="289">
        <f t="shared" si="129"/>
        <v>928</v>
      </c>
      <c r="B930" s="284">
        <v>46031</v>
      </c>
      <c r="C930" s="245" t="str">
        <f t="shared" si="130"/>
        <v>MP0928</v>
      </c>
      <c r="D930" s="280" t="s">
        <v>431</v>
      </c>
      <c r="E930" s="247">
        <v>600</v>
      </c>
      <c r="F930" s="247">
        <v>365</v>
      </c>
      <c r="G930" s="247">
        <v>48</v>
      </c>
      <c r="H930" s="271">
        <f t="shared" si="132"/>
        <v>28800</v>
      </c>
      <c r="I930" s="271" t="s">
        <v>432</v>
      </c>
      <c r="J930" s="271" t="s">
        <v>433</v>
      </c>
      <c r="K930" s="271" t="s">
        <v>13</v>
      </c>
      <c r="L930" s="338" t="s">
        <v>1810</v>
      </c>
      <c r="M930" s="281"/>
      <c r="N930" s="277" t="s">
        <v>620</v>
      </c>
      <c r="O930" s="271" t="s">
        <v>55</v>
      </c>
      <c r="P930" s="328">
        <v>46053</v>
      </c>
      <c r="Q930" s="246">
        <f t="shared" ca="1" si="128"/>
        <v>72</v>
      </c>
    </row>
    <row r="931" spans="1:17" s="210" customFormat="1" hidden="1">
      <c r="A931" s="264">
        <f t="shared" si="129"/>
        <v>929</v>
      </c>
      <c r="B931" s="225">
        <v>46031</v>
      </c>
      <c r="C931" s="210" t="str">
        <f t="shared" si="130"/>
        <v>MP0929</v>
      </c>
      <c r="D931" s="210" t="s">
        <v>1931</v>
      </c>
      <c r="E931" s="264">
        <v>2000</v>
      </c>
      <c r="F931" s="264" t="s">
        <v>1932</v>
      </c>
      <c r="G931" s="264">
        <v>83</v>
      </c>
      <c r="H931" s="209">
        <f t="shared" si="132"/>
        <v>166000</v>
      </c>
      <c r="I931" s="413" t="s">
        <v>1933</v>
      </c>
      <c r="J931" s="210" t="s">
        <v>634</v>
      </c>
      <c r="K931" s="210" t="s">
        <v>1459</v>
      </c>
      <c r="L931" s="264"/>
      <c r="M931" s="210" t="s">
        <v>1381</v>
      </c>
      <c r="N931" s="210" t="s">
        <v>620</v>
      </c>
      <c r="O931" s="210" t="s">
        <v>135</v>
      </c>
      <c r="P931" s="320">
        <v>46039</v>
      </c>
      <c r="Q931" s="210">
        <f t="shared" ca="1" si="128"/>
        <v>86</v>
      </c>
    </row>
    <row r="932" spans="1:17" s="245" customFormat="1" ht="30" hidden="1">
      <c r="A932" s="289">
        <f t="shared" si="129"/>
        <v>930</v>
      </c>
      <c r="B932" s="284">
        <v>46036</v>
      </c>
      <c r="C932" s="245" t="str">
        <f t="shared" si="130"/>
        <v>MP0930</v>
      </c>
      <c r="D932" s="245" t="s">
        <v>1934</v>
      </c>
      <c r="E932" s="289">
        <v>300</v>
      </c>
      <c r="F932" s="289" t="s">
        <v>1935</v>
      </c>
      <c r="G932" s="289">
        <v>127</v>
      </c>
      <c r="H932" s="407">
        <f t="shared" si="132"/>
        <v>38100</v>
      </c>
      <c r="I932" s="370" t="s">
        <v>1936</v>
      </c>
      <c r="J932" s="245" t="s">
        <v>60</v>
      </c>
      <c r="K932" s="245" t="s">
        <v>15</v>
      </c>
      <c r="L932" s="289"/>
      <c r="O932" s="245" t="s">
        <v>55</v>
      </c>
      <c r="P932" s="326">
        <v>46109</v>
      </c>
      <c r="Q932" s="245">
        <f t="shared" ref="Q932:Q977" ca="1" si="133">TODAY()-P932</f>
        <v>16</v>
      </c>
    </row>
    <row r="933" spans="1:17" s="245" customFormat="1">
      <c r="A933" s="289">
        <f t="shared" si="129"/>
        <v>931</v>
      </c>
      <c r="B933" s="284">
        <v>46036</v>
      </c>
      <c r="C933" s="245" t="str">
        <f t="shared" si="130"/>
        <v>MP0931</v>
      </c>
      <c r="D933" s="245" t="s">
        <v>1937</v>
      </c>
      <c r="E933" s="289">
        <v>1000</v>
      </c>
      <c r="F933" s="289">
        <v>472</v>
      </c>
      <c r="G933" s="289">
        <v>88</v>
      </c>
      <c r="H933" s="246">
        <f t="shared" si="132"/>
        <v>88000</v>
      </c>
      <c r="I933" s="245" t="s">
        <v>1938</v>
      </c>
      <c r="J933" s="245" t="s">
        <v>967</v>
      </c>
      <c r="K933" s="245" t="s">
        <v>10</v>
      </c>
      <c r="L933" s="289"/>
      <c r="O933" s="245" t="s">
        <v>55</v>
      </c>
      <c r="P933" s="326">
        <v>46076</v>
      </c>
      <c r="Q933" s="245">
        <f t="shared" ca="1" si="133"/>
        <v>49</v>
      </c>
    </row>
    <row r="934" spans="1:17" s="210" customFormat="1" ht="30" hidden="1">
      <c r="A934" s="264">
        <f t="shared" si="129"/>
        <v>932</v>
      </c>
      <c r="B934" s="225">
        <v>46036</v>
      </c>
      <c r="C934" s="210" t="str">
        <f t="shared" si="130"/>
        <v>MP0932</v>
      </c>
      <c r="D934" s="210" t="s">
        <v>1939</v>
      </c>
      <c r="E934" s="264">
        <v>300</v>
      </c>
      <c r="F934" s="401" t="s">
        <v>1940</v>
      </c>
      <c r="G934" s="264">
        <v>390</v>
      </c>
      <c r="H934" s="209">
        <f t="shared" si="132"/>
        <v>117000</v>
      </c>
      <c r="I934" s="210" t="s">
        <v>1941</v>
      </c>
      <c r="J934" s="210" t="s">
        <v>609</v>
      </c>
      <c r="K934" s="210" t="s">
        <v>1525</v>
      </c>
      <c r="L934" s="264"/>
      <c r="O934" s="210" t="s">
        <v>135</v>
      </c>
      <c r="P934" s="320">
        <v>46049</v>
      </c>
      <c r="Q934" s="210">
        <f t="shared" ca="1" si="133"/>
        <v>76</v>
      </c>
    </row>
    <row r="935" spans="1:17" s="210" customFormat="1" hidden="1">
      <c r="A935" s="264">
        <f t="shared" si="129"/>
        <v>933</v>
      </c>
      <c r="B935" s="225">
        <v>46036</v>
      </c>
      <c r="C935" s="210" t="str">
        <f t="shared" si="130"/>
        <v>MP0933</v>
      </c>
      <c r="D935" s="210" t="s">
        <v>1942</v>
      </c>
      <c r="E935" s="264">
        <v>300</v>
      </c>
      <c r="F935" s="264" t="s">
        <v>1943</v>
      </c>
      <c r="G935" s="264">
        <v>290</v>
      </c>
      <c r="H935" s="209">
        <f t="shared" si="132"/>
        <v>87000</v>
      </c>
      <c r="I935" s="210" t="s">
        <v>1944</v>
      </c>
      <c r="J935" s="210" t="s">
        <v>609</v>
      </c>
      <c r="K935" s="210" t="s">
        <v>1525</v>
      </c>
      <c r="L935" s="264"/>
      <c r="M935" s="210" t="s">
        <v>1381</v>
      </c>
      <c r="O935" s="210" t="s">
        <v>135</v>
      </c>
      <c r="P935" s="320">
        <v>46049</v>
      </c>
      <c r="Q935" s="210">
        <f t="shared" ca="1" si="133"/>
        <v>76</v>
      </c>
    </row>
    <row r="936" spans="1:17" s="210" customFormat="1" hidden="1">
      <c r="A936" s="264">
        <f t="shared" si="129"/>
        <v>934</v>
      </c>
      <c r="B936" s="225">
        <v>46036</v>
      </c>
      <c r="C936" s="210" t="str">
        <f t="shared" si="130"/>
        <v>MP0934</v>
      </c>
      <c r="D936" s="210" t="s">
        <v>1945</v>
      </c>
      <c r="E936" s="264">
        <v>300</v>
      </c>
      <c r="F936" s="264" t="s">
        <v>1946</v>
      </c>
      <c r="G936" s="264">
        <v>240</v>
      </c>
      <c r="H936" s="209">
        <f t="shared" si="132"/>
        <v>72000</v>
      </c>
      <c r="I936" s="210" t="s">
        <v>1947</v>
      </c>
      <c r="J936" s="210" t="s">
        <v>609</v>
      </c>
      <c r="K936" s="210" t="s">
        <v>1525</v>
      </c>
      <c r="L936" s="264"/>
      <c r="M936" s="210" t="s">
        <v>1381</v>
      </c>
      <c r="O936" s="210" t="s">
        <v>135</v>
      </c>
      <c r="P936" s="320">
        <v>46049</v>
      </c>
      <c r="Q936" s="210">
        <f t="shared" ca="1" si="133"/>
        <v>76</v>
      </c>
    </row>
    <row r="937" spans="1:17" s="245" customFormat="1" hidden="1">
      <c r="A937" s="289">
        <f t="shared" si="129"/>
        <v>935</v>
      </c>
      <c r="B937" s="284">
        <v>46036</v>
      </c>
      <c r="C937" s="245" t="str">
        <f t="shared" si="130"/>
        <v>MP0935</v>
      </c>
      <c r="D937" s="245" t="s">
        <v>1948</v>
      </c>
      <c r="E937" s="289">
        <v>300</v>
      </c>
      <c r="F937" s="289" t="s">
        <v>1949</v>
      </c>
      <c r="G937" s="289">
        <v>140</v>
      </c>
      <c r="H937" s="246">
        <f t="shared" si="132"/>
        <v>42000</v>
      </c>
      <c r="I937" s="245" t="s">
        <v>1950</v>
      </c>
      <c r="J937" s="245" t="s">
        <v>609</v>
      </c>
      <c r="K937" s="245" t="s">
        <v>1525</v>
      </c>
      <c r="L937" s="289"/>
      <c r="M937" s="245" t="s">
        <v>1381</v>
      </c>
      <c r="O937" s="245" t="s">
        <v>55</v>
      </c>
      <c r="P937" s="326">
        <v>46119</v>
      </c>
      <c r="Q937" s="245">
        <f t="shared" ca="1" si="133"/>
        <v>6</v>
      </c>
    </row>
    <row r="938" spans="1:17" s="245" customFormat="1" hidden="1">
      <c r="A938" s="289">
        <f t="shared" si="129"/>
        <v>936</v>
      </c>
      <c r="B938" s="284">
        <v>46036</v>
      </c>
      <c r="C938" s="245" t="str">
        <f t="shared" si="130"/>
        <v>MP0936</v>
      </c>
      <c r="D938" s="245" t="s">
        <v>1951</v>
      </c>
      <c r="E938" s="289">
        <v>300</v>
      </c>
      <c r="F938" s="289">
        <v>1350</v>
      </c>
      <c r="G938" s="289">
        <v>100</v>
      </c>
      <c r="H938" s="315">
        <f t="shared" si="132"/>
        <v>30000</v>
      </c>
      <c r="I938" s="245" t="s">
        <v>66</v>
      </c>
      <c r="J938" s="245" t="s">
        <v>60</v>
      </c>
      <c r="K938" s="245" t="s">
        <v>4</v>
      </c>
      <c r="L938" s="289"/>
      <c r="O938" s="245" t="s">
        <v>55</v>
      </c>
      <c r="P938" s="326">
        <v>46062</v>
      </c>
      <c r="Q938" s="245">
        <f t="shared" ca="1" si="133"/>
        <v>63</v>
      </c>
    </row>
    <row r="939" spans="1:17" s="245" customFormat="1" ht="30" hidden="1">
      <c r="A939" s="289">
        <f t="shared" si="129"/>
        <v>937</v>
      </c>
      <c r="B939" s="284">
        <v>46036</v>
      </c>
      <c r="C939" s="245" t="str">
        <f t="shared" si="130"/>
        <v>MP0937</v>
      </c>
      <c r="D939" s="245" t="s">
        <v>1952</v>
      </c>
      <c r="E939" s="289">
        <v>300</v>
      </c>
      <c r="F939" s="382" t="s">
        <v>1953</v>
      </c>
      <c r="G939" s="289">
        <v>220</v>
      </c>
      <c r="H939" s="246">
        <f t="shared" si="132"/>
        <v>66000</v>
      </c>
      <c r="I939" s="370" t="s">
        <v>1068</v>
      </c>
      <c r="J939" s="245" t="s">
        <v>609</v>
      </c>
      <c r="K939" s="245" t="s">
        <v>9</v>
      </c>
      <c r="L939" s="289" t="s">
        <v>1069</v>
      </c>
      <c r="M939" s="245" t="s">
        <v>1954</v>
      </c>
      <c r="N939" s="277" t="s">
        <v>620</v>
      </c>
      <c r="O939" s="245" t="s">
        <v>55</v>
      </c>
      <c r="P939" s="326">
        <v>46088</v>
      </c>
      <c r="Q939" s="245">
        <f t="shared" ca="1" si="133"/>
        <v>37</v>
      </c>
    </row>
    <row r="940" spans="1:17" s="245" customFormat="1" hidden="1">
      <c r="A940" s="289">
        <f t="shared" si="129"/>
        <v>938</v>
      </c>
      <c r="B940" s="284">
        <v>46036</v>
      </c>
      <c r="C940" s="245" t="str">
        <f t="shared" si="130"/>
        <v>MP0938</v>
      </c>
      <c r="D940" s="245" t="s">
        <v>1955</v>
      </c>
      <c r="E940" s="247">
        <v>375</v>
      </c>
      <c r="F940" s="247" t="s">
        <v>1693</v>
      </c>
      <c r="G940" s="247">
        <v>430</v>
      </c>
      <c r="H940" s="246">
        <f t="shared" si="132"/>
        <v>161250</v>
      </c>
      <c r="I940" s="246" t="s">
        <v>152</v>
      </c>
      <c r="J940" s="246" t="s">
        <v>60</v>
      </c>
      <c r="K940" s="246" t="s">
        <v>7</v>
      </c>
      <c r="L940" s="289"/>
      <c r="O940" s="245" t="s">
        <v>55</v>
      </c>
      <c r="P940" s="326">
        <v>46109</v>
      </c>
      <c r="Q940" s="245">
        <f t="shared" ca="1" si="133"/>
        <v>16</v>
      </c>
    </row>
    <row r="941" spans="1:17" s="245" customFormat="1" hidden="1">
      <c r="A941" s="289">
        <f t="shared" si="129"/>
        <v>939</v>
      </c>
      <c r="B941" s="284">
        <v>46036</v>
      </c>
      <c r="C941" s="245" t="str">
        <f t="shared" si="130"/>
        <v>MP0939</v>
      </c>
      <c r="D941" s="246" t="s">
        <v>349</v>
      </c>
      <c r="E941" s="247">
        <v>150</v>
      </c>
      <c r="F941" s="247" t="s">
        <v>1573</v>
      </c>
      <c r="G941" s="247">
        <v>510</v>
      </c>
      <c r="H941" s="246">
        <f t="shared" si="132"/>
        <v>76500</v>
      </c>
      <c r="I941" s="246" t="s">
        <v>125</v>
      </c>
      <c r="J941" s="246" t="s">
        <v>60</v>
      </c>
      <c r="K941" s="246" t="s">
        <v>9</v>
      </c>
      <c r="L941" s="289"/>
      <c r="O941" s="245" t="s">
        <v>55</v>
      </c>
      <c r="P941" s="326">
        <v>46059</v>
      </c>
      <c r="Q941" s="245">
        <f t="shared" ca="1" si="133"/>
        <v>66</v>
      </c>
    </row>
    <row r="942" spans="1:17" s="245" customFormat="1" hidden="1">
      <c r="A942" s="289">
        <f t="shared" si="129"/>
        <v>940</v>
      </c>
      <c r="B942" s="284">
        <v>46036</v>
      </c>
      <c r="C942" s="245" t="str">
        <f t="shared" si="130"/>
        <v>MP0940</v>
      </c>
      <c r="D942" s="245" t="s">
        <v>1304</v>
      </c>
      <c r="E942" s="289">
        <v>1000</v>
      </c>
      <c r="F942" s="289">
        <v>419</v>
      </c>
      <c r="G942" s="289">
        <v>46</v>
      </c>
      <c r="H942" s="246">
        <f t="shared" si="132"/>
        <v>46000</v>
      </c>
      <c r="K942" s="245" t="s">
        <v>1156</v>
      </c>
      <c r="L942" s="289"/>
      <c r="O942" s="245" t="s">
        <v>55</v>
      </c>
      <c r="P942" s="326">
        <v>46038</v>
      </c>
      <c r="Q942" s="245">
        <f t="shared" ca="1" si="133"/>
        <v>87</v>
      </c>
    </row>
    <row r="943" spans="1:17" s="245" customFormat="1" hidden="1">
      <c r="A943" s="289">
        <f t="shared" si="129"/>
        <v>941</v>
      </c>
      <c r="B943" s="284">
        <v>46037</v>
      </c>
      <c r="C943" s="245" t="str">
        <f t="shared" si="130"/>
        <v>MP0941</v>
      </c>
      <c r="D943" s="245" t="s">
        <v>1956</v>
      </c>
      <c r="E943" s="289">
        <v>5000</v>
      </c>
      <c r="F943" s="289" t="s">
        <v>1957</v>
      </c>
      <c r="G943" s="289">
        <v>17</v>
      </c>
      <c r="H943" s="246">
        <f t="shared" si="132"/>
        <v>85000</v>
      </c>
      <c r="I943" s="245" t="s">
        <v>1958</v>
      </c>
      <c r="J943" s="245" t="s">
        <v>930</v>
      </c>
      <c r="K943" s="245" t="s">
        <v>1959</v>
      </c>
      <c r="L943" s="289"/>
      <c r="M943" s="245" t="s">
        <v>1381</v>
      </c>
      <c r="N943" s="245" t="s">
        <v>1960</v>
      </c>
      <c r="O943" s="245" t="s">
        <v>55</v>
      </c>
      <c r="P943" s="326">
        <v>46109</v>
      </c>
      <c r="Q943" s="245">
        <f t="shared" ca="1" si="133"/>
        <v>16</v>
      </c>
    </row>
    <row r="944" spans="1:17" s="245" customFormat="1" hidden="1">
      <c r="A944" s="289">
        <f t="shared" ref="A944:A1007" si="134">IF(B944="","",ROW()-2)</f>
        <v>942</v>
      </c>
      <c r="B944" s="284">
        <v>46037</v>
      </c>
      <c r="C944" s="245" t="str">
        <f t="shared" ref="C944:C1001" si="135">IF(B944="","",_xlfn.CONCAT("MP0",A944))</f>
        <v>MP0942</v>
      </c>
      <c r="D944" s="245" t="s">
        <v>1961</v>
      </c>
      <c r="E944" s="289">
        <v>5000</v>
      </c>
      <c r="F944" s="289" t="s">
        <v>1957</v>
      </c>
      <c r="G944" s="289">
        <v>17</v>
      </c>
      <c r="H944" s="246">
        <f t="shared" si="132"/>
        <v>85000</v>
      </c>
      <c r="I944" s="245" t="s">
        <v>1958</v>
      </c>
      <c r="J944" s="245" t="s">
        <v>930</v>
      </c>
      <c r="K944" s="245" t="s">
        <v>1959</v>
      </c>
      <c r="L944" s="289"/>
      <c r="M944" s="245" t="s">
        <v>1381</v>
      </c>
      <c r="O944" s="245" t="s">
        <v>55</v>
      </c>
      <c r="P944" s="326">
        <v>46109</v>
      </c>
      <c r="Q944" s="245">
        <f t="shared" ca="1" si="133"/>
        <v>16</v>
      </c>
    </row>
    <row r="945" spans="1:17" s="245" customFormat="1" hidden="1">
      <c r="A945" s="289">
        <f t="shared" si="134"/>
        <v>943</v>
      </c>
      <c r="B945" s="284">
        <v>46037</v>
      </c>
      <c r="C945" s="245" t="str">
        <f t="shared" si="135"/>
        <v>MP0943</v>
      </c>
      <c r="D945" s="245" t="s">
        <v>147</v>
      </c>
      <c r="E945" s="289">
        <v>500</v>
      </c>
      <c r="F945" s="289" t="s">
        <v>1771</v>
      </c>
      <c r="G945" s="289">
        <v>144</v>
      </c>
      <c r="H945" s="246">
        <f t="shared" si="132"/>
        <v>72000</v>
      </c>
      <c r="I945" s="245" t="s">
        <v>66</v>
      </c>
      <c r="J945" s="245" t="s">
        <v>87</v>
      </c>
      <c r="K945" s="245" t="s">
        <v>15</v>
      </c>
      <c r="L945" s="289"/>
      <c r="O945" s="245" t="s">
        <v>55</v>
      </c>
      <c r="P945" s="326">
        <v>46088</v>
      </c>
      <c r="Q945" s="245">
        <f t="shared" ca="1" si="133"/>
        <v>37</v>
      </c>
    </row>
    <row r="946" spans="1:17" s="210" customFormat="1" hidden="1">
      <c r="A946" s="264">
        <f t="shared" si="134"/>
        <v>944</v>
      </c>
      <c r="B946" s="225">
        <v>46038</v>
      </c>
      <c r="C946" s="210" t="str">
        <f t="shared" si="135"/>
        <v>MP0944</v>
      </c>
      <c r="D946" s="210" t="s">
        <v>1962</v>
      </c>
      <c r="E946" s="264">
        <v>3000</v>
      </c>
      <c r="F946" s="264" t="s">
        <v>231</v>
      </c>
      <c r="G946" s="264">
        <v>7.5</v>
      </c>
      <c r="H946" s="209">
        <f t="shared" si="132"/>
        <v>22500</v>
      </c>
      <c r="I946" s="210" t="s">
        <v>1077</v>
      </c>
      <c r="J946" s="210" t="s">
        <v>844</v>
      </c>
      <c r="K946" s="210" t="s">
        <v>20</v>
      </c>
      <c r="L946" s="264"/>
      <c r="N946" s="210" t="s">
        <v>620</v>
      </c>
      <c r="O946" s="210" t="s">
        <v>135</v>
      </c>
      <c r="P946" s="320">
        <v>46051</v>
      </c>
      <c r="Q946" s="210">
        <f t="shared" ca="1" si="133"/>
        <v>74</v>
      </c>
    </row>
    <row r="947" spans="1:17" s="245" customFormat="1" ht="45" hidden="1">
      <c r="A947" s="289">
        <f t="shared" si="134"/>
        <v>945</v>
      </c>
      <c r="B947" s="284">
        <v>46038</v>
      </c>
      <c r="C947" s="245" t="str">
        <f t="shared" si="135"/>
        <v>MP0945</v>
      </c>
      <c r="D947" s="245" t="s">
        <v>1963</v>
      </c>
      <c r="E947" s="289">
        <v>1000</v>
      </c>
      <c r="F947" s="289" t="s">
        <v>1728</v>
      </c>
      <c r="G947" s="289">
        <v>140</v>
      </c>
      <c r="H947" s="246">
        <f t="shared" si="132"/>
        <v>140000</v>
      </c>
      <c r="I947" s="370" t="s">
        <v>1964</v>
      </c>
      <c r="J947" s="245" t="s">
        <v>1723</v>
      </c>
      <c r="K947" s="245" t="s">
        <v>1322</v>
      </c>
      <c r="L947" s="289"/>
      <c r="M947" s="370"/>
      <c r="N947" s="245" t="s">
        <v>620</v>
      </c>
      <c r="O947" s="245" t="s">
        <v>55</v>
      </c>
      <c r="P947" s="326">
        <v>46071</v>
      </c>
      <c r="Q947" s="245">
        <f t="shared" ca="1" si="133"/>
        <v>54</v>
      </c>
    </row>
    <row r="948" spans="1:17" s="250" customFormat="1" ht="30" hidden="1">
      <c r="A948" s="270">
        <f t="shared" si="134"/>
        <v>946</v>
      </c>
      <c r="B948" s="296">
        <v>46043</v>
      </c>
      <c r="C948" s="250" t="str">
        <f t="shared" si="135"/>
        <v>MP0946</v>
      </c>
      <c r="D948" s="250" t="s">
        <v>1965</v>
      </c>
      <c r="E948" s="270">
        <v>2000</v>
      </c>
      <c r="F948" s="270" t="s">
        <v>1966</v>
      </c>
      <c r="G948" s="270">
        <v>11.8</v>
      </c>
      <c r="H948" s="252">
        <v>0</v>
      </c>
      <c r="I948" s="333" t="s">
        <v>1967</v>
      </c>
      <c r="J948" s="250" t="s">
        <v>930</v>
      </c>
      <c r="K948" s="250" t="s">
        <v>22</v>
      </c>
      <c r="L948" s="270"/>
      <c r="M948" s="250" t="s">
        <v>1605</v>
      </c>
      <c r="O948" s="250" t="s">
        <v>370</v>
      </c>
      <c r="P948" s="308">
        <v>46043</v>
      </c>
      <c r="Q948" s="250">
        <f t="shared" ca="1" si="133"/>
        <v>82</v>
      </c>
    </row>
    <row r="949" spans="1:17" s="245" customFormat="1" ht="30" hidden="1">
      <c r="A949" s="289">
        <f t="shared" si="134"/>
        <v>947</v>
      </c>
      <c r="B949" s="284">
        <v>46043</v>
      </c>
      <c r="C949" s="245" t="str">
        <f t="shared" si="135"/>
        <v>MP0947</v>
      </c>
      <c r="D949" s="245" t="s">
        <v>1968</v>
      </c>
      <c r="E949" s="289">
        <v>2000</v>
      </c>
      <c r="F949" s="289" t="s">
        <v>1969</v>
      </c>
      <c r="G949" s="289">
        <v>10.8</v>
      </c>
      <c r="H949" s="246">
        <f t="shared" si="132"/>
        <v>21600</v>
      </c>
      <c r="I949" s="370" t="s">
        <v>1970</v>
      </c>
      <c r="J949" s="245" t="s">
        <v>930</v>
      </c>
      <c r="K949" s="245" t="s">
        <v>22</v>
      </c>
      <c r="L949" s="289"/>
      <c r="N949" s="245" t="s">
        <v>620</v>
      </c>
      <c r="O949" s="245" t="s">
        <v>55</v>
      </c>
      <c r="P949" s="326">
        <v>46109</v>
      </c>
      <c r="Q949" s="245">
        <f t="shared" ca="1" si="133"/>
        <v>16</v>
      </c>
    </row>
    <row r="950" spans="1:17" s="210" customFormat="1" hidden="1">
      <c r="A950" s="264">
        <f t="shared" si="134"/>
        <v>948</v>
      </c>
      <c r="B950" s="225">
        <v>46043</v>
      </c>
      <c r="C950" s="210" t="str">
        <f t="shared" si="135"/>
        <v>MP0948</v>
      </c>
      <c r="D950" s="437" t="s">
        <v>1971</v>
      </c>
      <c r="E950" s="264">
        <v>500</v>
      </c>
      <c r="F950" s="264" t="s">
        <v>1896</v>
      </c>
      <c r="G950" s="264">
        <v>125</v>
      </c>
      <c r="H950" s="209">
        <f t="shared" si="132"/>
        <v>62500</v>
      </c>
      <c r="I950" s="210" t="s">
        <v>1972</v>
      </c>
      <c r="J950" s="210" t="s">
        <v>609</v>
      </c>
      <c r="K950" s="210" t="s">
        <v>1973</v>
      </c>
      <c r="L950" s="264"/>
      <c r="O950" s="210" t="s">
        <v>135</v>
      </c>
      <c r="P950" s="320">
        <v>46051</v>
      </c>
      <c r="Q950" s="210">
        <f t="shared" ca="1" si="133"/>
        <v>74</v>
      </c>
    </row>
    <row r="951" spans="1:17" s="210" customFormat="1" hidden="1">
      <c r="A951" s="264">
        <f t="shared" si="134"/>
        <v>949</v>
      </c>
      <c r="B951" s="225">
        <v>46043</v>
      </c>
      <c r="C951" s="210" t="str">
        <f t="shared" si="135"/>
        <v>MP0949</v>
      </c>
      <c r="D951" s="413" t="s">
        <v>1974</v>
      </c>
      <c r="E951" s="264">
        <v>500</v>
      </c>
      <c r="F951" s="264" t="s">
        <v>1975</v>
      </c>
      <c r="G951" s="264">
        <v>125</v>
      </c>
      <c r="H951" s="209">
        <f t="shared" si="132"/>
        <v>62500</v>
      </c>
      <c r="I951" s="413" t="s">
        <v>1976</v>
      </c>
      <c r="J951" s="210" t="s">
        <v>609</v>
      </c>
      <c r="K951" s="210" t="s">
        <v>1973</v>
      </c>
      <c r="L951" s="264"/>
      <c r="O951" s="210" t="s">
        <v>135</v>
      </c>
      <c r="P951" s="320">
        <v>46051</v>
      </c>
      <c r="Q951" s="210">
        <f t="shared" ca="1" si="133"/>
        <v>74</v>
      </c>
    </row>
    <row r="952" spans="1:17" s="210" customFormat="1" hidden="1">
      <c r="A952" s="264">
        <f t="shared" si="134"/>
        <v>950</v>
      </c>
      <c r="B952" s="225">
        <v>46045</v>
      </c>
      <c r="C952" s="210" t="str">
        <f t="shared" si="135"/>
        <v>MP0950</v>
      </c>
      <c r="D952" s="210" t="s">
        <v>1977</v>
      </c>
      <c r="E952" s="264">
        <v>2000</v>
      </c>
      <c r="F952" s="264" t="s">
        <v>1978</v>
      </c>
      <c r="G952" s="264">
        <v>40</v>
      </c>
      <c r="H952" s="209">
        <f t="shared" si="132"/>
        <v>80000</v>
      </c>
      <c r="I952" s="210" t="s">
        <v>1979</v>
      </c>
      <c r="J952" s="210" t="s">
        <v>628</v>
      </c>
      <c r="K952" s="210" t="s">
        <v>918</v>
      </c>
      <c r="L952" s="264"/>
      <c r="M952" s="210" t="s">
        <v>1381</v>
      </c>
      <c r="O952" s="210" t="s">
        <v>135</v>
      </c>
      <c r="P952" s="320">
        <v>46070</v>
      </c>
      <c r="Q952" s="210">
        <f t="shared" ca="1" si="133"/>
        <v>55</v>
      </c>
    </row>
    <row r="953" spans="1:17" s="245" customFormat="1" ht="45" hidden="1">
      <c r="A953" s="289">
        <f t="shared" si="134"/>
        <v>951</v>
      </c>
      <c r="B953" s="284">
        <v>46045</v>
      </c>
      <c r="C953" s="245" t="str">
        <f t="shared" si="135"/>
        <v>MP0951</v>
      </c>
      <c r="D953" s="245" t="s">
        <v>1980</v>
      </c>
      <c r="E953" s="289">
        <v>300</v>
      </c>
      <c r="F953" s="289" t="s">
        <v>1981</v>
      </c>
      <c r="G953" s="289">
        <v>110</v>
      </c>
      <c r="H953" s="246">
        <f t="shared" si="132"/>
        <v>33000</v>
      </c>
      <c r="I953" s="370" t="s">
        <v>1982</v>
      </c>
      <c r="J953" s="245" t="s">
        <v>609</v>
      </c>
      <c r="K953" s="245" t="s">
        <v>918</v>
      </c>
      <c r="L953" s="289"/>
      <c r="M953" s="245" t="s">
        <v>1381</v>
      </c>
      <c r="O953" s="245" t="s">
        <v>55</v>
      </c>
      <c r="P953" s="326">
        <v>46109</v>
      </c>
      <c r="Q953" s="245">
        <f t="shared" ca="1" si="133"/>
        <v>16</v>
      </c>
    </row>
    <row r="954" spans="1:17" s="245" customFormat="1" ht="105" hidden="1">
      <c r="A954" s="289">
        <f t="shared" si="134"/>
        <v>952</v>
      </c>
      <c r="B954" s="284">
        <v>46045</v>
      </c>
      <c r="C954" s="245" t="str">
        <f t="shared" si="135"/>
        <v>MP0952</v>
      </c>
      <c r="D954" s="245" t="s">
        <v>1983</v>
      </c>
      <c r="E954" s="289">
        <v>300</v>
      </c>
      <c r="F954" s="289" t="s">
        <v>1981</v>
      </c>
      <c r="G954" s="289">
        <v>160</v>
      </c>
      <c r="H954" s="246">
        <f t="shared" si="132"/>
        <v>48000</v>
      </c>
      <c r="I954" s="370" t="s">
        <v>1984</v>
      </c>
      <c r="J954" s="245" t="s">
        <v>609</v>
      </c>
      <c r="K954" s="245" t="s">
        <v>2</v>
      </c>
      <c r="L954" s="289"/>
      <c r="O954" s="245" t="s">
        <v>55</v>
      </c>
      <c r="P954" s="326">
        <v>46109</v>
      </c>
      <c r="Q954" s="245">
        <f t="shared" ca="1" si="133"/>
        <v>16</v>
      </c>
    </row>
    <row r="955" spans="1:17" s="245" customFormat="1" hidden="1">
      <c r="A955" s="289">
        <f t="shared" si="134"/>
        <v>953</v>
      </c>
      <c r="B955" s="284">
        <v>46045</v>
      </c>
      <c r="C955" s="245" t="str">
        <f t="shared" si="135"/>
        <v>MP0953</v>
      </c>
      <c r="D955" s="245" t="s">
        <v>1985</v>
      </c>
      <c r="E955" s="289">
        <v>1000</v>
      </c>
      <c r="F955" s="289" t="s">
        <v>1986</v>
      </c>
      <c r="G955" s="289">
        <v>58</v>
      </c>
      <c r="H955" s="246">
        <f>IF(G955="","",E955*G955)</f>
        <v>58000</v>
      </c>
      <c r="I955" s="370" t="s">
        <v>1987</v>
      </c>
      <c r="J955" s="245" t="s">
        <v>609</v>
      </c>
      <c r="K955" s="245" t="s">
        <v>4</v>
      </c>
      <c r="L955" s="289"/>
      <c r="N955" s="245" t="s">
        <v>620</v>
      </c>
      <c r="O955" s="245" t="s">
        <v>55</v>
      </c>
      <c r="P955" s="326">
        <v>46057</v>
      </c>
      <c r="Q955" s="245">
        <f t="shared" ca="1" si="133"/>
        <v>68</v>
      </c>
    </row>
    <row r="956" spans="1:17" s="245" customFormat="1" hidden="1">
      <c r="A956" s="289">
        <f t="shared" si="134"/>
        <v>954</v>
      </c>
      <c r="B956" s="284">
        <v>46045</v>
      </c>
      <c r="C956" s="245" t="str">
        <f t="shared" si="135"/>
        <v>MP0954</v>
      </c>
      <c r="D956" s="245" t="s">
        <v>1988</v>
      </c>
      <c r="E956" s="289">
        <v>300</v>
      </c>
      <c r="F956" s="289" t="s">
        <v>1989</v>
      </c>
      <c r="G956" s="289">
        <v>100</v>
      </c>
      <c r="H956" s="246">
        <f>IF(G956="","",E956*G956)</f>
        <v>30000</v>
      </c>
      <c r="I956" s="370" t="s">
        <v>1990</v>
      </c>
      <c r="J956" s="245" t="s">
        <v>609</v>
      </c>
      <c r="K956" s="245" t="s">
        <v>4</v>
      </c>
      <c r="L956" s="289"/>
      <c r="N956" s="245" t="s">
        <v>620</v>
      </c>
      <c r="O956" s="245" t="s">
        <v>55</v>
      </c>
      <c r="P956" s="326">
        <v>46109</v>
      </c>
      <c r="Q956" s="245">
        <f t="shared" ca="1" si="133"/>
        <v>16</v>
      </c>
    </row>
    <row r="957" spans="1:17" s="245" customFormat="1" hidden="1">
      <c r="A957" s="289">
        <f t="shared" si="134"/>
        <v>955</v>
      </c>
      <c r="B957" s="284">
        <v>46045</v>
      </c>
      <c r="C957" s="245" t="str">
        <f t="shared" si="135"/>
        <v>MP0955</v>
      </c>
      <c r="D957" s="245" t="s">
        <v>1209</v>
      </c>
      <c r="E957" s="289">
        <v>500</v>
      </c>
      <c r="F957" s="289">
        <v>90</v>
      </c>
      <c r="G957" s="289">
        <v>78</v>
      </c>
      <c r="H957" s="246">
        <f t="shared" ref="H957" si="136">IF(G957="","",E957*G957)</f>
        <v>39000</v>
      </c>
      <c r="I957" s="245" t="s">
        <v>1152</v>
      </c>
      <c r="J957" s="246" t="s">
        <v>60</v>
      </c>
      <c r="K957" s="245" t="s">
        <v>1042</v>
      </c>
      <c r="L957" s="289"/>
      <c r="N957" s="245" t="s">
        <v>620</v>
      </c>
      <c r="O957" s="245" t="s">
        <v>55</v>
      </c>
      <c r="P957" s="326">
        <v>46076</v>
      </c>
      <c r="Q957" s="245">
        <f t="shared" ca="1" si="133"/>
        <v>49</v>
      </c>
    </row>
    <row r="958" spans="1:17" s="250" customFormat="1" hidden="1">
      <c r="A958" s="270">
        <f t="shared" si="134"/>
        <v>956</v>
      </c>
      <c r="B958" s="296">
        <v>46046</v>
      </c>
      <c r="C958" s="250" t="str">
        <f t="shared" si="135"/>
        <v>MP0956</v>
      </c>
      <c r="D958" s="250" t="s">
        <v>1991</v>
      </c>
      <c r="E958" s="270">
        <v>5000</v>
      </c>
      <c r="F958" s="270" t="s">
        <v>1992</v>
      </c>
      <c r="G958" s="270">
        <v>4.5999999999999996</v>
      </c>
      <c r="H958" s="252">
        <v>0</v>
      </c>
      <c r="I958" s="250" t="s">
        <v>1993</v>
      </c>
      <c r="K958" s="250" t="s">
        <v>1156</v>
      </c>
      <c r="L958" s="270"/>
      <c r="N958" s="250" t="s">
        <v>620</v>
      </c>
      <c r="O958" s="250" t="s">
        <v>370</v>
      </c>
      <c r="P958" s="308">
        <v>46046</v>
      </c>
      <c r="Q958" s="250">
        <f t="shared" ca="1" si="133"/>
        <v>79</v>
      </c>
    </row>
    <row r="959" spans="1:17" s="250" customFormat="1" hidden="1">
      <c r="A959" s="270">
        <f t="shared" si="134"/>
        <v>957</v>
      </c>
      <c r="B959" s="296">
        <v>46046</v>
      </c>
      <c r="C959" s="250" t="str">
        <f t="shared" si="135"/>
        <v>MP0957</v>
      </c>
      <c r="D959" s="250" t="s">
        <v>1994</v>
      </c>
      <c r="E959" s="270">
        <v>5000</v>
      </c>
      <c r="F959" s="270" t="s">
        <v>1995</v>
      </c>
      <c r="G959" s="270">
        <v>6.25</v>
      </c>
      <c r="H959" s="252">
        <v>0</v>
      </c>
      <c r="I959" s="250" t="s">
        <v>1996</v>
      </c>
      <c r="K959" s="250" t="s">
        <v>1156</v>
      </c>
      <c r="L959" s="270"/>
      <c r="N959" s="250" t="s">
        <v>620</v>
      </c>
      <c r="O959" s="250" t="s">
        <v>370</v>
      </c>
      <c r="P959" s="308">
        <v>46046</v>
      </c>
      <c r="Q959" s="250">
        <f t="shared" ca="1" si="133"/>
        <v>79</v>
      </c>
    </row>
    <row r="960" spans="1:17" s="245" customFormat="1" hidden="1">
      <c r="A960" s="289">
        <f t="shared" si="134"/>
        <v>958</v>
      </c>
      <c r="B960" s="284">
        <v>46049</v>
      </c>
      <c r="C960" s="245" t="str">
        <f t="shared" si="135"/>
        <v>MP0958</v>
      </c>
      <c r="D960" s="315" t="s">
        <v>1340</v>
      </c>
      <c r="E960" s="337">
        <v>300</v>
      </c>
      <c r="F960" s="337">
        <v>99</v>
      </c>
      <c r="G960" s="348">
        <v>130</v>
      </c>
      <c r="H960" s="315">
        <f t="shared" ref="H960:H975" si="137">IF(G960="","",E960*G960)</f>
        <v>39000</v>
      </c>
      <c r="I960" s="294" t="s">
        <v>1341</v>
      </c>
      <c r="J960" s="277" t="s">
        <v>60</v>
      </c>
      <c r="K960" s="277" t="s">
        <v>26</v>
      </c>
      <c r="L960" s="289"/>
      <c r="M960" s="245" t="s">
        <v>1997</v>
      </c>
      <c r="O960" s="245" t="s">
        <v>55</v>
      </c>
      <c r="P960" s="326">
        <v>46090</v>
      </c>
      <c r="Q960" s="245">
        <f t="shared" ca="1" si="133"/>
        <v>35</v>
      </c>
    </row>
    <row r="961" spans="1:17" s="245" customFormat="1" hidden="1">
      <c r="A961" s="289">
        <f t="shared" si="134"/>
        <v>959</v>
      </c>
      <c r="B961" s="284">
        <v>46049</v>
      </c>
      <c r="C961" s="245" t="str">
        <f t="shared" si="135"/>
        <v>MP0959</v>
      </c>
      <c r="D961" s="246" t="s">
        <v>838</v>
      </c>
      <c r="E961" s="247">
        <v>10000</v>
      </c>
      <c r="F961" s="247">
        <v>16.8</v>
      </c>
      <c r="G961" s="278">
        <v>1.7</v>
      </c>
      <c r="H961" s="246">
        <f t="shared" si="137"/>
        <v>17000</v>
      </c>
      <c r="I961" s="246" t="s">
        <v>633</v>
      </c>
      <c r="J961" s="246" t="s">
        <v>634</v>
      </c>
      <c r="K961" s="246" t="s">
        <v>635</v>
      </c>
      <c r="L961" s="289"/>
      <c r="O961" s="245" t="s">
        <v>55</v>
      </c>
      <c r="P961" s="326">
        <v>46109</v>
      </c>
      <c r="Q961" s="245">
        <f t="shared" ca="1" si="133"/>
        <v>16</v>
      </c>
    </row>
    <row r="962" spans="1:17" s="214" customFormat="1" ht="30" hidden="1">
      <c r="A962" s="282">
        <f t="shared" si="134"/>
        <v>960</v>
      </c>
      <c r="B962" s="286">
        <v>46049</v>
      </c>
      <c r="C962" s="214" t="str">
        <f t="shared" si="135"/>
        <v>MP0960</v>
      </c>
      <c r="D962" s="215" t="s">
        <v>65</v>
      </c>
      <c r="E962" s="233">
        <v>1000</v>
      </c>
      <c r="F962" s="233" t="s">
        <v>1650</v>
      </c>
      <c r="G962" s="233">
        <v>76</v>
      </c>
      <c r="H962" s="215">
        <f t="shared" si="137"/>
        <v>76000</v>
      </c>
      <c r="I962" s="216" t="s">
        <v>1998</v>
      </c>
      <c r="J962" s="215" t="s">
        <v>60</v>
      </c>
      <c r="K962" s="215" t="s">
        <v>22</v>
      </c>
      <c r="L962" s="282"/>
      <c r="O962" s="214" t="s">
        <v>695</v>
      </c>
      <c r="P962" s="307">
        <v>46051</v>
      </c>
      <c r="Q962" s="214">
        <f t="shared" ca="1" si="133"/>
        <v>74</v>
      </c>
    </row>
    <row r="963" spans="1:17" s="245" customFormat="1" hidden="1">
      <c r="A963" s="289">
        <f t="shared" si="134"/>
        <v>961</v>
      </c>
      <c r="B963" s="284">
        <v>46049</v>
      </c>
      <c r="C963" s="245" t="str">
        <f t="shared" si="135"/>
        <v>MP0961</v>
      </c>
      <c r="D963" s="246" t="s">
        <v>685</v>
      </c>
      <c r="E963" s="247">
        <v>3000</v>
      </c>
      <c r="F963" s="247" t="s">
        <v>1999</v>
      </c>
      <c r="G963" s="247">
        <v>14.5</v>
      </c>
      <c r="H963" s="246">
        <f t="shared" si="137"/>
        <v>43500</v>
      </c>
      <c r="I963" s="246" t="s">
        <v>2000</v>
      </c>
      <c r="J963" s="246" t="s">
        <v>265</v>
      </c>
      <c r="K963" s="246" t="s">
        <v>683</v>
      </c>
      <c r="L963" s="289"/>
      <c r="M963" s="245" t="s">
        <v>2001</v>
      </c>
      <c r="O963" s="245" t="s">
        <v>55</v>
      </c>
      <c r="P963" s="326">
        <v>46109</v>
      </c>
      <c r="Q963" s="245">
        <f t="shared" ca="1" si="133"/>
        <v>16</v>
      </c>
    </row>
    <row r="964" spans="1:17" s="245" customFormat="1" hidden="1">
      <c r="A964" s="289">
        <f t="shared" si="134"/>
        <v>962</v>
      </c>
      <c r="B964" s="284">
        <v>46049</v>
      </c>
      <c r="C964" s="245" t="str">
        <f t="shared" si="135"/>
        <v>MP0962</v>
      </c>
      <c r="D964" s="245" t="s">
        <v>1053</v>
      </c>
      <c r="E964" s="289">
        <v>150</v>
      </c>
      <c r="F964" s="289" t="s">
        <v>2002</v>
      </c>
      <c r="G964" s="289">
        <f>18.5*60</f>
        <v>1110</v>
      </c>
      <c r="H964" s="246">
        <f t="shared" si="137"/>
        <v>166500</v>
      </c>
      <c r="I964" s="245" t="s">
        <v>942</v>
      </c>
      <c r="J964" s="245" t="s">
        <v>609</v>
      </c>
      <c r="K964" s="245" t="s">
        <v>12</v>
      </c>
      <c r="L964" s="289"/>
      <c r="O964" s="245" t="s">
        <v>55</v>
      </c>
      <c r="P964" s="326">
        <v>46093</v>
      </c>
      <c r="Q964" s="245">
        <f t="shared" ca="1" si="133"/>
        <v>32</v>
      </c>
    </row>
    <row r="965" spans="1:17" s="245" customFormat="1" hidden="1">
      <c r="A965" s="289">
        <f t="shared" si="134"/>
        <v>963</v>
      </c>
      <c r="B965" s="284">
        <v>46049</v>
      </c>
      <c r="C965" s="245" t="str">
        <f t="shared" si="135"/>
        <v>MP0963</v>
      </c>
      <c r="D965" s="246" t="s">
        <v>78</v>
      </c>
      <c r="E965" s="247">
        <v>300</v>
      </c>
      <c r="F965" s="247" t="s">
        <v>2003</v>
      </c>
      <c r="G965" s="247">
        <v>60</v>
      </c>
      <c r="H965" s="246">
        <f t="shared" si="137"/>
        <v>18000</v>
      </c>
      <c r="I965" s="246" t="s">
        <v>74</v>
      </c>
      <c r="J965" s="246" t="s">
        <v>60</v>
      </c>
      <c r="K965" s="246" t="s">
        <v>4</v>
      </c>
      <c r="L965" s="248"/>
      <c r="O965" s="245" t="s">
        <v>55</v>
      </c>
      <c r="P965" s="326">
        <v>46067</v>
      </c>
      <c r="Q965" s="245">
        <f t="shared" ca="1" si="133"/>
        <v>58</v>
      </c>
    </row>
    <row r="966" spans="1:17" s="245" customFormat="1" hidden="1">
      <c r="A966" s="289">
        <f t="shared" si="134"/>
        <v>964</v>
      </c>
      <c r="B966" s="284">
        <v>46049</v>
      </c>
      <c r="C966" s="245" t="str">
        <f t="shared" si="135"/>
        <v>MP0964</v>
      </c>
      <c r="D966" s="249" t="s">
        <v>499</v>
      </c>
      <c r="E966" s="247">
        <v>2400</v>
      </c>
      <c r="F966" s="247" t="s">
        <v>2004</v>
      </c>
      <c r="G966" s="247">
        <v>16</v>
      </c>
      <c r="H966" s="246">
        <f t="shared" si="137"/>
        <v>38400</v>
      </c>
      <c r="I966" s="246" t="s">
        <v>264</v>
      </c>
      <c r="J966" s="246" t="s">
        <v>265</v>
      </c>
      <c r="K966" s="246" t="s">
        <v>20</v>
      </c>
      <c r="L966" s="289"/>
      <c r="O966" s="245" t="s">
        <v>55</v>
      </c>
      <c r="P966" s="326">
        <v>46086</v>
      </c>
      <c r="Q966" s="245">
        <f t="shared" ca="1" si="133"/>
        <v>39</v>
      </c>
    </row>
    <row r="967" spans="1:17" s="245" customFormat="1" hidden="1">
      <c r="A967" s="289">
        <f t="shared" si="134"/>
        <v>965</v>
      </c>
      <c r="B967" s="284">
        <v>46049</v>
      </c>
      <c r="C967" s="245" t="str">
        <f t="shared" si="135"/>
        <v>MP0965</v>
      </c>
      <c r="D967" s="246" t="s">
        <v>932</v>
      </c>
      <c r="E967" s="247">
        <v>3000</v>
      </c>
      <c r="F967" s="247">
        <v>210</v>
      </c>
      <c r="G967" s="278">
        <v>19</v>
      </c>
      <c r="H967" s="246">
        <f t="shared" si="137"/>
        <v>57000</v>
      </c>
      <c r="I967" s="246" t="s">
        <v>933</v>
      </c>
      <c r="J967" s="246" t="s">
        <v>144</v>
      </c>
      <c r="K967" s="246" t="s">
        <v>678</v>
      </c>
      <c r="L967" s="289"/>
      <c r="O967" s="245" t="s">
        <v>55</v>
      </c>
      <c r="P967" s="326">
        <v>46111</v>
      </c>
      <c r="Q967" s="245">
        <f t="shared" ca="1" si="133"/>
        <v>14</v>
      </c>
    </row>
    <row r="968" spans="1:17" s="214" customFormat="1" hidden="1">
      <c r="A968" s="282">
        <f t="shared" si="134"/>
        <v>966</v>
      </c>
      <c r="B968" s="286">
        <v>46056</v>
      </c>
      <c r="C968" s="214" t="str">
        <f t="shared" si="135"/>
        <v>MP0966</v>
      </c>
      <c r="D968" s="214" t="s">
        <v>1085</v>
      </c>
      <c r="E968" s="282">
        <v>5000</v>
      </c>
      <c r="F968" s="282">
        <v>98</v>
      </c>
      <c r="G968" s="282">
        <v>11</v>
      </c>
      <c r="H968" s="215">
        <f t="shared" si="137"/>
        <v>55000</v>
      </c>
      <c r="I968" s="364" t="s">
        <v>1086</v>
      </c>
      <c r="J968" s="214" t="s">
        <v>844</v>
      </c>
      <c r="K968" s="214" t="s">
        <v>24</v>
      </c>
      <c r="L968" s="282"/>
      <c r="O968" s="214" t="s">
        <v>695</v>
      </c>
      <c r="P968" s="307">
        <v>46057</v>
      </c>
      <c r="Q968" s="214">
        <f t="shared" ca="1" si="133"/>
        <v>68</v>
      </c>
    </row>
    <row r="969" spans="1:17" s="214" customFormat="1" hidden="1">
      <c r="A969" s="282">
        <f t="shared" si="134"/>
        <v>967</v>
      </c>
      <c r="B969" s="286">
        <v>46049</v>
      </c>
      <c r="C969" s="214" t="str">
        <f t="shared" si="135"/>
        <v>MP0967</v>
      </c>
      <c r="D969" s="214" t="s">
        <v>2005</v>
      </c>
      <c r="E969" s="388">
        <v>1250</v>
      </c>
      <c r="F969" s="388">
        <v>80</v>
      </c>
      <c r="G969" s="393">
        <v>29</v>
      </c>
      <c r="H969" s="335">
        <f t="shared" si="137"/>
        <v>36250</v>
      </c>
      <c r="I969" s="394" t="s">
        <v>1332</v>
      </c>
      <c r="J969" s="313" t="s">
        <v>930</v>
      </c>
      <c r="K969" s="313" t="s">
        <v>1289</v>
      </c>
      <c r="L969" s="282"/>
      <c r="O969" s="214" t="s">
        <v>695</v>
      </c>
      <c r="P969" s="307">
        <v>46056</v>
      </c>
      <c r="Q969" s="214">
        <f t="shared" ca="1" si="133"/>
        <v>69</v>
      </c>
    </row>
    <row r="970" spans="1:17" s="245" customFormat="1" hidden="1">
      <c r="A970" s="289">
        <f t="shared" si="134"/>
        <v>968</v>
      </c>
      <c r="B970" s="284">
        <v>46049</v>
      </c>
      <c r="C970" s="245" t="str">
        <f t="shared" si="135"/>
        <v>MP0968</v>
      </c>
      <c r="D970" s="246" t="s">
        <v>111</v>
      </c>
      <c r="E970" s="247">
        <v>300</v>
      </c>
      <c r="F970" s="247" t="s">
        <v>2006</v>
      </c>
      <c r="G970" s="247">
        <v>67</v>
      </c>
      <c r="H970" s="246">
        <f t="shared" si="137"/>
        <v>20100</v>
      </c>
      <c r="I970" s="246" t="s">
        <v>112</v>
      </c>
      <c r="J970" s="246" t="s">
        <v>113</v>
      </c>
      <c r="K970" s="246" t="s">
        <v>9</v>
      </c>
      <c r="L970" s="289"/>
      <c r="O970" s="245" t="s">
        <v>55</v>
      </c>
      <c r="P970" s="326">
        <v>46094</v>
      </c>
      <c r="Q970" s="245">
        <f t="shared" ca="1" si="133"/>
        <v>31</v>
      </c>
    </row>
    <row r="971" spans="1:17" s="245" customFormat="1" hidden="1">
      <c r="A971" s="289">
        <f t="shared" si="134"/>
        <v>969</v>
      </c>
      <c r="B971" s="284">
        <v>46049</v>
      </c>
      <c r="C971" s="245" t="str">
        <f t="shared" si="135"/>
        <v>MP0969</v>
      </c>
      <c r="D971" s="315" t="s">
        <v>1333</v>
      </c>
      <c r="E971" s="337">
        <v>300</v>
      </c>
      <c r="F971" s="337">
        <v>215</v>
      </c>
      <c r="G971" s="348">
        <v>133</v>
      </c>
      <c r="H971" s="315">
        <f t="shared" si="137"/>
        <v>39900</v>
      </c>
      <c r="I971" s="294" t="s">
        <v>1334</v>
      </c>
      <c r="J971" s="277" t="s">
        <v>1335</v>
      </c>
      <c r="K971" s="277" t="s">
        <v>1289</v>
      </c>
      <c r="L971" s="289"/>
      <c r="O971" s="245" t="s">
        <v>55</v>
      </c>
      <c r="P971" s="326">
        <v>46086</v>
      </c>
      <c r="Q971" s="245">
        <f t="shared" ca="1" si="133"/>
        <v>39</v>
      </c>
    </row>
    <row r="972" spans="1:17" s="214" customFormat="1" hidden="1">
      <c r="A972" s="282">
        <f t="shared" si="134"/>
        <v>970</v>
      </c>
      <c r="B972" s="286">
        <v>46049</v>
      </c>
      <c r="C972" s="214" t="str">
        <f t="shared" si="135"/>
        <v>MP0970</v>
      </c>
      <c r="D972" s="215" t="s">
        <v>199</v>
      </c>
      <c r="E972" s="233">
        <v>500</v>
      </c>
      <c r="F972" s="233" t="s">
        <v>1774</v>
      </c>
      <c r="G972" s="233">
        <v>50</v>
      </c>
      <c r="H972" s="215">
        <f t="shared" si="137"/>
        <v>25000</v>
      </c>
      <c r="I972" s="215" t="s">
        <v>66</v>
      </c>
      <c r="J972" s="215" t="s">
        <v>60</v>
      </c>
      <c r="K972" s="215" t="s">
        <v>15</v>
      </c>
      <c r="L972" s="282"/>
      <c r="M972" s="310" t="s">
        <v>2007</v>
      </c>
      <c r="O972" s="214" t="s">
        <v>695</v>
      </c>
      <c r="P972" s="307">
        <v>46053</v>
      </c>
      <c r="Q972" s="214">
        <f t="shared" ca="1" si="133"/>
        <v>72</v>
      </c>
    </row>
    <row r="973" spans="1:17" s="214" customFormat="1" hidden="1">
      <c r="A973" s="282">
        <f t="shared" si="134"/>
        <v>971</v>
      </c>
      <c r="B973" s="286">
        <v>46049</v>
      </c>
      <c r="C973" s="214" t="str">
        <f t="shared" si="135"/>
        <v>MP0971</v>
      </c>
      <c r="D973" s="214" t="s">
        <v>1159</v>
      </c>
      <c r="E973" s="282">
        <v>1200</v>
      </c>
      <c r="F973" s="282">
        <v>160</v>
      </c>
      <c r="G973" s="282">
        <v>13</v>
      </c>
      <c r="H973" s="215">
        <f t="shared" si="137"/>
        <v>15600</v>
      </c>
      <c r="I973" s="214" t="s">
        <v>1160</v>
      </c>
      <c r="J973" s="214" t="s">
        <v>930</v>
      </c>
      <c r="K973" s="214" t="s">
        <v>20</v>
      </c>
      <c r="L973" s="282"/>
      <c r="O973" s="215" t="s">
        <v>695</v>
      </c>
      <c r="P973" s="307">
        <v>46055</v>
      </c>
      <c r="Q973" s="214">
        <f t="shared" ca="1" si="133"/>
        <v>70</v>
      </c>
    </row>
    <row r="974" spans="1:17" s="245" customFormat="1" hidden="1">
      <c r="A974" s="289">
        <f t="shared" si="134"/>
        <v>972</v>
      </c>
      <c r="B974" s="284">
        <v>46049</v>
      </c>
      <c r="C974" s="245" t="str">
        <f t="shared" si="135"/>
        <v>MP0972</v>
      </c>
      <c r="D974" s="245" t="s">
        <v>2008</v>
      </c>
      <c r="E974" s="289">
        <v>500</v>
      </c>
      <c r="F974" s="289" t="s">
        <v>2009</v>
      </c>
      <c r="G974" s="289">
        <v>58</v>
      </c>
      <c r="H974" s="315">
        <f t="shared" si="137"/>
        <v>29000</v>
      </c>
      <c r="I974" s="245" t="s">
        <v>2010</v>
      </c>
      <c r="J974" s="245" t="s">
        <v>609</v>
      </c>
      <c r="K974" s="245" t="s">
        <v>1042</v>
      </c>
      <c r="L974" s="289"/>
      <c r="O974" s="245" t="s">
        <v>55</v>
      </c>
      <c r="P974" s="326">
        <v>46055</v>
      </c>
      <c r="Q974" s="245">
        <f t="shared" ca="1" si="133"/>
        <v>70</v>
      </c>
    </row>
    <row r="975" spans="1:17" s="245" customFormat="1" hidden="1">
      <c r="A975" s="289">
        <f t="shared" si="134"/>
        <v>973</v>
      </c>
      <c r="B975" s="284">
        <v>46049</v>
      </c>
      <c r="C975" s="245" t="str">
        <f t="shared" si="135"/>
        <v>MP0973</v>
      </c>
      <c r="D975" s="246" t="s">
        <v>943</v>
      </c>
      <c r="E975" s="247">
        <v>2000</v>
      </c>
      <c r="F975" s="247">
        <v>373</v>
      </c>
      <c r="G975" s="278">
        <v>47</v>
      </c>
      <c r="H975" s="246">
        <f t="shared" si="137"/>
        <v>94000</v>
      </c>
      <c r="I975" s="246" t="s">
        <v>944</v>
      </c>
      <c r="J975" s="246" t="s">
        <v>634</v>
      </c>
      <c r="K975" s="246" t="s">
        <v>7</v>
      </c>
      <c r="L975" s="248"/>
      <c r="O975" s="245" t="s">
        <v>55</v>
      </c>
      <c r="P975" s="326">
        <v>46109</v>
      </c>
      <c r="Q975" s="245">
        <f t="shared" ca="1" si="133"/>
        <v>16</v>
      </c>
    </row>
    <row r="976" spans="1:17" s="245" customFormat="1" hidden="1">
      <c r="A976" s="289">
        <f t="shared" si="134"/>
        <v>974</v>
      </c>
      <c r="B976" s="284">
        <v>46049</v>
      </c>
      <c r="C976" s="245" t="str">
        <f t="shared" si="135"/>
        <v>MP0974</v>
      </c>
      <c r="D976" s="249" t="s">
        <v>465</v>
      </c>
      <c r="E976" s="247">
        <v>300</v>
      </c>
      <c r="F976" s="247" t="s">
        <v>2011</v>
      </c>
      <c r="G976" s="247">
        <v>390</v>
      </c>
      <c r="H976" s="246">
        <f>IF(G976="","",E976*G976)</f>
        <v>117000</v>
      </c>
      <c r="I976" s="246" t="s">
        <v>125</v>
      </c>
      <c r="J976" s="246" t="s">
        <v>113</v>
      </c>
      <c r="K976" s="246" t="s">
        <v>9</v>
      </c>
      <c r="L976" s="289"/>
      <c r="O976" s="245" t="s">
        <v>55</v>
      </c>
      <c r="P976" s="326">
        <v>46109</v>
      </c>
      <c r="Q976" s="245">
        <f t="shared" ca="1" si="133"/>
        <v>16</v>
      </c>
    </row>
    <row r="977" spans="1:17" s="250" customFormat="1" ht="30" hidden="1">
      <c r="A977" s="270">
        <f t="shared" si="134"/>
        <v>975</v>
      </c>
      <c r="B977" s="296">
        <v>46049</v>
      </c>
      <c r="C977" s="250" t="str">
        <f t="shared" si="135"/>
        <v>MP0975</v>
      </c>
      <c r="D977" s="250" t="s">
        <v>2012</v>
      </c>
      <c r="E977" s="250">
        <v>1500</v>
      </c>
      <c r="F977" s="291" t="s">
        <v>2013</v>
      </c>
      <c r="G977" s="250">
        <v>50</v>
      </c>
      <c r="H977" s="252">
        <v>0</v>
      </c>
      <c r="I977" s="333" t="s">
        <v>2014</v>
      </c>
      <c r="J977" s="250" t="s">
        <v>930</v>
      </c>
      <c r="K977" s="250" t="s">
        <v>21</v>
      </c>
      <c r="L977" s="270"/>
      <c r="M977" s="250" t="s">
        <v>2015</v>
      </c>
      <c r="N977" s="250" t="s">
        <v>620</v>
      </c>
      <c r="O977" s="250" t="s">
        <v>370</v>
      </c>
      <c r="P977" s="308">
        <v>46051</v>
      </c>
      <c r="Q977" s="250">
        <f t="shared" ca="1" si="133"/>
        <v>74</v>
      </c>
    </row>
    <row r="978" spans="1:17" s="210" customFormat="1" hidden="1">
      <c r="A978" s="264">
        <f t="shared" si="134"/>
        <v>976</v>
      </c>
      <c r="B978" s="225">
        <v>46049</v>
      </c>
      <c r="C978" s="210" t="str">
        <f t="shared" si="135"/>
        <v>MP0976</v>
      </c>
      <c r="D978" s="210" t="s">
        <v>2016</v>
      </c>
      <c r="E978" s="264">
        <v>200</v>
      </c>
      <c r="F978" s="264" t="s">
        <v>2017</v>
      </c>
      <c r="G978" s="264">
        <v>610</v>
      </c>
      <c r="H978" s="228">
        <f>IF(G978="","",E978*G978)</f>
        <v>122000</v>
      </c>
      <c r="I978" s="210" t="s">
        <v>2018</v>
      </c>
      <c r="J978" s="210" t="s">
        <v>1092</v>
      </c>
      <c r="K978" s="210" t="s">
        <v>4</v>
      </c>
      <c r="L978" s="264"/>
      <c r="N978" s="210" t="s">
        <v>620</v>
      </c>
      <c r="O978" s="210" t="s">
        <v>135</v>
      </c>
      <c r="P978" s="320">
        <v>46070</v>
      </c>
    </row>
    <row r="979" spans="1:17" s="210" customFormat="1" hidden="1">
      <c r="A979" s="264">
        <f t="shared" si="134"/>
        <v>977</v>
      </c>
      <c r="B979" s="225">
        <v>46049</v>
      </c>
      <c r="C979" s="210" t="str">
        <f t="shared" si="135"/>
        <v>MP0977</v>
      </c>
      <c r="D979" s="210" t="s">
        <v>2019</v>
      </c>
      <c r="E979" s="264">
        <v>300</v>
      </c>
      <c r="F979" s="264" t="s">
        <v>2017</v>
      </c>
      <c r="G979" s="264">
        <v>120</v>
      </c>
      <c r="H979" s="228">
        <f>IF(G979="","",E979*G979)</f>
        <v>36000</v>
      </c>
      <c r="I979" s="210" t="s">
        <v>2020</v>
      </c>
      <c r="J979" s="210" t="s">
        <v>1092</v>
      </c>
      <c r="K979" s="210" t="s">
        <v>1525</v>
      </c>
      <c r="L979" s="264"/>
      <c r="N979" s="210" t="s">
        <v>620</v>
      </c>
      <c r="O979" s="210" t="s">
        <v>135</v>
      </c>
      <c r="P979" s="320">
        <v>46076</v>
      </c>
    </row>
    <row r="980" spans="1:17" s="210" customFormat="1" hidden="1">
      <c r="A980" s="264">
        <f t="shared" si="134"/>
        <v>978</v>
      </c>
      <c r="B980" s="225">
        <v>46049</v>
      </c>
      <c r="C980" s="210" t="str">
        <f t="shared" si="135"/>
        <v>MP0978</v>
      </c>
      <c r="D980" s="210" t="s">
        <v>2021</v>
      </c>
      <c r="E980" s="264">
        <v>300</v>
      </c>
      <c r="F980" s="264" t="s">
        <v>2017</v>
      </c>
      <c r="G980" s="264">
        <v>105</v>
      </c>
      <c r="H980" s="228">
        <f>IF(G980="","",E980*G980)</f>
        <v>31500</v>
      </c>
      <c r="I980" s="210" t="s">
        <v>2022</v>
      </c>
      <c r="J980" s="210" t="s">
        <v>1092</v>
      </c>
      <c r="K980" s="210" t="s">
        <v>1525</v>
      </c>
      <c r="L980" s="264"/>
      <c r="N980" s="210" t="s">
        <v>620</v>
      </c>
      <c r="O980" s="210" t="s">
        <v>135</v>
      </c>
      <c r="P980" s="320">
        <v>46076</v>
      </c>
    </row>
    <row r="981" spans="1:17" s="245" customFormat="1" hidden="1">
      <c r="A981" s="289">
        <f t="shared" si="134"/>
        <v>979</v>
      </c>
      <c r="B981" s="284">
        <v>46049</v>
      </c>
      <c r="C981" s="245" t="str">
        <f t="shared" si="135"/>
        <v>MP0979</v>
      </c>
      <c r="D981" s="245" t="s">
        <v>925</v>
      </c>
      <c r="E981" s="289">
        <v>3000</v>
      </c>
      <c r="F981" s="289">
        <v>117</v>
      </c>
      <c r="G981" s="289">
        <v>9.4</v>
      </c>
      <c r="H981" s="315">
        <f t="shared" ref="H981" si="138">IF(G981="","",E981*G981)</f>
        <v>28200</v>
      </c>
      <c r="I981" s="245" t="s">
        <v>143</v>
      </c>
      <c r="J981" s="245" t="s">
        <v>144</v>
      </c>
      <c r="K981" s="245" t="s">
        <v>22</v>
      </c>
      <c r="L981" s="289"/>
      <c r="O981" s="245" t="s">
        <v>55</v>
      </c>
      <c r="P981" s="326">
        <v>46109</v>
      </c>
    </row>
    <row r="982" spans="1:17" s="210" customFormat="1" hidden="1">
      <c r="A982" s="264">
        <f t="shared" si="134"/>
        <v>980</v>
      </c>
      <c r="B982" s="225">
        <v>46056</v>
      </c>
      <c r="C982" s="210" t="str">
        <f t="shared" si="135"/>
        <v>MP0980</v>
      </c>
      <c r="D982" s="210" t="s">
        <v>2023</v>
      </c>
      <c r="E982" s="264">
        <v>500</v>
      </c>
      <c r="F982" s="264" t="s">
        <v>2024</v>
      </c>
      <c r="G982" s="264">
        <v>100</v>
      </c>
      <c r="H982" s="228">
        <f>IF(G982="","",E982*G982)</f>
        <v>50000</v>
      </c>
      <c r="I982" s="210" t="s">
        <v>2025</v>
      </c>
      <c r="J982" s="210" t="s">
        <v>1092</v>
      </c>
      <c r="K982" s="210" t="s">
        <v>1525</v>
      </c>
      <c r="L982" s="264"/>
      <c r="O982" s="210" t="s">
        <v>135</v>
      </c>
      <c r="P982" s="320">
        <v>46073</v>
      </c>
    </row>
    <row r="983" spans="1:17" s="245" customFormat="1" hidden="1">
      <c r="A983" s="289">
        <f t="shared" si="134"/>
        <v>981</v>
      </c>
      <c r="B983" s="284">
        <v>46057</v>
      </c>
      <c r="C983" s="245" t="str">
        <f t="shared" si="135"/>
        <v>MP0981</v>
      </c>
      <c r="D983" s="245" t="s">
        <v>538</v>
      </c>
      <c r="E983" s="289">
        <v>300</v>
      </c>
      <c r="F983" s="289" t="s">
        <v>231</v>
      </c>
      <c r="G983" s="289">
        <v>390</v>
      </c>
      <c r="H983" s="315">
        <f t="shared" ref="H983" si="139">IF(G983="","",E983*G983)</f>
        <v>117000</v>
      </c>
      <c r="I983" s="245" t="s">
        <v>1376</v>
      </c>
      <c r="J983" s="245" t="s">
        <v>609</v>
      </c>
      <c r="K983" s="245" t="s">
        <v>978</v>
      </c>
      <c r="L983" s="289"/>
      <c r="O983" s="245" t="s">
        <v>55</v>
      </c>
      <c r="P983" s="326">
        <v>46118</v>
      </c>
    </row>
    <row r="984" spans="1:17" s="250" customFormat="1" hidden="1">
      <c r="A984" s="270">
        <f t="shared" si="134"/>
        <v>982</v>
      </c>
      <c r="B984" s="296">
        <v>46057</v>
      </c>
      <c r="C984" s="250" t="str">
        <f t="shared" si="135"/>
        <v>MP0982</v>
      </c>
      <c r="D984" s="250" t="s">
        <v>2026</v>
      </c>
      <c r="E984" s="270"/>
      <c r="F984" s="270"/>
      <c r="G984" s="270"/>
      <c r="H984" s="254" t="str">
        <f>IF(G984="","",E984*G984)</f>
        <v/>
      </c>
      <c r="K984" s="250" t="s">
        <v>1261</v>
      </c>
      <c r="L984" s="270"/>
      <c r="O984" s="250" t="s">
        <v>212</v>
      </c>
      <c r="P984" s="308"/>
    </row>
    <row r="985" spans="1:17" s="250" customFormat="1" hidden="1">
      <c r="A985" s="270">
        <f t="shared" si="134"/>
        <v>983</v>
      </c>
      <c r="B985" s="296">
        <v>46057</v>
      </c>
      <c r="C985" s="250" t="str">
        <f t="shared" si="135"/>
        <v>MP0983</v>
      </c>
      <c r="D985" s="250" t="s">
        <v>2027</v>
      </c>
      <c r="E985" s="270">
        <v>500</v>
      </c>
      <c r="F985" s="270">
        <v>1990</v>
      </c>
      <c r="G985" s="270">
        <v>220</v>
      </c>
      <c r="H985" s="252">
        <f t="shared" ref="H985:H988" si="140">IF(G985="","",E985*G985)</f>
        <v>110000</v>
      </c>
      <c r="I985" s="250" t="s">
        <v>1320</v>
      </c>
      <c r="J985" s="250" t="s">
        <v>1321</v>
      </c>
      <c r="K985" s="250" t="s">
        <v>1322</v>
      </c>
      <c r="L985" s="270"/>
      <c r="O985" s="250" t="s">
        <v>370</v>
      </c>
      <c r="P985" s="308"/>
    </row>
    <row r="986" spans="1:17" s="245" customFormat="1" hidden="1">
      <c r="A986" s="289">
        <f t="shared" si="134"/>
        <v>984</v>
      </c>
      <c r="B986" s="284">
        <v>46057</v>
      </c>
      <c r="C986" s="245" t="str">
        <f t="shared" si="135"/>
        <v>MP0984</v>
      </c>
      <c r="D986" s="245" t="s">
        <v>1154</v>
      </c>
      <c r="E986" s="289">
        <v>500</v>
      </c>
      <c r="F986" s="289">
        <v>115</v>
      </c>
      <c r="G986" s="289">
        <v>80</v>
      </c>
      <c r="H986" s="246">
        <f t="shared" si="140"/>
        <v>40000</v>
      </c>
      <c r="I986" s="245" t="s">
        <v>1155</v>
      </c>
      <c r="J986" s="245" t="s">
        <v>1662</v>
      </c>
      <c r="K986" s="245" t="s">
        <v>1156</v>
      </c>
      <c r="L986" s="289"/>
      <c r="O986" s="245" t="s">
        <v>55</v>
      </c>
      <c r="P986" s="326">
        <v>46109</v>
      </c>
    </row>
    <row r="987" spans="1:17" s="214" customFormat="1" hidden="1">
      <c r="A987" s="282">
        <f t="shared" si="134"/>
        <v>985</v>
      </c>
      <c r="B987" s="286">
        <v>46057</v>
      </c>
      <c r="C987" s="214" t="str">
        <f t="shared" si="135"/>
        <v>MP0985</v>
      </c>
      <c r="D987" s="214" t="s">
        <v>1425</v>
      </c>
      <c r="E987" s="282">
        <v>25000</v>
      </c>
      <c r="F987" s="282" t="s">
        <v>1409</v>
      </c>
      <c r="G987" s="282">
        <v>2.2999999999999998</v>
      </c>
      <c r="H987" s="335">
        <f t="shared" si="140"/>
        <v>57499.999999999993</v>
      </c>
      <c r="I987" s="214" t="s">
        <v>2028</v>
      </c>
      <c r="J987" s="214" t="s">
        <v>1411</v>
      </c>
      <c r="K987" s="214" t="s">
        <v>10</v>
      </c>
      <c r="L987" s="282"/>
      <c r="O987" s="214" t="s">
        <v>566</v>
      </c>
      <c r="P987" s="307">
        <v>46060</v>
      </c>
    </row>
    <row r="988" spans="1:17" s="214" customFormat="1" hidden="1">
      <c r="A988" s="282">
        <f t="shared" si="134"/>
        <v>986</v>
      </c>
      <c r="B988" s="286">
        <v>46057</v>
      </c>
      <c r="C988" s="214" t="str">
        <f t="shared" si="135"/>
        <v>MP0986</v>
      </c>
      <c r="D988" s="214" t="s">
        <v>1408</v>
      </c>
      <c r="E988" s="282">
        <v>25000</v>
      </c>
      <c r="F988" s="282" t="s">
        <v>1409</v>
      </c>
      <c r="G988" s="282">
        <v>2.2999999999999998</v>
      </c>
      <c r="H988" s="335">
        <f t="shared" si="140"/>
        <v>57499.999999999993</v>
      </c>
      <c r="I988" s="214" t="s">
        <v>2028</v>
      </c>
      <c r="J988" s="214" t="s">
        <v>1411</v>
      </c>
      <c r="K988" s="214" t="s">
        <v>10</v>
      </c>
      <c r="L988" s="282"/>
      <c r="O988" s="214" t="s">
        <v>566</v>
      </c>
      <c r="P988" s="307">
        <v>46101</v>
      </c>
    </row>
    <row r="989" spans="1:17" s="250" customFormat="1" ht="30" hidden="1">
      <c r="A989" s="270">
        <f t="shared" si="134"/>
        <v>987</v>
      </c>
      <c r="B989" s="296">
        <v>46057</v>
      </c>
      <c r="C989" s="250" t="str">
        <f t="shared" si="135"/>
        <v>MP0987</v>
      </c>
      <c r="D989" s="250" t="s">
        <v>2029</v>
      </c>
      <c r="E989" s="270">
        <v>2000</v>
      </c>
      <c r="F989" s="270" t="s">
        <v>1978</v>
      </c>
      <c r="G989" s="270">
        <v>30</v>
      </c>
      <c r="H989" s="254">
        <f>IF(G989="","",E989*G989)</f>
        <v>60000</v>
      </c>
      <c r="I989" s="333" t="s">
        <v>2030</v>
      </c>
      <c r="J989" s="250" t="s">
        <v>2031</v>
      </c>
      <c r="K989" s="250" t="s">
        <v>2032</v>
      </c>
      <c r="L989" s="270"/>
      <c r="O989" s="250" t="s">
        <v>212</v>
      </c>
      <c r="P989" s="308"/>
    </row>
    <row r="990" spans="1:17" ht="30" hidden="1">
      <c r="A990" s="387">
        <f t="shared" si="134"/>
        <v>988</v>
      </c>
      <c r="B990" s="285">
        <v>46057</v>
      </c>
      <c r="C990" s="181" t="str">
        <f t="shared" si="135"/>
        <v>MP0988</v>
      </c>
      <c r="D990" s="181" t="s">
        <v>2033</v>
      </c>
      <c r="E990" s="227">
        <v>500</v>
      </c>
      <c r="F990" s="227" t="s">
        <v>2017</v>
      </c>
      <c r="G990" s="227">
        <v>145</v>
      </c>
      <c r="H990" s="275">
        <f t="shared" ref="H990:H991" si="141">IF(G990="","",E990*G990)</f>
        <v>72500</v>
      </c>
      <c r="I990" s="406" t="s">
        <v>2034</v>
      </c>
      <c r="J990" s="181" t="s">
        <v>609</v>
      </c>
      <c r="K990" s="181" t="s">
        <v>4</v>
      </c>
      <c r="N990" s="181" t="s">
        <v>620</v>
      </c>
      <c r="O990" s="181" t="s">
        <v>570</v>
      </c>
      <c r="P990" s="218">
        <v>46101</v>
      </c>
    </row>
    <row r="991" spans="1:17" s="214" customFormat="1" hidden="1">
      <c r="A991" s="282">
        <f t="shared" si="134"/>
        <v>989</v>
      </c>
      <c r="B991" s="286">
        <v>46057</v>
      </c>
      <c r="C991" s="214" t="str">
        <f t="shared" si="135"/>
        <v>MP0989</v>
      </c>
      <c r="D991" s="313" t="s">
        <v>773</v>
      </c>
      <c r="E991" s="233">
        <v>5000</v>
      </c>
      <c r="F991" s="233">
        <v>350</v>
      </c>
      <c r="G991" s="269">
        <v>17.5</v>
      </c>
      <c r="H991" s="215">
        <f t="shared" si="141"/>
        <v>87500</v>
      </c>
      <c r="I991" s="313" t="s">
        <v>774</v>
      </c>
      <c r="J991" s="215" t="s">
        <v>775</v>
      </c>
      <c r="K991" s="215" t="s">
        <v>10</v>
      </c>
      <c r="L991" s="282"/>
      <c r="O991" s="214" t="s">
        <v>566</v>
      </c>
      <c r="P991" s="307">
        <v>46063</v>
      </c>
    </row>
    <row r="992" spans="1:17" s="214" customFormat="1" hidden="1">
      <c r="A992" s="282">
        <f t="shared" si="134"/>
        <v>990</v>
      </c>
      <c r="B992" s="286">
        <v>46057</v>
      </c>
      <c r="C992" s="214" t="str">
        <f>IF(B992="","",_xlfn.CONCAT("MP0",A992))</f>
        <v>MP0990</v>
      </c>
      <c r="D992" s="214" t="s">
        <v>1468</v>
      </c>
      <c r="E992" s="282">
        <v>4000</v>
      </c>
      <c r="F992" s="282">
        <v>75</v>
      </c>
      <c r="G992" s="282">
        <v>7.5</v>
      </c>
      <c r="H992" s="335">
        <f>IF(G992="","",E992*G992)</f>
        <v>30000</v>
      </c>
      <c r="I992" s="214" t="s">
        <v>1469</v>
      </c>
      <c r="J992" s="214" t="s">
        <v>1466</v>
      </c>
      <c r="K992" s="214" t="s">
        <v>1289</v>
      </c>
      <c r="L992" s="282"/>
      <c r="O992" s="214" t="s">
        <v>695</v>
      </c>
      <c r="P992" s="307">
        <v>46063</v>
      </c>
    </row>
    <row r="993" spans="1:17" s="245" customFormat="1" hidden="1">
      <c r="A993" s="289">
        <f t="shared" si="134"/>
        <v>991</v>
      </c>
      <c r="B993" s="284">
        <v>46057</v>
      </c>
      <c r="C993" s="245" t="str">
        <f t="shared" si="135"/>
        <v>MP0991</v>
      </c>
      <c r="D993" s="246" t="s">
        <v>349</v>
      </c>
      <c r="E993" s="247">
        <v>150</v>
      </c>
      <c r="F993" s="247" t="s">
        <v>1573</v>
      </c>
      <c r="G993" s="247">
        <v>510</v>
      </c>
      <c r="H993" s="246">
        <f t="shared" ref="H993:H1057" si="142">IF(G993="","",E993*G993)</f>
        <v>76500</v>
      </c>
      <c r="I993" s="246" t="s">
        <v>125</v>
      </c>
      <c r="J993" s="246" t="s">
        <v>60</v>
      </c>
      <c r="K993" s="246" t="s">
        <v>9</v>
      </c>
      <c r="L993" s="289"/>
      <c r="O993" s="245" t="s">
        <v>55</v>
      </c>
      <c r="P993" s="326">
        <v>46109</v>
      </c>
    </row>
    <row r="994" spans="1:17" s="245" customFormat="1" hidden="1">
      <c r="A994" s="289">
        <f t="shared" si="134"/>
        <v>992</v>
      </c>
      <c r="B994" s="284">
        <v>46065</v>
      </c>
      <c r="C994" s="245" t="str">
        <f t="shared" si="135"/>
        <v>MP0992</v>
      </c>
      <c r="D994" s="245" t="s">
        <v>2035</v>
      </c>
      <c r="E994" s="289">
        <v>1000</v>
      </c>
      <c r="F994" s="289" t="s">
        <v>2036</v>
      </c>
      <c r="G994" s="289">
        <v>77</v>
      </c>
      <c r="H994" s="277">
        <f t="shared" si="142"/>
        <v>77000</v>
      </c>
      <c r="I994" s="245" t="s">
        <v>2037</v>
      </c>
      <c r="J994" s="245" t="s">
        <v>1671</v>
      </c>
      <c r="K994" s="245" t="s">
        <v>1459</v>
      </c>
      <c r="L994" s="289"/>
      <c r="M994" s="245" t="s">
        <v>1102</v>
      </c>
      <c r="N994" s="245" t="s">
        <v>620</v>
      </c>
      <c r="O994" s="245" t="s">
        <v>55</v>
      </c>
      <c r="P994" s="326">
        <v>46090</v>
      </c>
    </row>
    <row r="995" spans="1:17" s="245" customFormat="1" hidden="1">
      <c r="A995" s="289">
        <f t="shared" si="134"/>
        <v>993</v>
      </c>
      <c r="B995" s="284">
        <v>46065</v>
      </c>
      <c r="C995" s="245" t="str">
        <f t="shared" si="135"/>
        <v>MP0993</v>
      </c>
      <c r="D995" s="245" t="s">
        <v>2038</v>
      </c>
      <c r="E995" s="289">
        <v>1000</v>
      </c>
      <c r="F995" s="289" t="s">
        <v>2039</v>
      </c>
      <c r="G995" s="289">
        <v>49</v>
      </c>
      <c r="H995" s="277">
        <f t="shared" si="142"/>
        <v>49000</v>
      </c>
      <c r="I995" s="245" t="s">
        <v>2040</v>
      </c>
      <c r="J995" s="245" t="s">
        <v>1671</v>
      </c>
      <c r="K995" s="245" t="s">
        <v>7</v>
      </c>
      <c r="L995" s="289"/>
      <c r="M995" s="245" t="s">
        <v>1102</v>
      </c>
      <c r="N995" s="245" t="s">
        <v>620</v>
      </c>
      <c r="O995" s="245" t="s">
        <v>55</v>
      </c>
      <c r="P995" s="326">
        <v>46109</v>
      </c>
    </row>
    <row r="996" spans="1:17" s="250" customFormat="1" hidden="1">
      <c r="A996" s="270">
        <f t="shared" si="134"/>
        <v>994</v>
      </c>
      <c r="B996" s="296">
        <v>46065</v>
      </c>
      <c r="C996" s="250" t="str">
        <f t="shared" si="135"/>
        <v>MP0994</v>
      </c>
      <c r="D996" s="250" t="s">
        <v>875</v>
      </c>
      <c r="E996" s="270">
        <v>1200</v>
      </c>
      <c r="F996" s="231">
        <v>190</v>
      </c>
      <c r="G996" s="268">
        <v>29.5</v>
      </c>
      <c r="H996" s="252">
        <f t="shared" si="142"/>
        <v>35400</v>
      </c>
      <c r="I996" s="252" t="s">
        <v>876</v>
      </c>
      <c r="J996" s="252" t="s">
        <v>762</v>
      </c>
      <c r="K996" s="252" t="s">
        <v>20</v>
      </c>
      <c r="L996" s="270"/>
      <c r="O996" s="250" t="s">
        <v>370</v>
      </c>
      <c r="P996" s="308">
        <v>46066</v>
      </c>
    </row>
    <row r="997" spans="1:17" s="245" customFormat="1" hidden="1">
      <c r="A997" s="289">
        <f t="shared" si="134"/>
        <v>995</v>
      </c>
      <c r="B997" s="284">
        <v>46066</v>
      </c>
      <c r="C997" s="245" t="str">
        <f t="shared" si="135"/>
        <v>MP0995</v>
      </c>
      <c r="D997" s="246" t="s">
        <v>202</v>
      </c>
      <c r="E997" s="247">
        <v>500</v>
      </c>
      <c r="F997" s="247" t="s">
        <v>2041</v>
      </c>
      <c r="G997" s="247">
        <v>70</v>
      </c>
      <c r="H997" s="246">
        <f t="shared" si="142"/>
        <v>35000</v>
      </c>
      <c r="I997" s="246" t="s">
        <v>66</v>
      </c>
      <c r="J997" s="246" t="s">
        <v>60</v>
      </c>
      <c r="K997" s="246" t="s">
        <v>15</v>
      </c>
      <c r="L997" s="248"/>
      <c r="M997" s="249"/>
      <c r="N997" s="246"/>
      <c r="O997" s="246" t="s">
        <v>55</v>
      </c>
      <c r="P997" s="328">
        <v>46118</v>
      </c>
      <c r="Q997" s="327">
        <f t="shared" ref="Q997" ca="1" si="143">TODAY()-P997</f>
        <v>7</v>
      </c>
    </row>
    <row r="998" spans="1:17" s="245" customFormat="1" hidden="1">
      <c r="A998" s="289">
        <f t="shared" si="134"/>
        <v>996</v>
      </c>
      <c r="B998" s="284">
        <v>46066</v>
      </c>
      <c r="C998" s="245" t="str">
        <f t="shared" si="135"/>
        <v>MP0996</v>
      </c>
      <c r="D998" s="245" t="s">
        <v>907</v>
      </c>
      <c r="E998" s="289">
        <v>3000</v>
      </c>
      <c r="F998" s="289">
        <v>131</v>
      </c>
      <c r="G998" s="289">
        <v>6.5</v>
      </c>
      <c r="H998" s="315">
        <f t="shared" si="142"/>
        <v>19500</v>
      </c>
      <c r="I998" s="245" t="s">
        <v>1457</v>
      </c>
      <c r="J998" s="245" t="s">
        <v>1458</v>
      </c>
      <c r="K998" s="245" t="s">
        <v>1459</v>
      </c>
      <c r="L998" s="289"/>
      <c r="O998" s="246" t="s">
        <v>55</v>
      </c>
      <c r="P998" s="328">
        <v>46109</v>
      </c>
    </row>
    <row r="999" spans="1:17" s="250" customFormat="1" hidden="1">
      <c r="A999" s="270">
        <f t="shared" si="134"/>
        <v>997</v>
      </c>
      <c r="B999" s="296">
        <v>46066</v>
      </c>
      <c r="C999" s="250" t="str">
        <f t="shared" si="135"/>
        <v>MP0997</v>
      </c>
      <c r="D999" s="252" t="s">
        <v>914</v>
      </c>
      <c r="E999" s="231">
        <v>3000</v>
      </c>
      <c r="F999" s="231">
        <v>85</v>
      </c>
      <c r="G999" s="268">
        <v>15.5</v>
      </c>
      <c r="H999" s="252">
        <v>0</v>
      </c>
      <c r="I999" s="254" t="s">
        <v>737</v>
      </c>
      <c r="J999" s="252" t="s">
        <v>762</v>
      </c>
      <c r="K999" s="252" t="s">
        <v>20</v>
      </c>
      <c r="L999" s="270"/>
      <c r="O999" s="250" t="s">
        <v>370</v>
      </c>
      <c r="P999" s="308">
        <v>46066</v>
      </c>
    </row>
    <row r="1000" spans="1:17" s="214" customFormat="1" hidden="1">
      <c r="A1000" s="282">
        <f t="shared" si="134"/>
        <v>998</v>
      </c>
      <c r="B1000" s="286">
        <v>46066</v>
      </c>
      <c r="C1000" s="214" t="str">
        <f t="shared" si="135"/>
        <v>MP0998</v>
      </c>
      <c r="D1000" s="214" t="s">
        <v>1386</v>
      </c>
      <c r="E1000" s="282">
        <v>5000</v>
      </c>
      <c r="F1000" s="282">
        <v>55</v>
      </c>
      <c r="G1000" s="282">
        <v>9</v>
      </c>
      <c r="H1000" s="335">
        <f t="shared" si="142"/>
        <v>45000</v>
      </c>
      <c r="I1000" s="214" t="s">
        <v>237</v>
      </c>
      <c r="J1000" s="214" t="s">
        <v>782</v>
      </c>
      <c r="K1000" s="214" t="s">
        <v>20</v>
      </c>
      <c r="L1000" s="282"/>
      <c r="O1000" s="214" t="s">
        <v>695</v>
      </c>
      <c r="P1000" s="307">
        <v>46090</v>
      </c>
    </row>
    <row r="1001" spans="1:17" s="210" customFormat="1" hidden="1">
      <c r="A1001" s="264">
        <f t="shared" si="134"/>
        <v>999</v>
      </c>
      <c r="B1001" s="225">
        <v>46066</v>
      </c>
      <c r="C1001" s="210" t="str">
        <f t="shared" si="135"/>
        <v>MP0999</v>
      </c>
      <c r="D1001" s="210" t="s">
        <v>2042</v>
      </c>
      <c r="E1001" s="264">
        <v>3000</v>
      </c>
      <c r="F1001" s="264" t="s">
        <v>2043</v>
      </c>
      <c r="G1001" s="264">
        <v>9.8000000000000007</v>
      </c>
      <c r="H1001" s="228">
        <f t="shared" si="142"/>
        <v>29400.000000000004</v>
      </c>
      <c r="I1001" s="210" t="s">
        <v>1491</v>
      </c>
      <c r="K1001" s="210" t="s">
        <v>22</v>
      </c>
      <c r="L1001" s="264"/>
      <c r="M1001" s="210" t="s">
        <v>2044</v>
      </c>
      <c r="N1001" s="210" t="s">
        <v>620</v>
      </c>
      <c r="O1001" s="210" t="s">
        <v>135</v>
      </c>
      <c r="P1001" s="320">
        <v>46107</v>
      </c>
    </row>
    <row r="1002" spans="1:17" s="245" customFormat="1" hidden="1">
      <c r="A1002" s="289">
        <f t="shared" si="134"/>
        <v>1000</v>
      </c>
      <c r="B1002" s="284">
        <v>46066</v>
      </c>
      <c r="C1002" s="245" t="str">
        <f>IF(B1002="","",_xlfn.CONCAT("MP",A1002))</f>
        <v>MP1000</v>
      </c>
      <c r="D1002" s="245" t="s">
        <v>2045</v>
      </c>
      <c r="E1002" s="289">
        <v>2000</v>
      </c>
      <c r="F1002" s="289" t="s">
        <v>2046</v>
      </c>
      <c r="G1002" s="289">
        <v>12.5</v>
      </c>
      <c r="H1002" s="277">
        <f t="shared" si="142"/>
        <v>25000</v>
      </c>
      <c r="I1002" s="245" t="s">
        <v>2047</v>
      </c>
      <c r="J1002" s="245" t="s">
        <v>930</v>
      </c>
      <c r="K1002" s="245" t="s">
        <v>1589</v>
      </c>
      <c r="L1002" s="289"/>
      <c r="N1002" s="245" t="s">
        <v>620</v>
      </c>
      <c r="O1002" s="245" t="s">
        <v>55</v>
      </c>
      <c r="P1002" s="326">
        <v>46109</v>
      </c>
    </row>
    <row r="1003" spans="1:17" s="245" customFormat="1" hidden="1">
      <c r="A1003" s="289">
        <f t="shared" si="134"/>
        <v>1001</v>
      </c>
      <c r="B1003" s="284">
        <v>46067</v>
      </c>
      <c r="C1003" s="245" t="str">
        <f>IF(B1003="","",_xlfn.CONCAT("MP",A1003))</f>
        <v>MP1001</v>
      </c>
      <c r="D1003" s="245" t="s">
        <v>2048</v>
      </c>
      <c r="E1003" s="289">
        <v>3000</v>
      </c>
      <c r="F1003" s="289" t="s">
        <v>2049</v>
      </c>
      <c r="G1003" s="289">
        <v>14.5</v>
      </c>
      <c r="H1003" s="277">
        <f t="shared" si="142"/>
        <v>43500</v>
      </c>
      <c r="I1003" s="245" t="s">
        <v>2050</v>
      </c>
      <c r="J1003" s="245" t="s">
        <v>844</v>
      </c>
      <c r="K1003" s="245" t="s">
        <v>1459</v>
      </c>
      <c r="L1003" s="289"/>
      <c r="O1003" s="245" t="s">
        <v>55</v>
      </c>
      <c r="P1003" s="326">
        <v>46101</v>
      </c>
    </row>
    <row r="1004" spans="1:17" s="210" customFormat="1" hidden="1">
      <c r="A1004" s="264">
        <f t="shared" si="134"/>
        <v>1002</v>
      </c>
      <c r="B1004" s="225">
        <v>46067</v>
      </c>
      <c r="C1004" s="210" t="str">
        <f t="shared" ref="C1004:C1067" si="144">IF(B1004="","",_xlfn.CONCAT("MP",A1004))</f>
        <v>MP1002</v>
      </c>
      <c r="D1004" s="210" t="s">
        <v>2051</v>
      </c>
      <c r="E1004" s="264">
        <v>3000</v>
      </c>
      <c r="F1004" s="264" t="s">
        <v>2052</v>
      </c>
      <c r="G1004" s="264">
        <v>7.5</v>
      </c>
      <c r="H1004" s="228">
        <f t="shared" si="142"/>
        <v>22500</v>
      </c>
      <c r="I1004" s="210" t="s">
        <v>2053</v>
      </c>
      <c r="J1004" s="210" t="s">
        <v>844</v>
      </c>
      <c r="K1004" s="210" t="s">
        <v>1459</v>
      </c>
      <c r="L1004" s="264"/>
      <c r="O1004" s="210" t="s">
        <v>135</v>
      </c>
      <c r="P1004" s="320">
        <v>46077</v>
      </c>
    </row>
    <row r="1005" spans="1:17" s="214" customFormat="1" hidden="1">
      <c r="A1005" s="282">
        <f t="shared" si="134"/>
        <v>1003</v>
      </c>
      <c r="B1005" s="286">
        <v>46067</v>
      </c>
      <c r="C1005" s="214" t="str">
        <f t="shared" si="144"/>
        <v>MP1003</v>
      </c>
      <c r="D1005" s="214" t="s">
        <v>1565</v>
      </c>
      <c r="E1005" s="282">
        <v>1000</v>
      </c>
      <c r="F1005" s="282">
        <v>1250</v>
      </c>
      <c r="G1005" s="282">
        <v>36.5</v>
      </c>
      <c r="H1005" s="335">
        <f t="shared" si="142"/>
        <v>36500</v>
      </c>
      <c r="I1005" s="214" t="s">
        <v>1566</v>
      </c>
      <c r="J1005" s="214" t="s">
        <v>1092</v>
      </c>
      <c r="K1005" s="214" t="s">
        <v>1156</v>
      </c>
      <c r="L1005" s="282"/>
      <c r="N1005" s="181" t="s">
        <v>620</v>
      </c>
      <c r="O1005" s="214" t="s">
        <v>695</v>
      </c>
      <c r="P1005" s="307">
        <v>46069</v>
      </c>
    </row>
    <row r="1006" spans="1:17" s="210" customFormat="1" ht="30.75" hidden="1">
      <c r="A1006" s="289">
        <f t="shared" si="134"/>
        <v>1004</v>
      </c>
      <c r="B1006" s="284">
        <v>46067</v>
      </c>
      <c r="C1006" t="s">
        <v>2054</v>
      </c>
      <c r="D1006" s="245" t="s">
        <v>2055</v>
      </c>
      <c r="E1006" s="289">
        <v>5000</v>
      </c>
      <c r="F1006" s="289" t="s">
        <v>2056</v>
      </c>
      <c r="G1006" s="289">
        <v>11.5</v>
      </c>
      <c r="H1006" s="277">
        <f t="shared" si="142"/>
        <v>57500</v>
      </c>
      <c r="I1006" s="370" t="s">
        <v>2057</v>
      </c>
      <c r="J1006" s="245" t="s">
        <v>930</v>
      </c>
      <c r="K1006" s="245" t="s">
        <v>23</v>
      </c>
      <c r="L1006" s="289"/>
      <c r="M1006" s="310" t="s">
        <v>2058</v>
      </c>
      <c r="N1006" s="245"/>
      <c r="O1006" s="245" t="s">
        <v>55</v>
      </c>
      <c r="P1006" s="326">
        <v>46111</v>
      </c>
      <c r="Q1006" s="245"/>
    </row>
    <row r="1007" spans="1:17" s="210" customFormat="1" ht="30" hidden="1">
      <c r="A1007" s="264">
        <f t="shared" si="134"/>
        <v>1005</v>
      </c>
      <c r="B1007" s="225">
        <v>46067</v>
      </c>
      <c r="C1007" s="210" t="str">
        <f t="shared" si="144"/>
        <v>MP1005</v>
      </c>
      <c r="D1007" s="210" t="s">
        <v>2059</v>
      </c>
      <c r="E1007" s="264">
        <v>2000</v>
      </c>
      <c r="F1007" s="264" t="s">
        <v>2060</v>
      </c>
      <c r="G1007" s="264">
        <v>37</v>
      </c>
      <c r="H1007" s="228">
        <f t="shared" si="142"/>
        <v>74000</v>
      </c>
      <c r="I1007" s="336" t="s">
        <v>2061</v>
      </c>
      <c r="J1007" s="210" t="s">
        <v>1466</v>
      </c>
      <c r="K1007" s="210" t="s">
        <v>1289</v>
      </c>
      <c r="L1007" s="264"/>
      <c r="O1007" s="210" t="s">
        <v>135</v>
      </c>
      <c r="P1007" s="320">
        <v>46083</v>
      </c>
    </row>
    <row r="1008" spans="1:17" s="210" customFormat="1" hidden="1">
      <c r="A1008" s="264">
        <f t="shared" ref="A1008:A1071" si="145">IF(B1008="","",ROW()-2)</f>
        <v>1006</v>
      </c>
      <c r="B1008" s="225">
        <v>46067</v>
      </c>
      <c r="C1008" s="210" t="str">
        <f t="shared" si="144"/>
        <v>MP1006</v>
      </c>
      <c r="D1008" s="210" t="s">
        <v>2062</v>
      </c>
      <c r="E1008" s="264">
        <v>300</v>
      </c>
      <c r="F1008" s="264" t="s">
        <v>2063</v>
      </c>
      <c r="G1008" s="264">
        <v>106</v>
      </c>
      <c r="H1008" s="228">
        <f t="shared" si="142"/>
        <v>31800</v>
      </c>
      <c r="I1008" s="210" t="s">
        <v>2064</v>
      </c>
      <c r="J1008" s="210" t="s">
        <v>609</v>
      </c>
      <c r="K1008" s="210" t="s">
        <v>22</v>
      </c>
      <c r="L1008" s="264"/>
      <c r="N1008" s="210" t="s">
        <v>620</v>
      </c>
      <c r="O1008" s="210" t="s">
        <v>135</v>
      </c>
      <c r="P1008" s="320">
        <v>46073</v>
      </c>
    </row>
    <row r="1009" spans="1:18" s="261" customFormat="1" hidden="1">
      <c r="A1009" s="290">
        <f t="shared" si="145"/>
        <v>1007</v>
      </c>
      <c r="B1009" s="403">
        <v>46076</v>
      </c>
      <c r="C1009" s="261" t="str">
        <f t="shared" si="144"/>
        <v>MP1007</v>
      </c>
      <c r="D1009" s="261" t="s">
        <v>875</v>
      </c>
      <c r="E1009" s="290">
        <v>3000</v>
      </c>
      <c r="F1009" s="290" t="s">
        <v>2065</v>
      </c>
      <c r="G1009" s="290">
        <v>14</v>
      </c>
      <c r="H1009" s="462">
        <f t="shared" si="142"/>
        <v>42000</v>
      </c>
      <c r="J1009" s="261" t="s">
        <v>2066</v>
      </c>
      <c r="K1009" s="261" t="s">
        <v>2032</v>
      </c>
      <c r="L1009" s="290"/>
      <c r="M1009" s="261" t="s">
        <v>1102</v>
      </c>
      <c r="O1009" s="261" t="s">
        <v>370</v>
      </c>
      <c r="P1009" s="405">
        <v>46077</v>
      </c>
    </row>
    <row r="1010" spans="1:18" s="261" customFormat="1" hidden="1">
      <c r="A1010" s="290">
        <f t="shared" si="145"/>
        <v>1008</v>
      </c>
      <c r="B1010" s="403">
        <v>46076</v>
      </c>
      <c r="C1010" s="261" t="str">
        <f t="shared" si="144"/>
        <v>MP1008</v>
      </c>
      <c r="D1010" s="261" t="s">
        <v>2067</v>
      </c>
      <c r="E1010" s="290">
        <v>3000</v>
      </c>
      <c r="F1010" s="290"/>
      <c r="G1010" s="290">
        <v>20</v>
      </c>
      <c r="H1010" s="462">
        <f t="shared" si="142"/>
        <v>60000</v>
      </c>
      <c r="J1010" s="261" t="s">
        <v>2066</v>
      </c>
      <c r="K1010" s="261" t="s">
        <v>2032</v>
      </c>
      <c r="L1010" s="290"/>
      <c r="M1010" s="261" t="s">
        <v>1102</v>
      </c>
      <c r="O1010" s="261" t="s">
        <v>370</v>
      </c>
      <c r="P1010" s="405">
        <v>46077</v>
      </c>
    </row>
    <row r="1011" spans="1:18" s="210" customFormat="1" ht="30" hidden="1">
      <c r="A1011" s="264">
        <f t="shared" si="145"/>
        <v>1009</v>
      </c>
      <c r="B1011" s="225">
        <v>46076</v>
      </c>
      <c r="C1011" s="210" t="s">
        <v>2068</v>
      </c>
      <c r="D1011" s="210" t="s">
        <v>2069</v>
      </c>
      <c r="E1011" s="264">
        <v>10000</v>
      </c>
      <c r="F1011" s="264" t="s">
        <v>2070</v>
      </c>
      <c r="G1011" s="264">
        <v>31</v>
      </c>
      <c r="H1011" s="228">
        <f t="shared" si="142"/>
        <v>310000</v>
      </c>
      <c r="I1011" s="336" t="s">
        <v>2071</v>
      </c>
      <c r="J1011" s="210" t="s">
        <v>930</v>
      </c>
      <c r="K1011" s="210" t="s">
        <v>24</v>
      </c>
      <c r="L1011" s="264"/>
      <c r="M1011" s="210" t="s">
        <v>1102</v>
      </c>
      <c r="N1011" s="210" t="s">
        <v>620</v>
      </c>
      <c r="O1011" s="210" t="s">
        <v>135</v>
      </c>
      <c r="P1011" s="320">
        <v>46077</v>
      </c>
    </row>
    <row r="1012" spans="1:18" s="210" customFormat="1" ht="30" hidden="1">
      <c r="A1012" s="264">
        <f t="shared" si="145"/>
        <v>1010</v>
      </c>
      <c r="B1012" s="225">
        <v>46076</v>
      </c>
      <c r="C1012" s="210" t="s">
        <v>2072</v>
      </c>
      <c r="D1012" s="210" t="s">
        <v>687</v>
      </c>
      <c r="E1012" s="264">
        <v>3000</v>
      </c>
      <c r="F1012" s="264" t="s">
        <v>2073</v>
      </c>
      <c r="G1012" s="264">
        <v>31</v>
      </c>
      <c r="H1012" s="228">
        <f t="shared" si="142"/>
        <v>93000</v>
      </c>
      <c r="I1012" s="336" t="s">
        <v>2071</v>
      </c>
      <c r="J1012" s="210" t="s">
        <v>930</v>
      </c>
      <c r="K1012" s="210" t="s">
        <v>24</v>
      </c>
      <c r="L1012" s="264"/>
      <c r="M1012" s="210" t="s">
        <v>1102</v>
      </c>
      <c r="O1012" s="210" t="s">
        <v>135</v>
      </c>
      <c r="P1012" s="320">
        <v>46077</v>
      </c>
    </row>
    <row r="1013" spans="1:18" s="250" customFormat="1" hidden="1">
      <c r="A1013" s="270">
        <f t="shared" si="145"/>
        <v>1011</v>
      </c>
      <c r="B1013" s="296">
        <v>46076</v>
      </c>
      <c r="C1013" s="250" t="str">
        <f t="shared" si="144"/>
        <v>MP1011</v>
      </c>
      <c r="D1013" s="250" t="s">
        <v>2074</v>
      </c>
      <c r="E1013" s="270">
        <v>500</v>
      </c>
      <c r="F1013" s="270"/>
      <c r="G1013" s="270">
        <v>70</v>
      </c>
      <c r="H1013" s="254">
        <f t="shared" si="142"/>
        <v>35000</v>
      </c>
      <c r="K1013" s="250" t="s">
        <v>1525</v>
      </c>
      <c r="L1013" s="270"/>
      <c r="M1013" s="250" t="s">
        <v>2075</v>
      </c>
      <c r="O1013" s="250" t="s">
        <v>370</v>
      </c>
      <c r="P1013" s="308">
        <v>46078</v>
      </c>
    </row>
    <row r="1014" spans="1:18" s="250" customFormat="1" hidden="1">
      <c r="A1014" s="270">
        <f t="shared" si="145"/>
        <v>1012</v>
      </c>
      <c r="B1014" s="296">
        <v>46076</v>
      </c>
      <c r="C1014" s="250" t="str">
        <f t="shared" si="144"/>
        <v>MP1012</v>
      </c>
      <c r="D1014" s="250" t="s">
        <v>2076</v>
      </c>
      <c r="E1014" s="270">
        <v>1000</v>
      </c>
      <c r="F1014" s="270"/>
      <c r="G1014" s="270"/>
      <c r="H1014" s="254" t="str">
        <f t="shared" si="142"/>
        <v/>
      </c>
      <c r="I1014" s="250" t="s">
        <v>2077</v>
      </c>
      <c r="J1014" s="250" t="s">
        <v>1662</v>
      </c>
      <c r="K1014" s="250" t="s">
        <v>1442</v>
      </c>
      <c r="L1014" s="270"/>
      <c r="O1014" s="250" t="s">
        <v>370</v>
      </c>
      <c r="P1014" s="308">
        <v>46078</v>
      </c>
    </row>
    <row r="1015" spans="1:18" s="214" customFormat="1">
      <c r="A1015" s="282">
        <f t="shared" si="145"/>
        <v>1013</v>
      </c>
      <c r="B1015" s="286">
        <v>46076</v>
      </c>
      <c r="C1015" s="214" t="str">
        <f t="shared" si="144"/>
        <v>MP1013</v>
      </c>
      <c r="D1015" s="214" t="s">
        <v>1151</v>
      </c>
      <c r="E1015" s="282">
        <v>300</v>
      </c>
      <c r="F1015" s="282" t="s">
        <v>2078</v>
      </c>
      <c r="G1015" s="282">
        <v>230</v>
      </c>
      <c r="H1015" s="215">
        <f t="shared" si="142"/>
        <v>69000</v>
      </c>
      <c r="I1015" s="214" t="s">
        <v>1152</v>
      </c>
      <c r="K1015" s="214" t="s">
        <v>4</v>
      </c>
      <c r="L1015" s="282"/>
      <c r="O1015" s="214" t="s">
        <v>695</v>
      </c>
      <c r="P1015" s="307">
        <v>46091</v>
      </c>
    </row>
    <row r="1016" spans="1:18" s="214" customFormat="1" hidden="1">
      <c r="A1016" s="282">
        <f t="shared" si="145"/>
        <v>1014</v>
      </c>
      <c r="B1016" s="286">
        <v>46076</v>
      </c>
      <c r="C1016" s="214" t="str">
        <f t="shared" si="144"/>
        <v>MP1014</v>
      </c>
      <c r="D1016" s="214" t="s">
        <v>1625</v>
      </c>
      <c r="E1016" s="282">
        <v>2500</v>
      </c>
      <c r="F1016" s="282">
        <v>190</v>
      </c>
      <c r="G1016" s="282">
        <v>29</v>
      </c>
      <c r="H1016" s="445">
        <f t="shared" si="142"/>
        <v>72500</v>
      </c>
      <c r="I1016" s="214" t="s">
        <v>1626</v>
      </c>
      <c r="J1016" s="214" t="s">
        <v>1627</v>
      </c>
      <c r="K1016" s="214" t="s">
        <v>1289</v>
      </c>
      <c r="L1016" s="282"/>
      <c r="O1016" s="214" t="s">
        <v>695</v>
      </c>
      <c r="P1016" s="307">
        <v>46078</v>
      </c>
    </row>
    <row r="1017" spans="1:18" s="214" customFormat="1" hidden="1">
      <c r="A1017" s="282">
        <f t="shared" si="145"/>
        <v>1015</v>
      </c>
      <c r="B1017" s="286">
        <v>46076</v>
      </c>
      <c r="C1017" s="214" t="str">
        <f t="shared" si="144"/>
        <v>MP1015</v>
      </c>
      <c r="D1017" s="214" t="s">
        <v>1021</v>
      </c>
      <c r="E1017" s="282">
        <v>2000</v>
      </c>
      <c r="F1017" s="282">
        <v>121</v>
      </c>
      <c r="G1017" s="282">
        <v>15.5</v>
      </c>
      <c r="H1017" s="215">
        <f t="shared" si="142"/>
        <v>31000</v>
      </c>
      <c r="I1017" s="214" t="s">
        <v>2079</v>
      </c>
      <c r="J1017" s="214" t="s">
        <v>782</v>
      </c>
      <c r="K1017" s="214" t="s">
        <v>23</v>
      </c>
      <c r="L1017" s="282"/>
      <c r="M1017" s="214" t="s">
        <v>1022</v>
      </c>
      <c r="O1017" s="214" t="s">
        <v>695</v>
      </c>
      <c r="P1017" s="307">
        <v>46118</v>
      </c>
      <c r="R1017" s="214" t="s">
        <v>2080</v>
      </c>
    </row>
    <row r="1018" spans="1:18" s="250" customFormat="1" ht="14.25" hidden="1" customHeight="1">
      <c r="A1018" s="270">
        <f t="shared" si="145"/>
        <v>1016</v>
      </c>
      <c r="B1018" s="296">
        <v>46076</v>
      </c>
      <c r="C1018" s="250" t="str">
        <f t="shared" si="144"/>
        <v>MP1016</v>
      </c>
      <c r="D1018" s="250" t="s">
        <v>594</v>
      </c>
      <c r="E1018" s="270">
        <v>300</v>
      </c>
      <c r="F1018" s="270" t="s">
        <v>1551</v>
      </c>
      <c r="G1018" s="270">
        <v>415</v>
      </c>
      <c r="H1018" s="355">
        <f t="shared" si="142"/>
        <v>124500</v>
      </c>
      <c r="I1018" s="250" t="s">
        <v>1036</v>
      </c>
      <c r="J1018" s="250" t="s">
        <v>609</v>
      </c>
      <c r="K1018" s="250" t="s">
        <v>1442</v>
      </c>
      <c r="L1018" s="270"/>
      <c r="O1018" s="250" t="s">
        <v>370</v>
      </c>
      <c r="P1018" s="308">
        <v>46080</v>
      </c>
    </row>
    <row r="1019" spans="1:18" s="214" customFormat="1" hidden="1">
      <c r="A1019" s="282">
        <f t="shared" si="145"/>
        <v>1017</v>
      </c>
      <c r="B1019" s="286">
        <v>46076</v>
      </c>
      <c r="C1019" s="214" t="str">
        <f t="shared" si="144"/>
        <v>MP1017</v>
      </c>
      <c r="D1019" s="215" t="s">
        <v>787</v>
      </c>
      <c r="E1019" s="233">
        <v>500</v>
      </c>
      <c r="F1019" s="233" t="s">
        <v>1771</v>
      </c>
      <c r="G1019" s="233">
        <v>65</v>
      </c>
      <c r="H1019" s="215">
        <f t="shared" si="142"/>
        <v>32500</v>
      </c>
      <c r="I1019" s="215" t="s">
        <v>118</v>
      </c>
      <c r="J1019" s="215" t="s">
        <v>60</v>
      </c>
      <c r="K1019" s="215" t="s">
        <v>15</v>
      </c>
      <c r="L1019" s="282"/>
      <c r="O1019" s="214" t="s">
        <v>695</v>
      </c>
      <c r="P1019" s="307">
        <v>46080</v>
      </c>
    </row>
    <row r="1020" spans="1:18" s="214" customFormat="1" hidden="1">
      <c r="A1020" s="282">
        <f t="shared" si="145"/>
        <v>1018</v>
      </c>
      <c r="B1020" s="286">
        <v>46076</v>
      </c>
      <c r="C1020" s="214" t="str">
        <f t="shared" si="144"/>
        <v>MP1018</v>
      </c>
      <c r="D1020" s="214" t="s">
        <v>124</v>
      </c>
      <c r="E1020" s="282">
        <v>500</v>
      </c>
      <c r="F1020" s="282">
        <v>2340</v>
      </c>
      <c r="G1020" s="282">
        <v>150</v>
      </c>
      <c r="H1020" s="335">
        <f t="shared" si="142"/>
        <v>75000</v>
      </c>
      <c r="I1020" s="214" t="s">
        <v>125</v>
      </c>
      <c r="J1020" s="214" t="s">
        <v>113</v>
      </c>
      <c r="K1020" s="214" t="s">
        <v>9</v>
      </c>
      <c r="L1020" s="282"/>
      <c r="O1020" s="214" t="s">
        <v>695</v>
      </c>
      <c r="P1020" s="307">
        <v>46080</v>
      </c>
    </row>
    <row r="1021" spans="1:18" s="245" customFormat="1" hidden="1">
      <c r="A1021" s="289">
        <f t="shared" si="145"/>
        <v>1019</v>
      </c>
      <c r="B1021" s="284">
        <v>46076</v>
      </c>
      <c r="C1021" s="245" t="str">
        <f t="shared" si="144"/>
        <v>MP1019</v>
      </c>
      <c r="D1021" s="246" t="s">
        <v>255</v>
      </c>
      <c r="E1021" s="247">
        <v>250</v>
      </c>
      <c r="F1021" s="247" t="s">
        <v>2081</v>
      </c>
      <c r="G1021" s="247">
        <v>295</v>
      </c>
      <c r="H1021" s="246">
        <f t="shared" si="142"/>
        <v>73750</v>
      </c>
      <c r="I1021" s="246" t="s">
        <v>125</v>
      </c>
      <c r="J1021" s="246" t="s">
        <v>60</v>
      </c>
      <c r="K1021" s="246" t="s">
        <v>20</v>
      </c>
      <c r="L1021" s="248"/>
      <c r="M1021" s="249"/>
      <c r="N1021" s="246" t="s">
        <v>200</v>
      </c>
      <c r="O1021" s="246" t="s">
        <v>55</v>
      </c>
      <c r="P1021" s="328">
        <v>46119</v>
      </c>
      <c r="Q1021" s="327">
        <f t="shared" ref="Q1021" ca="1" si="146">TODAY()-P1021</f>
        <v>6</v>
      </c>
    </row>
    <row r="1022" spans="1:18" s="214" customFormat="1" hidden="1">
      <c r="A1022" s="282">
        <f t="shared" si="145"/>
        <v>1020</v>
      </c>
      <c r="B1022" s="286">
        <v>46076</v>
      </c>
      <c r="C1022" s="214" t="str">
        <f t="shared" si="144"/>
        <v>MP1020</v>
      </c>
      <c r="D1022" s="215" t="s">
        <v>357</v>
      </c>
      <c r="E1022" s="233">
        <v>300</v>
      </c>
      <c r="F1022" s="233" t="s">
        <v>1687</v>
      </c>
      <c r="G1022" s="233">
        <v>160</v>
      </c>
      <c r="H1022" s="215">
        <f t="shared" si="142"/>
        <v>48000</v>
      </c>
      <c r="I1022" s="215" t="s">
        <v>358</v>
      </c>
      <c r="J1022" s="215" t="s">
        <v>60</v>
      </c>
      <c r="K1022" s="215" t="s">
        <v>2</v>
      </c>
      <c r="L1022" s="282"/>
      <c r="O1022" s="215" t="s">
        <v>695</v>
      </c>
      <c r="P1022" s="307">
        <v>46081</v>
      </c>
    </row>
    <row r="1023" spans="1:18" s="214" customFormat="1" ht="15.75" hidden="1">
      <c r="A1023" s="282">
        <f t="shared" si="145"/>
        <v>1021</v>
      </c>
      <c r="B1023" s="286">
        <v>46076</v>
      </c>
      <c r="C1023" s="214" t="str">
        <f t="shared" si="144"/>
        <v>MP1021</v>
      </c>
      <c r="D1023" s="434" t="s">
        <v>581</v>
      </c>
      <c r="E1023" s="233">
        <v>500</v>
      </c>
      <c r="F1023" s="233" t="s">
        <v>1688</v>
      </c>
      <c r="G1023" s="233">
        <v>50</v>
      </c>
      <c r="H1023" s="451">
        <f t="shared" si="142"/>
        <v>25000</v>
      </c>
      <c r="I1023" s="335" t="s">
        <v>582</v>
      </c>
      <c r="J1023" s="451" t="s">
        <v>60</v>
      </c>
      <c r="K1023" s="451" t="s">
        <v>22</v>
      </c>
      <c r="L1023" s="282"/>
      <c r="O1023" s="214" t="s">
        <v>695</v>
      </c>
      <c r="P1023" s="307">
        <v>46086</v>
      </c>
    </row>
    <row r="1024" spans="1:18" s="214" customFormat="1" hidden="1">
      <c r="A1024" s="282">
        <f t="shared" si="145"/>
        <v>1022</v>
      </c>
      <c r="B1024" s="286">
        <v>46076</v>
      </c>
      <c r="C1024" s="214" t="str">
        <f t="shared" si="144"/>
        <v>MP1022</v>
      </c>
      <c r="D1024" s="214" t="s">
        <v>1008</v>
      </c>
      <c r="E1024" s="282">
        <v>500</v>
      </c>
      <c r="F1024" s="282" t="s">
        <v>1688</v>
      </c>
      <c r="G1024" s="282">
        <v>38</v>
      </c>
      <c r="H1024" s="215">
        <f t="shared" si="142"/>
        <v>19000</v>
      </c>
      <c r="I1024" s="214" t="s">
        <v>59</v>
      </c>
      <c r="J1024" s="214" t="s">
        <v>609</v>
      </c>
      <c r="K1024" s="214" t="s">
        <v>22</v>
      </c>
      <c r="L1024" s="282"/>
      <c r="O1024" s="214" t="s">
        <v>695</v>
      </c>
      <c r="P1024" s="307">
        <v>46086</v>
      </c>
    </row>
    <row r="1025" spans="1:17" s="250" customFormat="1" hidden="1">
      <c r="A1025" s="270">
        <f t="shared" si="145"/>
        <v>1023</v>
      </c>
      <c r="B1025" s="296">
        <v>46076</v>
      </c>
      <c r="C1025" s="250" t="str">
        <f t="shared" si="144"/>
        <v>MP1023</v>
      </c>
      <c r="D1025" s="250" t="s">
        <v>1499</v>
      </c>
      <c r="E1025" s="270">
        <v>300</v>
      </c>
      <c r="F1025" s="270" t="s">
        <v>1772</v>
      </c>
      <c r="G1025" s="270">
        <v>300</v>
      </c>
      <c r="H1025" s="355">
        <f t="shared" si="142"/>
        <v>90000</v>
      </c>
      <c r="I1025" s="250" t="s">
        <v>66</v>
      </c>
      <c r="J1025" s="250" t="s">
        <v>60</v>
      </c>
      <c r="K1025" s="250" t="s">
        <v>4</v>
      </c>
      <c r="L1025" s="270"/>
      <c r="M1025" s="250" t="s">
        <v>1697</v>
      </c>
      <c r="O1025" s="250" t="s">
        <v>370</v>
      </c>
      <c r="P1025" s="308">
        <v>46101</v>
      </c>
    </row>
    <row r="1026" spans="1:17" s="245" customFormat="1" hidden="1">
      <c r="A1026" s="289">
        <f t="shared" si="145"/>
        <v>1024</v>
      </c>
      <c r="B1026" s="284">
        <v>46076</v>
      </c>
      <c r="C1026" s="245" t="str">
        <f t="shared" si="144"/>
        <v>MP1024</v>
      </c>
      <c r="D1026" s="246" t="s">
        <v>847</v>
      </c>
      <c r="E1026" s="247">
        <v>2000</v>
      </c>
      <c r="F1026" s="247">
        <v>131</v>
      </c>
      <c r="G1026" s="247">
        <v>13.5</v>
      </c>
      <c r="H1026" s="246">
        <f t="shared" si="142"/>
        <v>27000</v>
      </c>
      <c r="I1026" s="246" t="s">
        <v>269</v>
      </c>
      <c r="J1026" s="246" t="s">
        <v>265</v>
      </c>
      <c r="K1026" s="246" t="s">
        <v>683</v>
      </c>
      <c r="L1026" s="289"/>
      <c r="O1026" s="245" t="s">
        <v>55</v>
      </c>
      <c r="P1026" s="326">
        <v>46118</v>
      </c>
    </row>
    <row r="1027" spans="1:17" s="210" customFormat="1" hidden="1">
      <c r="A1027" s="264">
        <f t="shared" si="145"/>
        <v>1025</v>
      </c>
      <c r="B1027" s="225">
        <v>46076</v>
      </c>
      <c r="C1027" s="210" t="str">
        <f t="shared" si="144"/>
        <v>MP1025</v>
      </c>
      <c r="D1027" s="209" t="s">
        <v>798</v>
      </c>
      <c r="E1027" s="385">
        <v>5000</v>
      </c>
      <c r="F1027" s="385">
        <v>98</v>
      </c>
      <c r="G1027" s="414">
        <v>11</v>
      </c>
      <c r="H1027" s="209">
        <f t="shared" si="142"/>
        <v>55000</v>
      </c>
      <c r="I1027" s="209" t="s">
        <v>237</v>
      </c>
      <c r="J1027" s="209" t="s">
        <v>265</v>
      </c>
      <c r="K1027" s="209" t="s">
        <v>22</v>
      </c>
      <c r="L1027" s="435"/>
      <c r="M1027" s="210" t="s">
        <v>2082</v>
      </c>
      <c r="N1027" s="209" t="s">
        <v>211</v>
      </c>
      <c r="O1027" s="209" t="s">
        <v>135</v>
      </c>
      <c r="P1027" s="436">
        <v>46101</v>
      </c>
      <c r="Q1027" s="321">
        <f t="shared" ref="Q1027" ca="1" si="147">TODAY()-P1027</f>
        <v>24</v>
      </c>
    </row>
    <row r="1028" spans="1:17" s="250" customFormat="1" hidden="1">
      <c r="A1028" s="270">
        <f t="shared" si="145"/>
        <v>1026</v>
      </c>
      <c r="B1028" s="296">
        <v>46076</v>
      </c>
      <c r="C1028" s="250" t="str">
        <f t="shared" si="144"/>
        <v>MP1026</v>
      </c>
      <c r="D1028" s="475" t="s">
        <v>2083</v>
      </c>
      <c r="E1028" s="270"/>
      <c r="F1028" s="270"/>
      <c r="G1028" s="270"/>
      <c r="H1028" s="254" t="str">
        <f t="shared" si="142"/>
        <v/>
      </c>
      <c r="L1028" s="270"/>
      <c r="M1028" s="250" t="s">
        <v>2084</v>
      </c>
      <c r="O1028" s="250" t="s">
        <v>370</v>
      </c>
      <c r="P1028" s="308"/>
    </row>
    <row r="1029" spans="1:17" s="214" customFormat="1" hidden="1">
      <c r="A1029" s="282">
        <f t="shared" si="145"/>
        <v>1027</v>
      </c>
      <c r="B1029" s="286">
        <v>46090</v>
      </c>
      <c r="C1029" s="214" t="str">
        <f t="shared" si="144"/>
        <v>MP1027</v>
      </c>
      <c r="D1029" s="214" t="s">
        <v>1601</v>
      </c>
      <c r="E1029" s="282">
        <v>3000</v>
      </c>
      <c r="F1029" s="282">
        <v>135</v>
      </c>
      <c r="G1029" s="282">
        <v>16.5</v>
      </c>
      <c r="H1029" s="445">
        <f t="shared" si="142"/>
        <v>49500</v>
      </c>
      <c r="I1029" s="214" t="s">
        <v>1602</v>
      </c>
      <c r="J1029" s="214" t="s">
        <v>930</v>
      </c>
      <c r="K1029" s="214" t="s">
        <v>15</v>
      </c>
      <c r="L1029" s="282"/>
      <c r="O1029" s="214" t="s">
        <v>695</v>
      </c>
      <c r="P1029" s="307">
        <v>46090</v>
      </c>
    </row>
    <row r="1030" spans="1:17" s="214" customFormat="1" hidden="1">
      <c r="A1030" s="282">
        <f t="shared" si="145"/>
        <v>1028</v>
      </c>
      <c r="B1030" s="286">
        <v>46090</v>
      </c>
      <c r="C1030" s="214" t="str">
        <f t="shared" si="144"/>
        <v>MP1028</v>
      </c>
      <c r="D1030" s="215" t="s">
        <v>959</v>
      </c>
      <c r="E1030" s="233">
        <v>200</v>
      </c>
      <c r="F1030" s="233">
        <v>365</v>
      </c>
      <c r="G1030" s="269">
        <v>600</v>
      </c>
      <c r="H1030" s="215">
        <f t="shared" si="142"/>
        <v>120000</v>
      </c>
      <c r="I1030" s="215" t="s">
        <v>656</v>
      </c>
      <c r="J1030" s="215" t="s">
        <v>609</v>
      </c>
      <c r="K1030" s="215" t="s">
        <v>678</v>
      </c>
      <c r="L1030" s="243">
        <v>199</v>
      </c>
      <c r="M1030" s="216" t="s">
        <v>872</v>
      </c>
      <c r="O1030" s="214" t="s">
        <v>695</v>
      </c>
      <c r="P1030" s="307">
        <v>46090</v>
      </c>
    </row>
    <row r="1031" spans="1:17" s="214" customFormat="1" hidden="1">
      <c r="A1031" s="282">
        <f t="shared" si="145"/>
        <v>1029</v>
      </c>
      <c r="B1031" s="286">
        <v>46090</v>
      </c>
      <c r="C1031" s="214" t="str">
        <f t="shared" si="144"/>
        <v>MP1029</v>
      </c>
      <c r="D1031" s="214" t="s">
        <v>1474</v>
      </c>
      <c r="E1031" s="282">
        <v>300</v>
      </c>
      <c r="F1031" s="282" t="s">
        <v>1475</v>
      </c>
      <c r="G1031" s="282">
        <v>140</v>
      </c>
      <c r="H1031" s="335">
        <f t="shared" si="142"/>
        <v>42000</v>
      </c>
      <c r="I1031" s="214" t="s">
        <v>1476</v>
      </c>
      <c r="J1031" s="214" t="s">
        <v>1092</v>
      </c>
      <c r="K1031" s="214" t="s">
        <v>1442</v>
      </c>
      <c r="L1031" s="282"/>
      <c r="O1031" s="214" t="s">
        <v>695</v>
      </c>
      <c r="P1031" s="307">
        <v>46090</v>
      </c>
    </row>
    <row r="1032" spans="1:17" s="214" customFormat="1" ht="15.75" hidden="1">
      <c r="A1032" s="282">
        <f t="shared" si="145"/>
        <v>1030</v>
      </c>
      <c r="B1032" s="286">
        <v>46090</v>
      </c>
      <c r="C1032" s="214" t="str">
        <f t="shared" si="144"/>
        <v>MP1030</v>
      </c>
      <c r="D1032" s="343" t="s">
        <v>659</v>
      </c>
      <c r="E1032" s="233">
        <v>500</v>
      </c>
      <c r="F1032" s="233" t="s">
        <v>2085</v>
      </c>
      <c r="G1032" s="233">
        <v>110</v>
      </c>
      <c r="H1032" s="215">
        <f t="shared" si="142"/>
        <v>55000</v>
      </c>
      <c r="I1032" s="215" t="s">
        <v>617</v>
      </c>
      <c r="J1032" s="215" t="s">
        <v>87</v>
      </c>
      <c r="K1032" s="215" t="s">
        <v>4</v>
      </c>
      <c r="L1032" s="243" t="s">
        <v>133</v>
      </c>
      <c r="M1032" s="216" t="s">
        <v>557</v>
      </c>
      <c r="N1032" s="215" t="s">
        <v>133</v>
      </c>
      <c r="O1032" s="215" t="s">
        <v>695</v>
      </c>
      <c r="P1032" s="312">
        <v>46090</v>
      </c>
      <c r="Q1032" s="443">
        <f t="shared" ref="Q1032" ca="1" si="148">TODAY()-P1032</f>
        <v>35</v>
      </c>
    </row>
    <row r="1033" spans="1:17" s="214" customFormat="1" hidden="1">
      <c r="A1033" s="282">
        <f t="shared" si="145"/>
        <v>1031</v>
      </c>
      <c r="B1033" s="286">
        <v>46090</v>
      </c>
      <c r="C1033" s="214" t="str">
        <f t="shared" si="144"/>
        <v>MP1031</v>
      </c>
      <c r="D1033" s="214" t="s">
        <v>1000</v>
      </c>
      <c r="E1033" s="282">
        <v>300</v>
      </c>
      <c r="F1033" s="282" t="s">
        <v>2086</v>
      </c>
      <c r="G1033" s="459">
        <v>77</v>
      </c>
      <c r="H1033" s="215">
        <f t="shared" si="142"/>
        <v>23100</v>
      </c>
      <c r="I1033" s="214" t="s">
        <v>66</v>
      </c>
      <c r="J1033" s="214" t="s">
        <v>609</v>
      </c>
      <c r="K1033" s="214" t="s">
        <v>4</v>
      </c>
      <c r="L1033" s="282"/>
      <c r="O1033" s="215" t="s">
        <v>695</v>
      </c>
      <c r="P1033" s="312">
        <v>46090</v>
      </c>
    </row>
    <row r="1034" spans="1:17" s="250" customFormat="1" hidden="1">
      <c r="A1034" s="270">
        <f t="shared" si="145"/>
        <v>1032</v>
      </c>
      <c r="B1034" s="296">
        <v>46090</v>
      </c>
      <c r="C1034" s="250" t="str">
        <f t="shared" si="144"/>
        <v>MP1032</v>
      </c>
      <c r="D1034" s="250" t="s">
        <v>1390</v>
      </c>
      <c r="E1034" s="270">
        <v>3000</v>
      </c>
      <c r="F1034" s="270">
        <v>120</v>
      </c>
      <c r="G1034" s="270">
        <v>13</v>
      </c>
      <c r="H1034" s="355">
        <f t="shared" si="142"/>
        <v>39000</v>
      </c>
      <c r="I1034" s="250" t="s">
        <v>237</v>
      </c>
      <c r="J1034" s="250" t="s">
        <v>930</v>
      </c>
      <c r="K1034" s="250" t="s">
        <v>1289</v>
      </c>
      <c r="L1034" s="270">
        <v>2500</v>
      </c>
      <c r="O1034" s="252" t="s">
        <v>370</v>
      </c>
      <c r="P1034" s="316">
        <v>46101</v>
      </c>
    </row>
    <row r="1035" spans="1:17" s="250" customFormat="1" hidden="1">
      <c r="A1035" s="270">
        <f t="shared" si="145"/>
        <v>1033</v>
      </c>
      <c r="B1035" s="296">
        <v>46076</v>
      </c>
      <c r="C1035" s="250" t="str">
        <f t="shared" si="144"/>
        <v>MP1033</v>
      </c>
      <c r="D1035" s="250" t="s">
        <v>85</v>
      </c>
      <c r="E1035" s="270">
        <v>500</v>
      </c>
      <c r="F1035" s="270" t="s">
        <v>2087</v>
      </c>
      <c r="G1035" s="270">
        <v>130</v>
      </c>
      <c r="H1035" s="355">
        <v>0</v>
      </c>
      <c r="I1035" s="250" t="s">
        <v>118</v>
      </c>
      <c r="J1035" s="250" t="s">
        <v>87</v>
      </c>
      <c r="K1035" s="250" t="s">
        <v>4</v>
      </c>
      <c r="L1035" s="270"/>
      <c r="O1035" s="250" t="s">
        <v>370</v>
      </c>
      <c r="P1035" s="308">
        <v>46090</v>
      </c>
    </row>
    <row r="1036" spans="1:17" s="250" customFormat="1" ht="15.75" hidden="1">
      <c r="A1036" s="270">
        <f t="shared" si="145"/>
        <v>1034</v>
      </c>
      <c r="B1036" s="296">
        <v>46090</v>
      </c>
      <c r="C1036" s="250" t="str">
        <f t="shared" si="144"/>
        <v>MP1034</v>
      </c>
      <c r="D1036" s="389" t="s">
        <v>421</v>
      </c>
      <c r="E1036" s="231">
        <v>1200</v>
      </c>
      <c r="F1036" s="231" t="s">
        <v>2088</v>
      </c>
      <c r="G1036" s="231">
        <v>13</v>
      </c>
      <c r="H1036" s="252">
        <f t="shared" si="142"/>
        <v>15600</v>
      </c>
      <c r="I1036" s="252" t="s">
        <v>237</v>
      </c>
      <c r="J1036" s="252" t="s">
        <v>265</v>
      </c>
      <c r="K1036" s="252" t="s">
        <v>20</v>
      </c>
      <c r="L1036" s="241">
        <v>2019</v>
      </c>
      <c r="M1036" s="255" t="s">
        <v>1381</v>
      </c>
      <c r="N1036" s="252" t="s">
        <v>422</v>
      </c>
      <c r="O1036" s="252" t="s">
        <v>370</v>
      </c>
      <c r="P1036" s="316">
        <v>46090</v>
      </c>
      <c r="Q1036" s="309">
        <f t="shared" ref="Q1036" ca="1" si="149">TODAY()-P1036</f>
        <v>35</v>
      </c>
    </row>
    <row r="1037" spans="1:17" s="250" customFormat="1" hidden="1">
      <c r="A1037" s="270">
        <f t="shared" si="145"/>
        <v>1035</v>
      </c>
      <c r="B1037" s="296">
        <v>46090</v>
      </c>
      <c r="C1037" s="250" t="str">
        <f t="shared" si="144"/>
        <v>MP1035</v>
      </c>
      <c r="D1037" s="252" t="s">
        <v>938</v>
      </c>
      <c r="E1037" s="231">
        <v>200</v>
      </c>
      <c r="F1037" s="231">
        <v>3400</v>
      </c>
      <c r="G1037" s="268">
        <v>360</v>
      </c>
      <c r="H1037" s="252" t="s">
        <v>213</v>
      </c>
      <c r="I1037" s="252" t="s">
        <v>939</v>
      </c>
      <c r="J1037" s="252" t="s">
        <v>609</v>
      </c>
      <c r="K1037" s="252" t="s">
        <v>4</v>
      </c>
      <c r="L1037" s="270"/>
      <c r="M1037" s="250" t="s">
        <v>1500</v>
      </c>
      <c r="O1037" s="250" t="s">
        <v>370</v>
      </c>
      <c r="P1037" s="308"/>
    </row>
    <row r="1038" spans="1:17" s="245" customFormat="1" hidden="1">
      <c r="A1038" s="289">
        <f t="shared" si="145"/>
        <v>1036</v>
      </c>
      <c r="B1038" s="284">
        <v>46090</v>
      </c>
      <c r="C1038" s="245" t="str">
        <f t="shared" si="144"/>
        <v>MP1036</v>
      </c>
      <c r="D1038" s="245" t="s">
        <v>1494</v>
      </c>
      <c r="E1038" s="289">
        <v>200</v>
      </c>
      <c r="F1038" s="289" t="s">
        <v>1495</v>
      </c>
      <c r="G1038" s="289">
        <v>290</v>
      </c>
      <c r="H1038" s="315">
        <f t="shared" ref="H1038:H1040" si="150">IF(G1038="","",E1038*G1038)</f>
        <v>58000</v>
      </c>
      <c r="I1038" s="246" t="s">
        <v>2089</v>
      </c>
      <c r="J1038" s="245" t="s">
        <v>60</v>
      </c>
      <c r="K1038" s="245" t="s">
        <v>4</v>
      </c>
      <c r="L1038" s="289"/>
      <c r="O1038" s="245" t="s">
        <v>55</v>
      </c>
      <c r="P1038" s="326">
        <v>46109</v>
      </c>
    </row>
    <row r="1039" spans="1:17" s="214" customFormat="1" hidden="1">
      <c r="A1039" s="282">
        <f t="shared" si="145"/>
        <v>1037</v>
      </c>
      <c r="B1039" s="286">
        <v>46090</v>
      </c>
      <c r="C1039" s="214" t="str">
        <f t="shared" si="144"/>
        <v>MP1037</v>
      </c>
      <c r="D1039" s="215" t="s">
        <v>108</v>
      </c>
      <c r="E1039" s="233">
        <v>600</v>
      </c>
      <c r="F1039" s="233">
        <v>240</v>
      </c>
      <c r="G1039" s="269">
        <v>42.5</v>
      </c>
      <c r="H1039" s="215">
        <f t="shared" si="150"/>
        <v>25500</v>
      </c>
      <c r="I1039" s="215" t="s">
        <v>955</v>
      </c>
      <c r="J1039" s="215" t="s">
        <v>956</v>
      </c>
      <c r="K1039" s="215" t="s">
        <v>5</v>
      </c>
      <c r="L1039" s="243">
        <v>640</v>
      </c>
      <c r="M1039" s="216" t="s">
        <v>869</v>
      </c>
      <c r="O1039" s="214" t="s">
        <v>695</v>
      </c>
      <c r="P1039" s="307">
        <v>46089</v>
      </c>
    </row>
    <row r="1040" spans="1:17" s="214" customFormat="1" hidden="1">
      <c r="A1040" s="282">
        <f t="shared" si="145"/>
        <v>1038</v>
      </c>
      <c r="B1040" s="286">
        <v>46090</v>
      </c>
      <c r="C1040" s="214" t="str">
        <f t="shared" si="144"/>
        <v>MP1038</v>
      </c>
      <c r="D1040" s="215" t="s">
        <v>850</v>
      </c>
      <c r="E1040" s="233">
        <v>300</v>
      </c>
      <c r="F1040" s="233" t="s">
        <v>2090</v>
      </c>
      <c r="G1040" s="233">
        <v>330</v>
      </c>
      <c r="H1040" s="215">
        <f t="shared" si="150"/>
        <v>99000</v>
      </c>
      <c r="I1040" s="215" t="s">
        <v>2091</v>
      </c>
      <c r="J1040" s="215" t="s">
        <v>87</v>
      </c>
      <c r="K1040" s="215" t="s">
        <v>4</v>
      </c>
      <c r="L1040" s="282"/>
      <c r="O1040" s="214" t="s">
        <v>695</v>
      </c>
      <c r="P1040" s="307">
        <v>46089</v>
      </c>
    </row>
    <row r="1041" spans="1:16" s="245" customFormat="1" hidden="1">
      <c r="A1041" s="289">
        <f t="shared" si="145"/>
        <v>1039</v>
      </c>
      <c r="B1041" s="284">
        <v>46090</v>
      </c>
      <c r="C1041" s="245" t="str">
        <f t="shared" si="144"/>
        <v>MP1039</v>
      </c>
      <c r="D1041" s="246" t="s">
        <v>400</v>
      </c>
      <c r="E1041" s="247">
        <v>500</v>
      </c>
      <c r="F1041" s="247" t="s">
        <v>231</v>
      </c>
      <c r="G1041" s="247">
        <v>265</v>
      </c>
      <c r="H1041" s="246">
        <v>152500</v>
      </c>
      <c r="I1041" s="246" t="s">
        <v>286</v>
      </c>
      <c r="J1041" s="246" t="s">
        <v>60</v>
      </c>
      <c r="K1041" s="246" t="s">
        <v>4</v>
      </c>
      <c r="L1041" s="289"/>
      <c r="O1041" s="245" t="s">
        <v>55</v>
      </c>
      <c r="P1041" s="326">
        <v>46111</v>
      </c>
    </row>
    <row r="1042" spans="1:16" s="214" customFormat="1" hidden="1">
      <c r="A1042" s="282">
        <f t="shared" si="145"/>
        <v>1040</v>
      </c>
      <c r="B1042" s="286">
        <v>46090</v>
      </c>
      <c r="C1042" s="214" t="str">
        <f t="shared" si="144"/>
        <v>MP1040</v>
      </c>
      <c r="D1042" s="458" t="s">
        <v>474</v>
      </c>
      <c r="E1042" s="282">
        <v>300</v>
      </c>
      <c r="F1042" s="282">
        <v>2340</v>
      </c>
      <c r="G1042" s="282">
        <v>115</v>
      </c>
      <c r="H1042" s="335">
        <f t="shared" ref="H1042:H1053" si="151">IF(G1042="","",E1042*G1042)</f>
        <v>34500</v>
      </c>
      <c r="I1042" s="214" t="s">
        <v>2092</v>
      </c>
      <c r="J1042" s="214" t="s">
        <v>87</v>
      </c>
      <c r="K1042" s="214" t="s">
        <v>2</v>
      </c>
      <c r="L1042" s="282"/>
      <c r="O1042" s="214" t="s">
        <v>695</v>
      </c>
      <c r="P1042" s="307">
        <v>46090</v>
      </c>
    </row>
    <row r="1043" spans="1:16" s="214" customFormat="1" hidden="1">
      <c r="A1043" s="282">
        <f t="shared" si="145"/>
        <v>1041</v>
      </c>
      <c r="B1043" s="286">
        <v>46090</v>
      </c>
      <c r="C1043" s="214" t="str">
        <f t="shared" si="144"/>
        <v>MP1041</v>
      </c>
      <c r="D1043" s="214" t="s">
        <v>1012</v>
      </c>
      <c r="E1043" s="282">
        <v>300</v>
      </c>
      <c r="F1043" s="282" t="s">
        <v>231</v>
      </c>
      <c r="G1043" s="282">
        <v>205</v>
      </c>
      <c r="H1043" s="215">
        <f t="shared" si="151"/>
        <v>61500</v>
      </c>
      <c r="I1043" s="214" t="s">
        <v>59</v>
      </c>
      <c r="J1043" s="214" t="s">
        <v>937</v>
      </c>
      <c r="K1043" s="214" t="s">
        <v>4</v>
      </c>
      <c r="L1043" s="282"/>
      <c r="O1043" s="214" t="s">
        <v>695</v>
      </c>
      <c r="P1043" s="307">
        <v>46090</v>
      </c>
    </row>
    <row r="1044" spans="1:16" s="210" customFormat="1" hidden="1">
      <c r="A1044" s="264">
        <f t="shared" si="145"/>
        <v>1042</v>
      </c>
      <c r="B1044" s="225">
        <v>46090</v>
      </c>
      <c r="C1044" s="210" t="str">
        <f t="shared" si="144"/>
        <v>MP1042</v>
      </c>
      <c r="D1044" s="210" t="s">
        <v>2093</v>
      </c>
      <c r="E1044" s="365">
        <v>1250</v>
      </c>
      <c r="F1044" s="365">
        <v>80</v>
      </c>
      <c r="G1044" s="470">
        <v>31</v>
      </c>
      <c r="H1044" s="235">
        <f t="shared" si="151"/>
        <v>38750</v>
      </c>
      <c r="I1044" s="471" t="s">
        <v>1332</v>
      </c>
      <c r="J1044" s="228" t="s">
        <v>930</v>
      </c>
      <c r="K1044" s="228" t="s">
        <v>1289</v>
      </c>
      <c r="L1044" s="264"/>
      <c r="M1044" s="210" t="s">
        <v>2094</v>
      </c>
      <c r="O1044" s="210" t="s">
        <v>135</v>
      </c>
      <c r="P1044" s="320">
        <v>46090</v>
      </c>
    </row>
    <row r="1045" spans="1:16" s="214" customFormat="1" ht="15.75" hidden="1">
      <c r="A1045" s="282">
        <f t="shared" si="145"/>
        <v>1043</v>
      </c>
      <c r="B1045" s="286">
        <v>46090</v>
      </c>
      <c r="C1045" s="214" t="str">
        <f t="shared" si="144"/>
        <v>MP1043</v>
      </c>
      <c r="D1045" s="343" t="s">
        <v>648</v>
      </c>
      <c r="E1045" s="233">
        <v>3000</v>
      </c>
      <c r="F1045" s="233">
        <v>97.56</v>
      </c>
      <c r="G1045" s="233">
        <v>16</v>
      </c>
      <c r="H1045" s="215">
        <f t="shared" si="151"/>
        <v>48000</v>
      </c>
      <c r="I1045" s="215" t="s">
        <v>650</v>
      </c>
      <c r="J1045" s="215" t="s">
        <v>634</v>
      </c>
      <c r="K1045" s="215" t="s">
        <v>635</v>
      </c>
      <c r="L1045" s="282"/>
      <c r="O1045" s="214" t="s">
        <v>695</v>
      </c>
      <c r="P1045" s="307">
        <v>46090</v>
      </c>
    </row>
    <row r="1046" spans="1:16" s="214" customFormat="1" hidden="1">
      <c r="A1046" s="282">
        <f t="shared" si="145"/>
        <v>1044</v>
      </c>
      <c r="B1046" s="286">
        <v>46090</v>
      </c>
      <c r="C1046" s="214" t="str">
        <f t="shared" si="144"/>
        <v>MP1044</v>
      </c>
      <c r="D1046" s="214" t="s">
        <v>1424</v>
      </c>
      <c r="E1046" s="282">
        <v>10000</v>
      </c>
      <c r="F1046" s="282" t="s">
        <v>231</v>
      </c>
      <c r="G1046" s="282">
        <v>13.5</v>
      </c>
      <c r="H1046" s="335">
        <f t="shared" si="151"/>
        <v>135000</v>
      </c>
      <c r="I1046" s="214" t="s">
        <v>1422</v>
      </c>
      <c r="J1046" s="214" t="s">
        <v>634</v>
      </c>
      <c r="L1046" s="282"/>
      <c r="M1046" s="214" t="s">
        <v>2095</v>
      </c>
      <c r="O1046" s="214" t="s">
        <v>695</v>
      </c>
      <c r="P1046" s="307">
        <v>46097</v>
      </c>
    </row>
    <row r="1047" spans="1:16" s="261" customFormat="1" hidden="1">
      <c r="A1047" s="290">
        <f t="shared" si="145"/>
        <v>1045</v>
      </c>
      <c r="B1047" s="403">
        <v>46090</v>
      </c>
      <c r="C1047" s="261" t="str">
        <f t="shared" si="144"/>
        <v>MP1045</v>
      </c>
      <c r="D1047" s="261" t="s">
        <v>1088</v>
      </c>
      <c r="E1047" s="290">
        <v>2400</v>
      </c>
      <c r="F1047" s="290" t="s">
        <v>231</v>
      </c>
      <c r="G1047" s="290">
        <v>7.5</v>
      </c>
      <c r="H1047" s="262" t="s">
        <v>213</v>
      </c>
      <c r="I1047" s="261" t="s">
        <v>1081</v>
      </c>
      <c r="J1047" s="261" t="s">
        <v>844</v>
      </c>
      <c r="K1047" s="261" t="s">
        <v>20</v>
      </c>
      <c r="L1047" s="290"/>
      <c r="O1047" s="261" t="s">
        <v>370</v>
      </c>
      <c r="P1047" s="405">
        <v>46090</v>
      </c>
    </row>
    <row r="1048" spans="1:16" s="214" customFormat="1" hidden="1">
      <c r="A1048" s="282">
        <f t="shared" si="145"/>
        <v>1046</v>
      </c>
      <c r="B1048" s="286">
        <v>46090</v>
      </c>
      <c r="C1048" s="214" t="str">
        <f t="shared" si="144"/>
        <v>MP1046</v>
      </c>
      <c r="D1048" s="215" t="s">
        <v>705</v>
      </c>
      <c r="E1048" s="233">
        <v>300</v>
      </c>
      <c r="F1048" s="233" t="s">
        <v>2096</v>
      </c>
      <c r="G1048" s="269">
        <v>58</v>
      </c>
      <c r="H1048" s="215">
        <f t="shared" si="151"/>
        <v>17400</v>
      </c>
      <c r="I1048" s="215" t="s">
        <v>66</v>
      </c>
      <c r="J1048" s="215" t="s">
        <v>60</v>
      </c>
      <c r="K1048" s="215" t="s">
        <v>9</v>
      </c>
      <c r="L1048" s="282"/>
      <c r="O1048" s="214" t="s">
        <v>695</v>
      </c>
      <c r="P1048" s="307">
        <v>46090</v>
      </c>
    </row>
    <row r="1049" spans="1:16" s="214" customFormat="1" hidden="1">
      <c r="A1049" s="282">
        <f t="shared" si="145"/>
        <v>1047</v>
      </c>
      <c r="B1049" s="286">
        <v>46090</v>
      </c>
      <c r="C1049" s="214" t="str">
        <f t="shared" si="144"/>
        <v>MP1047</v>
      </c>
      <c r="D1049" s="215" t="s">
        <v>676</v>
      </c>
      <c r="E1049" s="233">
        <v>500</v>
      </c>
      <c r="F1049" s="233" t="s">
        <v>2097</v>
      </c>
      <c r="G1049" s="233">
        <v>62</v>
      </c>
      <c r="H1049" s="215">
        <f t="shared" si="151"/>
        <v>31000</v>
      </c>
      <c r="I1049" s="215" t="s">
        <v>677</v>
      </c>
      <c r="J1049" s="215" t="s">
        <v>609</v>
      </c>
      <c r="K1049" s="215" t="s">
        <v>678</v>
      </c>
      <c r="L1049" s="282"/>
      <c r="O1049" s="214" t="s">
        <v>695</v>
      </c>
      <c r="P1049" s="307">
        <v>46092</v>
      </c>
    </row>
    <row r="1050" spans="1:16" s="250" customFormat="1" hidden="1">
      <c r="A1050" s="270">
        <f t="shared" si="145"/>
        <v>1048</v>
      </c>
      <c r="B1050" s="296">
        <v>46090</v>
      </c>
      <c r="C1050" s="250" t="str">
        <f t="shared" si="144"/>
        <v>MP1048</v>
      </c>
      <c r="D1050" s="250" t="s">
        <v>160</v>
      </c>
      <c r="E1050" s="270">
        <v>1000</v>
      </c>
      <c r="F1050" s="270">
        <v>1070</v>
      </c>
      <c r="G1050" s="270">
        <v>68</v>
      </c>
      <c r="H1050" s="355">
        <f t="shared" si="151"/>
        <v>68000</v>
      </c>
      <c r="I1050" s="250" t="s">
        <v>66</v>
      </c>
      <c r="J1050" s="250" t="s">
        <v>87</v>
      </c>
      <c r="K1050" s="250" t="s">
        <v>24</v>
      </c>
      <c r="L1050" s="270"/>
      <c r="M1050" s="250" t="s">
        <v>2098</v>
      </c>
      <c r="O1050" s="250" t="s">
        <v>370</v>
      </c>
      <c r="P1050" s="308">
        <v>46095</v>
      </c>
    </row>
    <row r="1051" spans="1:16" s="214" customFormat="1" hidden="1">
      <c r="A1051" s="282">
        <f t="shared" si="145"/>
        <v>1049</v>
      </c>
      <c r="B1051" s="286">
        <v>46090</v>
      </c>
      <c r="C1051" s="214" t="str">
        <f t="shared" si="144"/>
        <v>MP1049</v>
      </c>
      <c r="D1051" s="214" t="s">
        <v>1352</v>
      </c>
      <c r="E1051" s="282">
        <v>300</v>
      </c>
      <c r="F1051" s="282" t="s">
        <v>2099</v>
      </c>
      <c r="G1051" s="282">
        <v>110</v>
      </c>
      <c r="H1051" s="335">
        <f t="shared" si="151"/>
        <v>33000</v>
      </c>
      <c r="I1051" s="214" t="s">
        <v>66</v>
      </c>
      <c r="J1051" s="214" t="s">
        <v>87</v>
      </c>
      <c r="K1051" s="214" t="s">
        <v>4</v>
      </c>
      <c r="L1051" s="282"/>
      <c r="O1051" s="214" t="s">
        <v>695</v>
      </c>
      <c r="P1051" s="307">
        <v>46090</v>
      </c>
    </row>
    <row r="1052" spans="1:16" s="310" customFormat="1" hidden="1">
      <c r="A1052" s="323">
        <f t="shared" si="145"/>
        <v>1050</v>
      </c>
      <c r="B1052" s="324">
        <v>46090</v>
      </c>
      <c r="C1052" s="310" t="str">
        <f t="shared" si="144"/>
        <v>MP1050</v>
      </c>
      <c r="D1052" s="450" t="s">
        <v>2100</v>
      </c>
      <c r="E1052" s="323">
        <v>1000</v>
      </c>
      <c r="F1052" s="323" t="s">
        <v>1785</v>
      </c>
      <c r="G1052" s="323">
        <v>38</v>
      </c>
      <c r="H1052" s="311">
        <f t="shared" si="151"/>
        <v>38000</v>
      </c>
      <c r="I1052" s="310" t="s">
        <v>1428</v>
      </c>
      <c r="J1052" s="310" t="s">
        <v>1429</v>
      </c>
      <c r="K1052" s="310" t="s">
        <v>1156</v>
      </c>
      <c r="L1052" s="323"/>
      <c r="M1052" s="310" t="s">
        <v>2098</v>
      </c>
      <c r="O1052" s="310" t="s">
        <v>566</v>
      </c>
      <c r="P1052" s="325">
        <v>46090</v>
      </c>
    </row>
    <row r="1053" spans="1:16" s="245" customFormat="1" hidden="1">
      <c r="A1053" s="289">
        <f t="shared" si="145"/>
        <v>1051</v>
      </c>
      <c r="B1053" s="284">
        <v>46090</v>
      </c>
      <c r="C1053" s="245" t="str">
        <f t="shared" si="144"/>
        <v>MP1051</v>
      </c>
      <c r="D1053" s="245" t="s">
        <v>1412</v>
      </c>
      <c r="E1053" s="289">
        <v>3000</v>
      </c>
      <c r="F1053" s="289">
        <v>180</v>
      </c>
      <c r="G1053" s="289">
        <v>25</v>
      </c>
      <c r="H1053" s="315">
        <f t="shared" si="151"/>
        <v>75000</v>
      </c>
      <c r="I1053" s="245" t="s">
        <v>1413</v>
      </c>
      <c r="J1053" s="245" t="s">
        <v>1411</v>
      </c>
      <c r="K1053" s="245" t="s">
        <v>10</v>
      </c>
      <c r="L1053" s="289"/>
      <c r="O1053" s="245" t="s">
        <v>695</v>
      </c>
      <c r="P1053" s="326">
        <v>46090</v>
      </c>
    </row>
    <row r="1054" spans="1:16" s="214" customFormat="1" hidden="1">
      <c r="A1054" s="282">
        <f t="shared" si="145"/>
        <v>1052</v>
      </c>
      <c r="B1054" s="286">
        <v>46090</v>
      </c>
      <c r="C1054" s="214" t="str">
        <f t="shared" si="144"/>
        <v>MP1052</v>
      </c>
      <c r="D1054" s="215" t="s">
        <v>268</v>
      </c>
      <c r="E1054" s="233">
        <v>2000</v>
      </c>
      <c r="F1054" s="233">
        <v>124</v>
      </c>
      <c r="G1054" s="269">
        <v>13.5</v>
      </c>
      <c r="H1054" s="215">
        <f t="shared" ref="H1054:H1055" si="152">IF(G1054="","",E1054*G1054)</f>
        <v>27000</v>
      </c>
      <c r="I1054" s="215" t="s">
        <v>269</v>
      </c>
      <c r="J1054" s="215" t="s">
        <v>265</v>
      </c>
      <c r="K1054" s="215" t="s">
        <v>20</v>
      </c>
      <c r="L1054" s="243">
        <v>1960</v>
      </c>
      <c r="M1054" s="216" t="s">
        <v>797</v>
      </c>
      <c r="O1054" s="214" t="s">
        <v>695</v>
      </c>
      <c r="P1054" s="307">
        <v>46090</v>
      </c>
    </row>
    <row r="1055" spans="1:16" s="214" customFormat="1" hidden="1">
      <c r="A1055" s="282">
        <f t="shared" si="145"/>
        <v>1053</v>
      </c>
      <c r="B1055" s="286">
        <v>46090</v>
      </c>
      <c r="C1055" s="214" t="str">
        <f t="shared" si="144"/>
        <v>MP1053</v>
      </c>
      <c r="D1055" s="313" t="s">
        <v>790</v>
      </c>
      <c r="E1055" s="388">
        <v>300</v>
      </c>
      <c r="F1055" s="388" t="s">
        <v>2101</v>
      </c>
      <c r="G1055" s="388">
        <v>106</v>
      </c>
      <c r="H1055" s="313">
        <f t="shared" si="152"/>
        <v>31800</v>
      </c>
      <c r="I1055" s="313" t="s">
        <v>74</v>
      </c>
      <c r="J1055" s="313" t="s">
        <v>60</v>
      </c>
      <c r="K1055" s="313" t="s">
        <v>22</v>
      </c>
      <c r="L1055" s="282"/>
      <c r="O1055" s="214" t="s">
        <v>695</v>
      </c>
      <c r="P1055" s="307">
        <v>46090</v>
      </c>
    </row>
    <row r="1056" spans="1:16" s="210" customFormat="1" hidden="1">
      <c r="A1056" s="264">
        <f t="shared" si="145"/>
        <v>1054</v>
      </c>
      <c r="B1056" s="225">
        <v>46079</v>
      </c>
      <c r="C1056" s="210" t="str">
        <f t="shared" si="144"/>
        <v>MP1054</v>
      </c>
      <c r="D1056" s="210" t="s">
        <v>2102</v>
      </c>
      <c r="E1056" s="264">
        <v>500</v>
      </c>
      <c r="F1056" s="264" t="s">
        <v>2103</v>
      </c>
      <c r="G1056" s="264">
        <v>60</v>
      </c>
      <c r="H1056" s="228">
        <f t="shared" si="142"/>
        <v>30000</v>
      </c>
      <c r="I1056" s="210" t="s">
        <v>2104</v>
      </c>
      <c r="J1056" s="210" t="s">
        <v>1184</v>
      </c>
      <c r="K1056" s="210" t="s">
        <v>1442</v>
      </c>
      <c r="L1056" s="264"/>
      <c r="O1056" s="210" t="s">
        <v>135</v>
      </c>
      <c r="P1056" s="320">
        <v>46086</v>
      </c>
    </row>
    <row r="1057" spans="1:19" s="210" customFormat="1" hidden="1">
      <c r="A1057" s="264">
        <f t="shared" si="145"/>
        <v>1055</v>
      </c>
      <c r="B1057" s="225">
        <v>46079</v>
      </c>
      <c r="C1057" s="210" t="str">
        <f t="shared" si="144"/>
        <v>MP1055</v>
      </c>
      <c r="D1057" s="210" t="s">
        <v>2105</v>
      </c>
      <c r="E1057" s="264">
        <v>300</v>
      </c>
      <c r="F1057" s="264" t="s">
        <v>2106</v>
      </c>
      <c r="G1057" s="264"/>
      <c r="H1057" s="228" t="str">
        <f t="shared" si="142"/>
        <v/>
      </c>
      <c r="I1057" s="210" t="s">
        <v>2107</v>
      </c>
      <c r="J1057" s="210" t="s">
        <v>1184</v>
      </c>
      <c r="K1057" s="210" t="s">
        <v>1442</v>
      </c>
      <c r="L1057" s="264"/>
      <c r="O1057" s="210" t="s">
        <v>135</v>
      </c>
      <c r="P1057" s="320">
        <v>46086</v>
      </c>
    </row>
    <row r="1058" spans="1:19" s="245" customFormat="1" hidden="1">
      <c r="A1058" s="289">
        <f t="shared" si="145"/>
        <v>1056</v>
      </c>
      <c r="B1058" s="284">
        <v>46092</v>
      </c>
      <c r="C1058" s="245" t="str">
        <f t="shared" si="144"/>
        <v>MP1056</v>
      </c>
      <c r="D1058" s="245" t="s">
        <v>160</v>
      </c>
      <c r="E1058" s="289">
        <v>1000</v>
      </c>
      <c r="F1058" s="289">
        <v>1070</v>
      </c>
      <c r="G1058" s="289">
        <v>72</v>
      </c>
      <c r="H1058" s="315">
        <f t="shared" ref="H1058" si="153">IF(G1058="","",E1058*G1058)</f>
        <v>72000</v>
      </c>
      <c r="I1058" s="245" t="s">
        <v>2108</v>
      </c>
      <c r="J1058" s="245" t="s">
        <v>87</v>
      </c>
      <c r="K1058" s="245" t="s">
        <v>4</v>
      </c>
      <c r="L1058" s="289"/>
      <c r="O1058" s="245" t="s">
        <v>55</v>
      </c>
      <c r="P1058" s="326">
        <v>46121</v>
      </c>
    </row>
    <row r="1059" spans="1:19" s="210" customFormat="1" hidden="1">
      <c r="A1059" s="264">
        <f t="shared" si="145"/>
        <v>1057</v>
      </c>
      <c r="B1059" s="225">
        <v>46081</v>
      </c>
      <c r="C1059" s="210" t="str">
        <f>IF(B1059="","",_xlfn.CONCAT("MP",A1059))</f>
        <v>MP1057</v>
      </c>
      <c r="D1059" s="481" t="s">
        <v>2109</v>
      </c>
      <c r="E1059" s="481">
        <v>300</v>
      </c>
      <c r="F1059" s="481" t="s">
        <v>2110</v>
      </c>
      <c r="G1059" s="483">
        <v>545</v>
      </c>
      <c r="H1059" s="228">
        <f t="shared" ref="H1059:H1076" si="154">IF(G1059="","",E1059*G1059)</f>
        <v>163500</v>
      </c>
      <c r="I1059" s="481" t="s">
        <v>2111</v>
      </c>
      <c r="J1059" s="210" t="s">
        <v>1092</v>
      </c>
      <c r="K1059" s="209" t="s">
        <v>4</v>
      </c>
      <c r="L1059" s="435"/>
      <c r="N1059" s="209" t="s">
        <v>620</v>
      </c>
      <c r="O1059" s="209" t="s">
        <v>135</v>
      </c>
      <c r="P1059" s="436">
        <v>46112</v>
      </c>
      <c r="Q1059" s="321"/>
    </row>
    <row r="1060" spans="1:19" s="210" customFormat="1" ht="24" hidden="1">
      <c r="A1060" s="264">
        <f t="shared" si="145"/>
        <v>1058</v>
      </c>
      <c r="B1060" s="225">
        <v>46081</v>
      </c>
      <c r="C1060" s="210" t="str">
        <f t="shared" si="144"/>
        <v>MP1058</v>
      </c>
      <c r="D1060" s="482" t="s">
        <v>2112</v>
      </c>
      <c r="E1060" s="482">
        <v>2500</v>
      </c>
      <c r="F1060" s="482" t="s">
        <v>2113</v>
      </c>
      <c r="G1060" s="483">
        <v>26</v>
      </c>
      <c r="H1060" s="228">
        <f t="shared" si="154"/>
        <v>65000</v>
      </c>
      <c r="I1060" s="482" t="s">
        <v>2114</v>
      </c>
      <c r="J1060" s="210" t="s">
        <v>930</v>
      </c>
      <c r="K1060" s="210" t="s">
        <v>20</v>
      </c>
      <c r="L1060" s="264"/>
      <c r="M1060" s="210" t="s">
        <v>1381</v>
      </c>
      <c r="N1060" s="209" t="s">
        <v>620</v>
      </c>
      <c r="O1060" s="210" t="s">
        <v>135</v>
      </c>
      <c r="P1060" s="320">
        <v>46085</v>
      </c>
    </row>
    <row r="1061" spans="1:19" s="210" customFormat="1" ht="77.25" hidden="1">
      <c r="A1061" s="264">
        <f t="shared" si="145"/>
        <v>1059</v>
      </c>
      <c r="B1061" s="225">
        <v>46081</v>
      </c>
      <c r="C1061" s="210" t="str">
        <f t="shared" si="144"/>
        <v>MP1059</v>
      </c>
      <c r="D1061" s="487" t="s">
        <v>2115</v>
      </c>
      <c r="E1061" s="482">
        <v>2500</v>
      </c>
      <c r="F1061" s="482" t="s">
        <v>2116</v>
      </c>
      <c r="G1061" s="483">
        <v>13.75</v>
      </c>
      <c r="H1061" s="228">
        <f t="shared" si="154"/>
        <v>34375</v>
      </c>
      <c r="I1061" s="482" t="s">
        <v>2117</v>
      </c>
      <c r="J1061" s="210" t="s">
        <v>930</v>
      </c>
      <c r="K1061" s="210" t="s">
        <v>20</v>
      </c>
      <c r="L1061" s="264"/>
      <c r="M1061" s="210" t="s">
        <v>1381</v>
      </c>
      <c r="N1061" s="209" t="s">
        <v>620</v>
      </c>
      <c r="O1061" s="210" t="s">
        <v>135</v>
      </c>
      <c r="P1061" s="320">
        <v>46118</v>
      </c>
    </row>
    <row r="1062" spans="1:19" s="210" customFormat="1" hidden="1">
      <c r="A1062" s="264">
        <f t="shared" si="145"/>
        <v>1060</v>
      </c>
      <c r="B1062" s="225">
        <v>46081</v>
      </c>
      <c r="C1062" s="210" t="str">
        <f t="shared" si="144"/>
        <v>MP1060</v>
      </c>
      <c r="D1062" s="482" t="s">
        <v>2118</v>
      </c>
      <c r="E1062" s="482">
        <v>500</v>
      </c>
      <c r="F1062" s="482" t="s">
        <v>1760</v>
      </c>
      <c r="G1062" s="483">
        <v>58</v>
      </c>
      <c r="H1062" s="228">
        <f t="shared" si="154"/>
        <v>29000</v>
      </c>
      <c r="I1062" s="482" t="s">
        <v>2119</v>
      </c>
      <c r="J1062" s="210" t="s">
        <v>1092</v>
      </c>
      <c r="K1062" s="210" t="s">
        <v>678</v>
      </c>
      <c r="L1062" s="264"/>
      <c r="M1062" s="210" t="s">
        <v>1381</v>
      </c>
      <c r="N1062" s="209" t="s">
        <v>620</v>
      </c>
      <c r="O1062" s="210" t="s">
        <v>135</v>
      </c>
      <c r="P1062" s="320">
        <v>46112</v>
      </c>
    </row>
    <row r="1063" spans="1:19" s="210" customFormat="1" hidden="1">
      <c r="A1063" s="264">
        <f t="shared" si="145"/>
        <v>1061</v>
      </c>
      <c r="B1063" s="225">
        <v>46081</v>
      </c>
      <c r="C1063" s="210" t="str">
        <f t="shared" si="144"/>
        <v>MP1061</v>
      </c>
      <c r="D1063" s="482" t="s">
        <v>2120</v>
      </c>
      <c r="E1063" s="482">
        <v>500</v>
      </c>
      <c r="F1063" s="482" t="s">
        <v>1728</v>
      </c>
      <c r="G1063" s="483">
        <v>102</v>
      </c>
      <c r="H1063" s="228">
        <f t="shared" si="154"/>
        <v>51000</v>
      </c>
      <c r="I1063" s="482" t="s">
        <v>2121</v>
      </c>
      <c r="J1063" s="210" t="s">
        <v>1662</v>
      </c>
      <c r="K1063" s="210" t="s">
        <v>4</v>
      </c>
      <c r="L1063" s="264"/>
      <c r="M1063" s="210" t="s">
        <v>1381</v>
      </c>
      <c r="N1063" s="209" t="s">
        <v>620</v>
      </c>
      <c r="O1063" s="210" t="s">
        <v>135</v>
      </c>
      <c r="P1063" s="320">
        <v>46114</v>
      </c>
    </row>
    <row r="1064" spans="1:19" s="210" customFormat="1" hidden="1">
      <c r="A1064" s="264">
        <f t="shared" si="145"/>
        <v>1062</v>
      </c>
      <c r="B1064" s="225">
        <v>46081</v>
      </c>
      <c r="C1064" s="210" t="str">
        <f t="shared" si="144"/>
        <v>MP1062</v>
      </c>
      <c r="D1064" s="482" t="s">
        <v>2122</v>
      </c>
      <c r="E1064" s="482">
        <v>500</v>
      </c>
      <c r="F1064" s="482" t="s">
        <v>1664</v>
      </c>
      <c r="G1064" s="483">
        <v>80</v>
      </c>
      <c r="H1064" s="228">
        <f t="shared" si="154"/>
        <v>40000</v>
      </c>
      <c r="I1064" s="482" t="s">
        <v>2123</v>
      </c>
      <c r="J1064" s="210" t="s">
        <v>1092</v>
      </c>
      <c r="K1064" s="210" t="s">
        <v>22</v>
      </c>
      <c r="L1064" s="264"/>
      <c r="M1064" s="210" t="s">
        <v>1381</v>
      </c>
      <c r="N1064" s="209" t="s">
        <v>620</v>
      </c>
      <c r="O1064" s="210" t="s">
        <v>135</v>
      </c>
      <c r="P1064" s="320">
        <v>46116</v>
      </c>
    </row>
    <row r="1065" spans="1:19" s="210" customFormat="1" ht="30.75" hidden="1">
      <c r="A1065" s="264">
        <f t="shared" si="145"/>
        <v>1063</v>
      </c>
      <c r="B1065" s="225">
        <v>46081</v>
      </c>
      <c r="C1065" s="210" t="str">
        <f t="shared" si="144"/>
        <v>MP1063</v>
      </c>
      <c r="D1065" s="481" t="s">
        <v>2124</v>
      </c>
      <c r="E1065" s="481">
        <v>300</v>
      </c>
      <c r="F1065" s="481" t="s">
        <v>1896</v>
      </c>
      <c r="G1065" s="483">
        <v>215</v>
      </c>
      <c r="H1065" s="228">
        <f t="shared" si="154"/>
        <v>64500</v>
      </c>
      <c r="I1065" s="484" t="s">
        <v>2125</v>
      </c>
      <c r="J1065" s="210" t="s">
        <v>1092</v>
      </c>
      <c r="K1065" s="210" t="s">
        <v>4</v>
      </c>
      <c r="L1065" s="264"/>
      <c r="M1065" s="210" t="s">
        <v>1381</v>
      </c>
      <c r="N1065" s="209" t="s">
        <v>620</v>
      </c>
      <c r="O1065" s="210" t="s">
        <v>135</v>
      </c>
      <c r="P1065" s="320">
        <v>46116</v>
      </c>
    </row>
    <row r="1066" spans="1:19" s="210" customFormat="1" ht="30" hidden="1">
      <c r="A1066" s="264">
        <f t="shared" si="145"/>
        <v>1064</v>
      </c>
      <c r="B1066" s="225">
        <v>46081</v>
      </c>
      <c r="C1066" s="210" t="str">
        <f t="shared" si="144"/>
        <v>MP1064</v>
      </c>
      <c r="D1066" s="482" t="s">
        <v>2126</v>
      </c>
      <c r="E1066" s="482">
        <v>300</v>
      </c>
      <c r="F1066" s="482" t="s">
        <v>2127</v>
      </c>
      <c r="G1066" s="483">
        <v>128</v>
      </c>
      <c r="H1066" s="228">
        <f t="shared" si="154"/>
        <v>38400</v>
      </c>
      <c r="I1066" s="484" t="s">
        <v>2128</v>
      </c>
      <c r="J1066" s="210" t="s">
        <v>1092</v>
      </c>
      <c r="K1066" s="210" t="s">
        <v>1442</v>
      </c>
      <c r="L1066" s="264"/>
      <c r="N1066" s="209" t="s">
        <v>620</v>
      </c>
      <c r="O1066" s="210" t="s">
        <v>135</v>
      </c>
      <c r="P1066" s="320">
        <v>46111</v>
      </c>
      <c r="S1066" s="209" t="s">
        <v>2129</v>
      </c>
    </row>
    <row r="1067" spans="1:19" ht="213" hidden="1">
      <c r="A1067" s="227">
        <f t="shared" si="145"/>
        <v>1065</v>
      </c>
      <c r="B1067" s="285">
        <v>46093</v>
      </c>
      <c r="C1067" s="181" t="str">
        <f t="shared" si="144"/>
        <v>MP1065</v>
      </c>
      <c r="D1067" s="480" t="s">
        <v>2130</v>
      </c>
      <c r="E1067" s="447">
        <v>300</v>
      </c>
      <c r="F1067" s="447" t="s">
        <v>1896</v>
      </c>
      <c r="G1067" s="11">
        <v>215</v>
      </c>
      <c r="H1067" s="275">
        <f t="shared" si="154"/>
        <v>64500</v>
      </c>
      <c r="I1067" s="26" t="s">
        <v>2131</v>
      </c>
      <c r="J1067" s="181" t="s">
        <v>1092</v>
      </c>
      <c r="K1067" s="181" t="s">
        <v>1525</v>
      </c>
      <c r="M1067" s="11" t="s">
        <v>2132</v>
      </c>
      <c r="N1067" s="178" t="s">
        <v>620</v>
      </c>
      <c r="O1067" s="181" t="s">
        <v>570</v>
      </c>
      <c r="P1067" s="218">
        <v>46085</v>
      </c>
    </row>
    <row r="1068" spans="1:19" s="210" customFormat="1" ht="30.75" hidden="1">
      <c r="A1068" s="264">
        <f t="shared" si="145"/>
        <v>1066</v>
      </c>
      <c r="B1068" s="225">
        <v>46081</v>
      </c>
      <c r="C1068" s="210" t="str">
        <f t="shared" ref="C1068:C1131" si="155">IF(B1068="","",_xlfn.CONCAT("MP",A1068))</f>
        <v>MP1066</v>
      </c>
      <c r="D1068" s="482" t="s">
        <v>2133</v>
      </c>
      <c r="E1068" s="482">
        <v>500</v>
      </c>
      <c r="F1068" s="482" t="s">
        <v>2134</v>
      </c>
      <c r="G1068" s="483">
        <v>84</v>
      </c>
      <c r="H1068" s="228">
        <f t="shared" si="154"/>
        <v>42000</v>
      </c>
      <c r="I1068" s="484" t="s">
        <v>2135</v>
      </c>
      <c r="J1068" s="210" t="s">
        <v>1092</v>
      </c>
      <c r="K1068" s="210" t="s">
        <v>22</v>
      </c>
      <c r="L1068" s="264"/>
      <c r="N1068" s="209" t="s">
        <v>620</v>
      </c>
      <c r="O1068" s="210" t="s">
        <v>135</v>
      </c>
      <c r="P1068" s="320">
        <v>46118</v>
      </c>
    </row>
    <row r="1069" spans="1:19" ht="30.75" hidden="1">
      <c r="A1069" s="227">
        <f t="shared" si="145"/>
        <v>1067</v>
      </c>
      <c r="B1069" s="285">
        <v>46081</v>
      </c>
      <c r="C1069" s="181" t="str">
        <f t="shared" si="155"/>
        <v>MP1067</v>
      </c>
      <c r="D1069" s="487" t="s">
        <v>2136</v>
      </c>
      <c r="E1069" s="447">
        <v>2500</v>
      </c>
      <c r="F1069" s="447" t="s">
        <v>2137</v>
      </c>
      <c r="G1069" s="11">
        <v>16.5</v>
      </c>
      <c r="H1069" s="275">
        <f t="shared" si="154"/>
        <v>41250</v>
      </c>
      <c r="I1069" s="26" t="s">
        <v>2138</v>
      </c>
      <c r="J1069" s="181" t="s">
        <v>930</v>
      </c>
      <c r="K1069" s="181" t="s">
        <v>22</v>
      </c>
      <c r="L1069" s="227">
        <f>_xlfn.SINGLE(16.5)</f>
        <v>16.5</v>
      </c>
      <c r="M1069" s="179" t="s">
        <v>2139</v>
      </c>
      <c r="N1069" s="178" t="s">
        <v>620</v>
      </c>
      <c r="O1069" s="181" t="s">
        <v>570</v>
      </c>
      <c r="P1069" s="218">
        <v>46084</v>
      </c>
    </row>
    <row r="1070" spans="1:19" s="210" customFormat="1" ht="106.5" hidden="1">
      <c r="A1070" s="264">
        <f t="shared" si="145"/>
        <v>1068</v>
      </c>
      <c r="B1070" s="225">
        <v>46081</v>
      </c>
      <c r="C1070" s="210" t="str">
        <f t="shared" si="155"/>
        <v>MP1068</v>
      </c>
      <c r="D1070" s="482" t="s">
        <v>2140</v>
      </c>
      <c r="E1070" s="482">
        <v>300</v>
      </c>
      <c r="F1070" s="482" t="s">
        <v>1728</v>
      </c>
      <c r="G1070" s="483">
        <v>82</v>
      </c>
      <c r="H1070" s="228">
        <f t="shared" si="154"/>
        <v>24600</v>
      </c>
      <c r="I1070" s="484" t="s">
        <v>2141</v>
      </c>
      <c r="J1070" s="210" t="s">
        <v>1092</v>
      </c>
      <c r="K1070" s="210" t="s">
        <v>22</v>
      </c>
      <c r="L1070" s="264" t="s">
        <v>2142</v>
      </c>
      <c r="M1070" s="210" t="s">
        <v>2143</v>
      </c>
      <c r="N1070" s="209" t="s">
        <v>620</v>
      </c>
      <c r="O1070" s="210" t="s">
        <v>135</v>
      </c>
      <c r="P1070" s="320">
        <v>46116</v>
      </c>
    </row>
    <row r="1071" spans="1:19" s="210" customFormat="1" hidden="1">
      <c r="A1071" s="264">
        <f t="shared" si="145"/>
        <v>1069</v>
      </c>
      <c r="B1071" s="225">
        <v>46081</v>
      </c>
      <c r="C1071" s="210" t="str">
        <f t="shared" si="155"/>
        <v>MP1069</v>
      </c>
      <c r="D1071" s="481" t="s">
        <v>2144</v>
      </c>
      <c r="E1071" s="481">
        <v>200</v>
      </c>
      <c r="F1071" s="482" t="s">
        <v>2145</v>
      </c>
      <c r="G1071" s="483">
        <v>515</v>
      </c>
      <c r="H1071" s="228">
        <f t="shared" si="154"/>
        <v>103000</v>
      </c>
      <c r="I1071" s="484" t="s">
        <v>2146</v>
      </c>
      <c r="J1071" s="210" t="s">
        <v>1092</v>
      </c>
      <c r="K1071" s="210" t="s">
        <v>4</v>
      </c>
      <c r="L1071" s="264"/>
      <c r="M1071" s="210" t="s">
        <v>1381</v>
      </c>
      <c r="N1071" s="209" t="s">
        <v>620</v>
      </c>
      <c r="O1071" s="210" t="s">
        <v>135</v>
      </c>
      <c r="P1071" s="320">
        <v>46112</v>
      </c>
    </row>
    <row r="1072" spans="1:19" s="210" customFormat="1" ht="30" hidden="1">
      <c r="A1072" s="264">
        <f t="shared" ref="A1072:A1135" si="156">IF(B1072="","",ROW()-2)</f>
        <v>1070</v>
      </c>
      <c r="B1072" s="225">
        <v>46081</v>
      </c>
      <c r="C1072" s="210" t="str">
        <f t="shared" si="155"/>
        <v>MP1070</v>
      </c>
      <c r="D1072" s="482" t="s">
        <v>2147</v>
      </c>
      <c r="E1072" s="482">
        <v>300</v>
      </c>
      <c r="F1072" s="482" t="s">
        <v>2106</v>
      </c>
      <c r="G1072" s="483">
        <v>187</v>
      </c>
      <c r="H1072" s="228">
        <f t="shared" si="154"/>
        <v>56100</v>
      </c>
      <c r="I1072" s="484" t="s">
        <v>2148</v>
      </c>
      <c r="J1072" s="210" t="s">
        <v>1092</v>
      </c>
      <c r="K1072" s="210" t="s">
        <v>1442</v>
      </c>
      <c r="L1072" s="264"/>
      <c r="M1072" s="210" t="s">
        <v>1381</v>
      </c>
      <c r="N1072" s="209" t="s">
        <v>620</v>
      </c>
      <c r="O1072" s="210" t="s">
        <v>135</v>
      </c>
      <c r="P1072" s="320">
        <v>46114</v>
      </c>
      <c r="R1072" s="483" t="s">
        <v>2149</v>
      </c>
    </row>
    <row r="1073" spans="1:18" s="210" customFormat="1" hidden="1">
      <c r="A1073" s="264">
        <f t="shared" si="156"/>
        <v>1071</v>
      </c>
      <c r="B1073" s="225">
        <v>46081</v>
      </c>
      <c r="C1073" s="210" t="str">
        <f t="shared" si="155"/>
        <v>MP1071</v>
      </c>
      <c r="D1073" s="482" t="s">
        <v>2150</v>
      </c>
      <c r="E1073" s="482">
        <v>300</v>
      </c>
      <c r="F1073" s="482" t="s">
        <v>1654</v>
      </c>
      <c r="G1073" s="483">
        <v>135</v>
      </c>
      <c r="H1073" s="228">
        <f t="shared" si="154"/>
        <v>40500</v>
      </c>
      <c r="I1073" s="484" t="s">
        <v>2151</v>
      </c>
      <c r="J1073" s="210" t="s">
        <v>2152</v>
      </c>
      <c r="K1073" s="210" t="s">
        <v>1289</v>
      </c>
      <c r="L1073" s="264"/>
      <c r="M1073" s="440" t="s">
        <v>2139</v>
      </c>
      <c r="N1073" s="209" t="s">
        <v>620</v>
      </c>
      <c r="O1073" s="210" t="s">
        <v>135</v>
      </c>
      <c r="P1073" s="320">
        <v>46112</v>
      </c>
      <c r="R1073" s="483" t="s">
        <v>2153</v>
      </c>
    </row>
    <row r="1074" spans="1:18" s="210" customFormat="1" ht="30.75" hidden="1">
      <c r="A1074" s="264">
        <f t="shared" si="156"/>
        <v>1072</v>
      </c>
      <c r="B1074" s="225">
        <v>46081</v>
      </c>
      <c r="C1074" s="210" t="str">
        <f t="shared" si="155"/>
        <v>MP1072</v>
      </c>
      <c r="D1074" s="482" t="s">
        <v>2154</v>
      </c>
      <c r="E1074" s="482">
        <v>5000</v>
      </c>
      <c r="F1074" s="482" t="s">
        <v>2155</v>
      </c>
      <c r="G1074" s="483">
        <v>7.5</v>
      </c>
      <c r="H1074" s="228">
        <f t="shared" si="154"/>
        <v>37500</v>
      </c>
      <c r="I1074" s="484" t="s">
        <v>2156</v>
      </c>
      <c r="J1074" s="210" t="s">
        <v>634</v>
      </c>
      <c r="K1074" s="210" t="s">
        <v>1459</v>
      </c>
      <c r="L1074" s="264"/>
      <c r="M1074" s="210" t="s">
        <v>1381</v>
      </c>
      <c r="N1074" s="209" t="s">
        <v>620</v>
      </c>
      <c r="O1074" s="210" t="s">
        <v>135</v>
      </c>
      <c r="P1074" s="320">
        <v>46115</v>
      </c>
      <c r="R1074" s="210" t="s">
        <v>2157</v>
      </c>
    </row>
    <row r="1075" spans="1:18" s="210" customFormat="1" ht="30.75" hidden="1">
      <c r="A1075" s="264">
        <f t="shared" si="156"/>
        <v>1073</v>
      </c>
      <c r="B1075" s="225">
        <v>46081</v>
      </c>
      <c r="C1075" s="210" t="str">
        <f t="shared" si="155"/>
        <v>MP1073</v>
      </c>
      <c r="D1075" s="482" t="s">
        <v>2158</v>
      </c>
      <c r="E1075" s="482">
        <v>500</v>
      </c>
      <c r="F1075" s="482" t="s">
        <v>2127</v>
      </c>
      <c r="G1075" s="483">
        <v>125</v>
      </c>
      <c r="H1075" s="228">
        <f t="shared" si="154"/>
        <v>62500</v>
      </c>
      <c r="I1075" s="484" t="s">
        <v>2159</v>
      </c>
      <c r="J1075" s="210" t="s">
        <v>937</v>
      </c>
      <c r="K1075" s="210" t="s">
        <v>4</v>
      </c>
      <c r="L1075" s="264"/>
      <c r="N1075" s="209" t="s">
        <v>620</v>
      </c>
      <c r="O1075" s="210" t="s">
        <v>135</v>
      </c>
      <c r="P1075" s="320">
        <v>46112</v>
      </c>
      <c r="R1075" s="483" t="s">
        <v>2160</v>
      </c>
    </row>
    <row r="1076" spans="1:18" s="214" customFormat="1" hidden="1">
      <c r="A1076" s="282">
        <f t="shared" si="156"/>
        <v>1074</v>
      </c>
      <c r="B1076" s="286">
        <v>46081</v>
      </c>
      <c r="C1076" s="214" t="str">
        <f t="shared" si="155"/>
        <v>MP1074</v>
      </c>
      <c r="D1076" s="214" t="s">
        <v>2161</v>
      </c>
      <c r="E1076" s="233">
        <v>3000</v>
      </c>
      <c r="F1076" s="233">
        <v>85</v>
      </c>
      <c r="G1076" s="269">
        <v>15.5</v>
      </c>
      <c r="H1076" s="215">
        <f t="shared" si="154"/>
        <v>46500</v>
      </c>
      <c r="I1076" s="313" t="s">
        <v>737</v>
      </c>
      <c r="J1076" s="215" t="s">
        <v>762</v>
      </c>
      <c r="K1076" s="215" t="s">
        <v>20</v>
      </c>
      <c r="L1076" s="282"/>
      <c r="O1076" s="214" t="s">
        <v>695</v>
      </c>
      <c r="P1076" s="307">
        <v>46083</v>
      </c>
    </row>
    <row r="1077" spans="1:18" s="214" customFormat="1" hidden="1">
      <c r="A1077" s="282">
        <f t="shared" si="156"/>
        <v>1075</v>
      </c>
      <c r="B1077" s="286">
        <v>46081</v>
      </c>
      <c r="C1077" s="214" t="str">
        <f t="shared" si="155"/>
        <v>MP1075</v>
      </c>
      <c r="D1077" s="214" t="s">
        <v>875</v>
      </c>
      <c r="E1077" s="282">
        <v>2400</v>
      </c>
      <c r="F1077" s="282">
        <v>175</v>
      </c>
      <c r="G1077" s="282">
        <v>29.5</v>
      </c>
      <c r="H1077" s="215">
        <f t="shared" ref="H1077" si="157">IF(G1077="","",E1077*G1077)</f>
        <v>70800</v>
      </c>
      <c r="I1077" s="215" t="s">
        <v>876</v>
      </c>
      <c r="J1077" s="215" t="s">
        <v>762</v>
      </c>
      <c r="K1077" s="215" t="s">
        <v>20</v>
      </c>
      <c r="L1077" s="282"/>
      <c r="O1077" s="214" t="s">
        <v>695</v>
      </c>
      <c r="P1077" s="307">
        <v>46083</v>
      </c>
    </row>
    <row r="1078" spans="1:18" s="250" customFormat="1" hidden="1">
      <c r="A1078" s="270">
        <f t="shared" si="156"/>
        <v>1076</v>
      </c>
      <c r="B1078" s="296">
        <v>46086</v>
      </c>
      <c r="C1078" s="250" t="str">
        <f t="shared" si="155"/>
        <v>MP1076</v>
      </c>
      <c r="D1078" s="250" t="s">
        <v>1815</v>
      </c>
      <c r="E1078" s="270">
        <v>5000</v>
      </c>
      <c r="F1078" s="270" t="s">
        <v>1816</v>
      </c>
      <c r="G1078" s="270">
        <v>38</v>
      </c>
      <c r="H1078" s="252">
        <f t="shared" ref="H1078:H1080" si="158">IF(G1078="","",E1078*G1078)</f>
        <v>190000</v>
      </c>
      <c r="I1078" s="250" t="s">
        <v>1817</v>
      </c>
      <c r="J1078" s="250" t="s">
        <v>930</v>
      </c>
      <c r="K1078" s="250" t="s">
        <v>678</v>
      </c>
      <c r="L1078" s="270"/>
      <c r="N1078" s="250" t="s">
        <v>620</v>
      </c>
      <c r="O1078" s="250" t="s">
        <v>370</v>
      </c>
      <c r="P1078" s="308">
        <v>46107</v>
      </c>
    </row>
    <row r="1079" spans="1:18" s="245" customFormat="1" hidden="1">
      <c r="A1079" s="289">
        <f t="shared" si="156"/>
        <v>1077</v>
      </c>
      <c r="B1079" s="284">
        <v>46086</v>
      </c>
      <c r="C1079" s="245" t="str">
        <f t="shared" si="155"/>
        <v>MP1077</v>
      </c>
      <c r="D1079" s="245" t="s">
        <v>1668</v>
      </c>
      <c r="E1079" s="289">
        <v>5000</v>
      </c>
      <c r="F1079" s="289" t="s">
        <v>231</v>
      </c>
      <c r="G1079" s="289">
        <v>18</v>
      </c>
      <c r="H1079" s="315">
        <f t="shared" si="158"/>
        <v>90000</v>
      </c>
      <c r="I1079" s="245" t="s">
        <v>1175</v>
      </c>
      <c r="J1079" s="245" t="s">
        <v>1170</v>
      </c>
      <c r="K1079" s="245" t="s">
        <v>16</v>
      </c>
      <c r="L1079" s="289"/>
      <c r="O1079" s="245" t="s">
        <v>55</v>
      </c>
      <c r="P1079" s="326">
        <v>46118</v>
      </c>
    </row>
    <row r="1080" spans="1:18" s="210" customFormat="1" hidden="1">
      <c r="A1080" s="264">
        <f t="shared" si="156"/>
        <v>1078</v>
      </c>
      <c r="B1080" s="225">
        <v>46086</v>
      </c>
      <c r="C1080" s="210" t="str">
        <f t="shared" si="155"/>
        <v>MP1078</v>
      </c>
      <c r="D1080" s="440" t="s">
        <v>997</v>
      </c>
      <c r="E1080" s="385">
        <v>3000</v>
      </c>
      <c r="F1080" s="385">
        <v>79</v>
      </c>
      <c r="G1080" s="414">
        <v>10</v>
      </c>
      <c r="H1080" s="209">
        <f t="shared" si="158"/>
        <v>30000</v>
      </c>
      <c r="I1080" s="479" t="s">
        <v>2162</v>
      </c>
      <c r="J1080" s="209" t="s">
        <v>930</v>
      </c>
      <c r="K1080" s="209" t="s">
        <v>22</v>
      </c>
      <c r="L1080" s="435"/>
      <c r="N1080" s="210" t="s">
        <v>620</v>
      </c>
      <c r="O1080" s="210" t="s">
        <v>135</v>
      </c>
      <c r="P1080" s="320">
        <v>46086</v>
      </c>
    </row>
    <row r="1081" spans="1:18" s="250" customFormat="1" ht="30" hidden="1">
      <c r="A1081" s="270">
        <f t="shared" si="156"/>
        <v>1079</v>
      </c>
      <c r="B1081" s="296">
        <v>46086</v>
      </c>
      <c r="C1081" s="250" t="str">
        <f t="shared" si="155"/>
        <v>MP1079</v>
      </c>
      <c r="D1081" s="250" t="s">
        <v>2163</v>
      </c>
      <c r="E1081" s="270"/>
      <c r="F1081" s="270"/>
      <c r="G1081" s="270"/>
      <c r="I1081" s="333" t="s">
        <v>2164</v>
      </c>
      <c r="L1081" s="270"/>
      <c r="N1081" s="250" t="s">
        <v>620</v>
      </c>
      <c r="O1081" s="250" t="s">
        <v>370</v>
      </c>
      <c r="P1081" s="308">
        <v>46101</v>
      </c>
    </row>
    <row r="1082" spans="1:18" s="210" customFormat="1" hidden="1">
      <c r="A1082" s="264">
        <f t="shared" si="156"/>
        <v>1080</v>
      </c>
      <c r="B1082" s="225">
        <v>46086</v>
      </c>
      <c r="C1082" s="210" t="str">
        <f t="shared" si="155"/>
        <v>MP1080</v>
      </c>
      <c r="D1082" s="210" t="s">
        <v>2165</v>
      </c>
      <c r="E1082" s="264">
        <v>2000</v>
      </c>
      <c r="F1082" s="264" t="s">
        <v>1297</v>
      </c>
      <c r="G1082" s="264">
        <v>50</v>
      </c>
      <c r="H1082" s="391">
        <f t="shared" ref="H1082:H1084" si="159">IF(G1082="","",E1082*G1082)</f>
        <v>100000</v>
      </c>
      <c r="I1082" s="210" t="s">
        <v>1109</v>
      </c>
      <c r="J1082" s="210" t="s">
        <v>1092</v>
      </c>
      <c r="K1082" s="210" t="s">
        <v>978</v>
      </c>
      <c r="L1082" s="264"/>
      <c r="M1082" s="210" t="s">
        <v>1381</v>
      </c>
      <c r="N1082" s="210" t="s">
        <v>620</v>
      </c>
      <c r="O1082" s="210" t="s">
        <v>135</v>
      </c>
      <c r="P1082" s="320">
        <v>46096</v>
      </c>
    </row>
    <row r="1083" spans="1:18" s="214" customFormat="1" hidden="1">
      <c r="A1083" s="282">
        <f t="shared" si="156"/>
        <v>1081</v>
      </c>
      <c r="B1083" s="286">
        <v>46086</v>
      </c>
      <c r="C1083" s="214" t="str">
        <f t="shared" si="155"/>
        <v>MP1081</v>
      </c>
      <c r="D1083" s="215" t="s">
        <v>2166</v>
      </c>
      <c r="E1083" s="233">
        <v>6000</v>
      </c>
      <c r="F1083" s="233">
        <v>75</v>
      </c>
      <c r="G1083" s="269">
        <v>11</v>
      </c>
      <c r="H1083" s="215">
        <f t="shared" si="159"/>
        <v>66000</v>
      </c>
      <c r="I1083" s="215" t="s">
        <v>99</v>
      </c>
      <c r="J1083" s="215" t="s">
        <v>100</v>
      </c>
      <c r="K1083" s="215" t="s">
        <v>5</v>
      </c>
      <c r="L1083" s="282"/>
      <c r="O1083" s="214" t="s">
        <v>695</v>
      </c>
      <c r="P1083" s="307">
        <v>46087</v>
      </c>
    </row>
    <row r="1084" spans="1:18" s="214" customFormat="1" hidden="1">
      <c r="A1084" s="282">
        <f t="shared" si="156"/>
        <v>1082</v>
      </c>
      <c r="B1084" s="286">
        <v>46086</v>
      </c>
      <c r="C1084" s="214" t="str">
        <f t="shared" si="155"/>
        <v>MP1082</v>
      </c>
      <c r="D1084" s="313" t="s">
        <v>752</v>
      </c>
      <c r="E1084" s="233">
        <v>250</v>
      </c>
      <c r="F1084" s="233" t="s">
        <v>1569</v>
      </c>
      <c r="G1084" s="269">
        <v>170</v>
      </c>
      <c r="H1084" s="215">
        <f t="shared" si="159"/>
        <v>42500</v>
      </c>
      <c r="I1084" s="215" t="s">
        <v>586</v>
      </c>
      <c r="J1084" s="215" t="s">
        <v>609</v>
      </c>
      <c r="K1084" s="215" t="s">
        <v>4</v>
      </c>
      <c r="L1084" s="282"/>
      <c r="O1084" s="214" t="s">
        <v>695</v>
      </c>
      <c r="P1084" s="307">
        <v>46091</v>
      </c>
    </row>
    <row r="1085" spans="1:18" s="310" customFormat="1" hidden="1">
      <c r="A1085" s="323">
        <f t="shared" si="156"/>
        <v>1083</v>
      </c>
      <c r="B1085" s="324">
        <v>46088</v>
      </c>
      <c r="C1085" s="310" t="str">
        <f t="shared" si="155"/>
        <v>MP1083</v>
      </c>
      <c r="D1085" s="310" t="s">
        <v>213</v>
      </c>
      <c r="E1085" s="323">
        <v>300</v>
      </c>
      <c r="F1085" s="323" t="s">
        <v>2167</v>
      </c>
      <c r="G1085" s="323"/>
      <c r="H1085" s="461" t="str">
        <f>IF(G1085="","",E1085*G1085)</f>
        <v/>
      </c>
      <c r="I1085" s="310" t="s">
        <v>2168</v>
      </c>
      <c r="J1085" s="310" t="s">
        <v>1092</v>
      </c>
      <c r="K1085" s="310" t="s">
        <v>1442</v>
      </c>
      <c r="L1085" s="323"/>
      <c r="O1085" s="310" t="s">
        <v>212</v>
      </c>
      <c r="P1085" s="325">
        <v>46093</v>
      </c>
    </row>
    <row r="1086" spans="1:18" s="214" customFormat="1" ht="30" hidden="1">
      <c r="A1086" s="282">
        <f t="shared" si="156"/>
        <v>1084</v>
      </c>
      <c r="B1086" s="286">
        <v>46091</v>
      </c>
      <c r="C1086" s="214" t="str">
        <f t="shared" si="155"/>
        <v>MP1084</v>
      </c>
      <c r="D1086" s="476" t="s">
        <v>2169</v>
      </c>
      <c r="E1086" s="282">
        <v>500</v>
      </c>
      <c r="F1086" s="282" t="s">
        <v>2170</v>
      </c>
      <c r="G1086" s="282">
        <v>70</v>
      </c>
      <c r="H1086" s="313">
        <f>IF(G1086="","",E1086*G1086)</f>
        <v>35000</v>
      </c>
      <c r="I1086" s="364" t="s">
        <v>2171</v>
      </c>
      <c r="J1086" s="214" t="s">
        <v>1092</v>
      </c>
      <c r="K1086" s="214" t="s">
        <v>2172</v>
      </c>
      <c r="L1086" s="282"/>
      <c r="O1086" s="214" t="s">
        <v>695</v>
      </c>
      <c r="P1086" s="307">
        <v>46091</v>
      </c>
    </row>
    <row r="1087" spans="1:18" s="214" customFormat="1" hidden="1">
      <c r="A1087" s="282">
        <f t="shared" si="156"/>
        <v>1085</v>
      </c>
      <c r="B1087" s="286">
        <v>46091</v>
      </c>
      <c r="C1087" s="214" t="str">
        <f t="shared" si="155"/>
        <v>MP1085</v>
      </c>
      <c r="D1087" s="214" t="s">
        <v>2173</v>
      </c>
      <c r="E1087" s="233">
        <v>300</v>
      </c>
      <c r="F1087" s="233">
        <v>3900</v>
      </c>
      <c r="G1087" s="233">
        <v>525</v>
      </c>
      <c r="H1087" s="215">
        <f t="shared" ref="H1087:H1111" si="160">IF(G1087="","",E1087*G1087)</f>
        <v>157500</v>
      </c>
      <c r="I1087" s="215" t="s">
        <v>66</v>
      </c>
      <c r="J1087" s="215" t="s">
        <v>60</v>
      </c>
      <c r="K1087" s="215" t="s">
        <v>4</v>
      </c>
      <c r="L1087" s="282"/>
      <c r="O1087" s="214" t="s">
        <v>695</v>
      </c>
      <c r="P1087" s="307">
        <v>46091</v>
      </c>
    </row>
    <row r="1088" spans="1:18" s="214" customFormat="1" hidden="1">
      <c r="A1088" s="282">
        <f t="shared" si="156"/>
        <v>1086</v>
      </c>
      <c r="B1088" s="286">
        <v>46091</v>
      </c>
      <c r="C1088" s="214" t="str">
        <f t="shared" si="155"/>
        <v>MP1086</v>
      </c>
      <c r="D1088" s="214" t="s">
        <v>372</v>
      </c>
      <c r="E1088" s="282">
        <v>500</v>
      </c>
      <c r="F1088" s="282" t="s">
        <v>2174</v>
      </c>
      <c r="G1088" s="282">
        <v>90</v>
      </c>
      <c r="H1088" s="215">
        <f t="shared" si="160"/>
        <v>45000</v>
      </c>
      <c r="I1088" s="214" t="s">
        <v>2175</v>
      </c>
      <c r="J1088" s="215" t="s">
        <v>60</v>
      </c>
      <c r="K1088" s="214" t="s">
        <v>2</v>
      </c>
      <c r="L1088" s="282"/>
      <c r="O1088" s="214" t="s">
        <v>566</v>
      </c>
      <c r="P1088" s="307">
        <v>46091</v>
      </c>
    </row>
    <row r="1089" spans="1:16" s="210" customFormat="1" ht="30" hidden="1">
      <c r="A1089" s="264">
        <f t="shared" si="156"/>
        <v>1087</v>
      </c>
      <c r="B1089" s="225">
        <v>46091</v>
      </c>
      <c r="C1089" s="210" t="str">
        <f t="shared" si="155"/>
        <v>MP1087</v>
      </c>
      <c r="D1089" s="210" t="s">
        <v>2176</v>
      </c>
      <c r="E1089" s="264">
        <v>5000</v>
      </c>
      <c r="F1089" s="264" t="s">
        <v>2177</v>
      </c>
      <c r="G1089" s="264">
        <v>9</v>
      </c>
      <c r="H1089" s="209">
        <f t="shared" si="160"/>
        <v>45000</v>
      </c>
      <c r="I1089" s="336" t="s">
        <v>2178</v>
      </c>
      <c r="J1089" s="209" t="s">
        <v>930</v>
      </c>
      <c r="K1089" s="210" t="s">
        <v>22</v>
      </c>
      <c r="L1089" s="264"/>
      <c r="M1089" s="210" t="s">
        <v>2179</v>
      </c>
      <c r="O1089" s="210" t="s">
        <v>135</v>
      </c>
      <c r="P1089" s="320">
        <v>46097</v>
      </c>
    </row>
    <row r="1090" spans="1:16" s="214" customFormat="1" hidden="1">
      <c r="A1090" s="282">
        <f t="shared" si="156"/>
        <v>1088</v>
      </c>
      <c r="B1090" s="286">
        <v>46091</v>
      </c>
      <c r="C1090" s="214" t="str">
        <f t="shared" si="155"/>
        <v>MP1088</v>
      </c>
      <c r="D1090" s="463" t="s">
        <v>1286</v>
      </c>
      <c r="E1090" s="282">
        <v>10000</v>
      </c>
      <c r="F1090" s="282">
        <v>16.8</v>
      </c>
      <c r="G1090" s="282">
        <v>1.7</v>
      </c>
      <c r="H1090" s="215">
        <f t="shared" si="160"/>
        <v>17000</v>
      </c>
      <c r="I1090" s="214" t="s">
        <v>1287</v>
      </c>
      <c r="J1090" s="214" t="s">
        <v>634</v>
      </c>
      <c r="K1090" s="214" t="s">
        <v>635</v>
      </c>
      <c r="L1090" s="282"/>
      <c r="O1090" s="214" t="s">
        <v>695</v>
      </c>
      <c r="P1090" s="307">
        <v>46092</v>
      </c>
    </row>
    <row r="1091" spans="1:16" s="210" customFormat="1" hidden="1">
      <c r="A1091" s="264">
        <f t="shared" si="156"/>
        <v>1089</v>
      </c>
      <c r="B1091" s="225">
        <v>46093</v>
      </c>
      <c r="C1091" s="210" t="str">
        <f t="shared" si="155"/>
        <v>MP1089</v>
      </c>
      <c r="D1091" s="210" t="s">
        <v>2180</v>
      </c>
      <c r="E1091" s="385">
        <v>2000</v>
      </c>
      <c r="F1091" s="385">
        <v>75</v>
      </c>
      <c r="G1091" s="414">
        <v>10</v>
      </c>
      <c r="H1091" s="209">
        <f t="shared" si="160"/>
        <v>20000</v>
      </c>
      <c r="I1091" s="209" t="s">
        <v>99</v>
      </c>
      <c r="J1091" s="209" t="s">
        <v>100</v>
      </c>
      <c r="K1091" s="209" t="s">
        <v>5</v>
      </c>
      <c r="L1091" s="264"/>
      <c r="O1091" s="210" t="s">
        <v>135</v>
      </c>
      <c r="P1091" s="320">
        <v>46101</v>
      </c>
    </row>
    <row r="1092" spans="1:16" s="210" customFormat="1" hidden="1">
      <c r="A1092" s="264">
        <f t="shared" si="156"/>
        <v>1090</v>
      </c>
      <c r="B1092" s="225">
        <v>46093</v>
      </c>
      <c r="C1092" s="210" t="str">
        <f t="shared" si="155"/>
        <v>MP1090</v>
      </c>
      <c r="D1092" s="210" t="s">
        <v>2181</v>
      </c>
      <c r="E1092" s="385">
        <v>2000</v>
      </c>
      <c r="F1092" s="385">
        <v>75</v>
      </c>
      <c r="G1092" s="414">
        <v>10</v>
      </c>
      <c r="H1092" s="209">
        <f t="shared" si="160"/>
        <v>20000</v>
      </c>
      <c r="I1092" s="209" t="s">
        <v>99</v>
      </c>
      <c r="J1092" s="209" t="s">
        <v>100</v>
      </c>
      <c r="K1092" s="209" t="s">
        <v>5</v>
      </c>
      <c r="L1092" s="264"/>
      <c r="O1092" s="210" t="s">
        <v>135</v>
      </c>
      <c r="P1092" s="320">
        <v>46108</v>
      </c>
    </row>
    <row r="1093" spans="1:16" s="214" customFormat="1" hidden="1">
      <c r="A1093" s="282">
        <f t="shared" si="156"/>
        <v>1091</v>
      </c>
      <c r="B1093" s="286">
        <v>46094</v>
      </c>
      <c r="C1093" s="214" t="str">
        <f t="shared" si="155"/>
        <v>MP1091</v>
      </c>
      <c r="D1093" s="214" t="s">
        <v>815</v>
      </c>
      <c r="E1093" s="282">
        <v>1500</v>
      </c>
      <c r="F1093" s="282">
        <v>123</v>
      </c>
      <c r="G1093" s="282">
        <v>17.5</v>
      </c>
      <c r="H1093" s="335">
        <f t="shared" si="160"/>
        <v>26250</v>
      </c>
      <c r="I1093" s="214" t="s">
        <v>1454</v>
      </c>
      <c r="J1093" s="214" t="s">
        <v>265</v>
      </c>
      <c r="K1093" s="214" t="s">
        <v>20</v>
      </c>
      <c r="L1093" s="282"/>
      <c r="O1093" s="214" t="s">
        <v>695</v>
      </c>
      <c r="P1093" s="307">
        <v>46109</v>
      </c>
    </row>
    <row r="1094" spans="1:16" s="214" customFormat="1" hidden="1">
      <c r="A1094" s="282">
        <f t="shared" si="156"/>
        <v>1092</v>
      </c>
      <c r="B1094" s="286">
        <v>46094</v>
      </c>
      <c r="C1094" s="214" t="str">
        <f t="shared" si="155"/>
        <v>MP1092</v>
      </c>
      <c r="D1094" s="214" t="s">
        <v>1685</v>
      </c>
      <c r="E1094" s="282">
        <v>300</v>
      </c>
      <c r="F1094" s="282" t="s">
        <v>231</v>
      </c>
      <c r="G1094" s="282">
        <v>245</v>
      </c>
      <c r="H1094" s="335">
        <f t="shared" si="160"/>
        <v>73500</v>
      </c>
      <c r="I1094" s="214" t="s">
        <v>539</v>
      </c>
      <c r="J1094" s="214" t="s">
        <v>609</v>
      </c>
      <c r="K1094" s="214" t="s">
        <v>4</v>
      </c>
      <c r="L1094" s="282"/>
      <c r="M1094" s="214" t="s">
        <v>2182</v>
      </c>
      <c r="O1094" s="214" t="s">
        <v>695</v>
      </c>
      <c r="P1094" s="307">
        <v>46115</v>
      </c>
    </row>
    <row r="1095" spans="1:16" s="214" customFormat="1" hidden="1">
      <c r="A1095" s="282">
        <f t="shared" si="156"/>
        <v>1093</v>
      </c>
      <c r="B1095" s="286">
        <v>46094</v>
      </c>
      <c r="C1095" s="214" t="str">
        <f t="shared" si="155"/>
        <v>MP1093</v>
      </c>
      <c r="D1095" s="214" t="s">
        <v>384</v>
      </c>
      <c r="E1095" s="233">
        <v>2000</v>
      </c>
      <c r="F1095" s="233" t="s">
        <v>2183</v>
      </c>
      <c r="G1095" s="269">
        <v>27.5</v>
      </c>
      <c r="H1095" s="215">
        <f t="shared" si="160"/>
        <v>55000</v>
      </c>
      <c r="I1095" s="215" t="s">
        <v>227</v>
      </c>
      <c r="J1095" s="215" t="s">
        <v>385</v>
      </c>
      <c r="K1095" s="215" t="s">
        <v>20</v>
      </c>
      <c r="L1095" s="282"/>
      <c r="M1095" s="310" t="s">
        <v>2184</v>
      </c>
      <c r="O1095" s="214" t="s">
        <v>566</v>
      </c>
      <c r="P1095" s="307">
        <v>46115</v>
      </c>
    </row>
    <row r="1096" spans="1:16" s="214" customFormat="1" hidden="1">
      <c r="A1096" s="282">
        <f t="shared" si="156"/>
        <v>1094</v>
      </c>
      <c r="B1096" s="286">
        <v>46094</v>
      </c>
      <c r="C1096" s="214" t="str">
        <f t="shared" si="155"/>
        <v>MP1094</v>
      </c>
      <c r="D1096" s="214" t="s">
        <v>1523</v>
      </c>
      <c r="E1096" s="282">
        <v>300</v>
      </c>
      <c r="F1096" s="282">
        <v>425</v>
      </c>
      <c r="G1096" s="282">
        <v>148</v>
      </c>
      <c r="H1096" s="335">
        <f t="shared" si="160"/>
        <v>44400</v>
      </c>
      <c r="I1096" s="214" t="s">
        <v>1524</v>
      </c>
      <c r="J1096" s="214" t="s">
        <v>609</v>
      </c>
      <c r="K1096" s="214" t="s">
        <v>1525</v>
      </c>
      <c r="L1096" s="282"/>
      <c r="O1096" s="214" t="s">
        <v>695</v>
      </c>
      <c r="P1096" s="307">
        <v>46097</v>
      </c>
    </row>
    <row r="1097" spans="1:16" s="214" customFormat="1" hidden="1">
      <c r="A1097" s="282">
        <f t="shared" si="156"/>
        <v>1095</v>
      </c>
      <c r="B1097" s="286">
        <v>46094</v>
      </c>
      <c r="C1097" s="214" t="str">
        <f t="shared" si="155"/>
        <v>MP1095</v>
      </c>
      <c r="D1097" s="313" t="s">
        <v>862</v>
      </c>
      <c r="E1097" s="233">
        <v>3000</v>
      </c>
      <c r="F1097" s="233" t="s">
        <v>735</v>
      </c>
      <c r="G1097" s="269">
        <v>8.5</v>
      </c>
      <c r="H1097" s="215">
        <f t="shared" si="160"/>
        <v>25500</v>
      </c>
      <c r="I1097" s="215" t="s">
        <v>726</v>
      </c>
      <c r="J1097" s="215" t="s">
        <v>634</v>
      </c>
      <c r="K1097" s="313" t="s">
        <v>7</v>
      </c>
      <c r="L1097" s="243">
        <v>3025</v>
      </c>
      <c r="M1097" s="216" t="s">
        <v>860</v>
      </c>
      <c r="O1097" s="214" t="s">
        <v>566</v>
      </c>
      <c r="P1097" s="307">
        <v>46097</v>
      </c>
    </row>
    <row r="1098" spans="1:16" s="214" customFormat="1" hidden="1">
      <c r="A1098" s="282">
        <f t="shared" si="156"/>
        <v>1096</v>
      </c>
      <c r="B1098" s="286">
        <v>46094</v>
      </c>
      <c r="C1098" s="214" t="str">
        <f t="shared" si="155"/>
        <v>MP1096</v>
      </c>
      <c r="D1098" s="364" t="s">
        <v>388</v>
      </c>
      <c r="E1098" s="233">
        <v>500</v>
      </c>
      <c r="F1098" s="233" t="s">
        <v>2185</v>
      </c>
      <c r="G1098" s="233">
        <v>105</v>
      </c>
      <c r="H1098" s="215">
        <f t="shared" si="160"/>
        <v>52500</v>
      </c>
      <c r="I1098" s="215" t="s">
        <v>59</v>
      </c>
      <c r="J1098" s="215" t="s">
        <v>87</v>
      </c>
      <c r="K1098" s="215" t="s">
        <v>21</v>
      </c>
      <c r="L1098" s="282"/>
      <c r="M1098" s="310" t="s">
        <v>2186</v>
      </c>
      <c r="O1098" s="214" t="s">
        <v>695</v>
      </c>
      <c r="P1098" s="307">
        <v>46115</v>
      </c>
    </row>
    <row r="1099" spans="1:16" s="214" customFormat="1" hidden="1">
      <c r="A1099" s="282">
        <f t="shared" si="156"/>
        <v>1097</v>
      </c>
      <c r="B1099" s="286">
        <v>46094</v>
      </c>
      <c r="C1099" s="214" t="str">
        <f t="shared" si="155"/>
        <v>MP1097</v>
      </c>
      <c r="D1099" s="215" t="s">
        <v>866</v>
      </c>
      <c r="E1099" s="233">
        <v>1200</v>
      </c>
      <c r="F1099" s="233">
        <v>125</v>
      </c>
      <c r="G1099" s="269">
        <v>19.5</v>
      </c>
      <c r="H1099" s="215">
        <f t="shared" si="160"/>
        <v>23400</v>
      </c>
      <c r="I1099" s="215" t="s">
        <v>737</v>
      </c>
      <c r="J1099" s="215" t="s">
        <v>738</v>
      </c>
      <c r="K1099" s="215" t="s">
        <v>20</v>
      </c>
      <c r="L1099" s="243">
        <v>1235</v>
      </c>
      <c r="O1099" s="214" t="s">
        <v>695</v>
      </c>
      <c r="P1099" s="307">
        <v>46097</v>
      </c>
    </row>
    <row r="1100" spans="1:16" s="214" customFormat="1" hidden="1">
      <c r="A1100" s="282">
        <f t="shared" si="156"/>
        <v>1098</v>
      </c>
      <c r="B1100" s="286">
        <v>46094</v>
      </c>
      <c r="C1100" s="214" t="str">
        <f t="shared" si="155"/>
        <v>MP1098</v>
      </c>
      <c r="D1100" s="214" t="s">
        <v>1030</v>
      </c>
      <c r="E1100" s="282">
        <v>300</v>
      </c>
      <c r="F1100" s="282">
        <v>234</v>
      </c>
      <c r="G1100" s="282">
        <v>230</v>
      </c>
      <c r="H1100" s="335">
        <f t="shared" si="160"/>
        <v>69000</v>
      </c>
      <c r="I1100" s="214" t="s">
        <v>125</v>
      </c>
      <c r="J1100" s="214" t="s">
        <v>113</v>
      </c>
      <c r="K1100" s="214" t="s">
        <v>1031</v>
      </c>
      <c r="L1100" s="282"/>
      <c r="M1100" s="214" t="s">
        <v>2187</v>
      </c>
      <c r="O1100" s="214" t="s">
        <v>695</v>
      </c>
      <c r="P1100" s="307">
        <v>46119</v>
      </c>
    </row>
    <row r="1101" spans="1:16" s="214" customFormat="1" hidden="1">
      <c r="A1101" s="282">
        <f t="shared" si="156"/>
        <v>1099</v>
      </c>
      <c r="B1101" s="286">
        <v>46094</v>
      </c>
      <c r="C1101" s="214" t="str">
        <f t="shared" si="155"/>
        <v>MP1099</v>
      </c>
      <c r="D1101" s="214" t="s">
        <v>780</v>
      </c>
      <c r="E1101" s="282">
        <v>1500</v>
      </c>
      <c r="F1101" s="282">
        <v>131</v>
      </c>
      <c r="G1101" s="282">
        <v>14.5</v>
      </c>
      <c r="H1101" s="335">
        <f t="shared" si="160"/>
        <v>21750</v>
      </c>
      <c r="I1101" s="214" t="s">
        <v>264</v>
      </c>
      <c r="J1101" s="214" t="s">
        <v>930</v>
      </c>
      <c r="K1101" s="214" t="s">
        <v>20</v>
      </c>
      <c r="L1101" s="282"/>
      <c r="M1101" s="310" t="s">
        <v>2188</v>
      </c>
      <c r="O1101" s="214" t="s">
        <v>566</v>
      </c>
      <c r="P1101" s="307">
        <v>46116</v>
      </c>
    </row>
    <row r="1102" spans="1:16" s="310" customFormat="1" hidden="1">
      <c r="A1102" s="323">
        <f t="shared" si="156"/>
        <v>1100</v>
      </c>
      <c r="B1102" s="324">
        <v>46094</v>
      </c>
      <c r="C1102" s="310" t="str">
        <f t="shared" si="155"/>
        <v>MP1100</v>
      </c>
      <c r="D1102" s="310" t="s">
        <v>137</v>
      </c>
      <c r="E1102" s="323">
        <v>300</v>
      </c>
      <c r="F1102" s="323" t="s">
        <v>1461</v>
      </c>
      <c r="G1102" s="323">
        <v>68</v>
      </c>
      <c r="H1102" s="412">
        <f t="shared" si="160"/>
        <v>20400</v>
      </c>
      <c r="I1102" s="310" t="s">
        <v>66</v>
      </c>
      <c r="J1102" s="310" t="s">
        <v>60</v>
      </c>
      <c r="K1102" s="310" t="s">
        <v>22</v>
      </c>
      <c r="L1102" s="323"/>
      <c r="M1102" s="310" t="s">
        <v>2189</v>
      </c>
      <c r="O1102" s="310" t="s">
        <v>566</v>
      </c>
      <c r="P1102" s="325">
        <v>46097</v>
      </c>
    </row>
    <row r="1103" spans="1:16" s="214" customFormat="1" hidden="1">
      <c r="A1103" s="282">
        <f t="shared" si="156"/>
        <v>1101</v>
      </c>
      <c r="B1103" s="286">
        <v>46094</v>
      </c>
      <c r="C1103" s="214" t="str">
        <f t="shared" si="155"/>
        <v>MP1101</v>
      </c>
      <c r="D1103" s="214" t="s">
        <v>1342</v>
      </c>
      <c r="E1103" s="282">
        <v>150</v>
      </c>
      <c r="F1103" s="282" t="s">
        <v>2190</v>
      </c>
      <c r="G1103" s="282">
        <v>810</v>
      </c>
      <c r="H1103" s="335">
        <f t="shared" si="160"/>
        <v>121500</v>
      </c>
      <c r="I1103" s="214" t="s">
        <v>1265</v>
      </c>
      <c r="J1103" s="214" t="s">
        <v>609</v>
      </c>
      <c r="K1103" s="214" t="s">
        <v>16</v>
      </c>
      <c r="L1103" s="282"/>
      <c r="O1103" s="214" t="s">
        <v>695</v>
      </c>
      <c r="P1103" s="307">
        <v>46120</v>
      </c>
    </row>
    <row r="1104" spans="1:16" s="214" customFormat="1" hidden="1">
      <c r="A1104" s="282">
        <f t="shared" si="156"/>
        <v>1102</v>
      </c>
      <c r="B1104" s="286">
        <v>46094</v>
      </c>
      <c r="C1104" s="214" t="str">
        <f t="shared" si="155"/>
        <v>MP1102</v>
      </c>
      <c r="D1104" s="215" t="s">
        <v>998</v>
      </c>
      <c r="E1104" s="233">
        <v>500</v>
      </c>
      <c r="F1104" s="233" t="s">
        <v>2191</v>
      </c>
      <c r="G1104" s="269">
        <v>77</v>
      </c>
      <c r="H1104" s="215">
        <f t="shared" si="160"/>
        <v>38500</v>
      </c>
      <c r="I1104" s="215" t="s">
        <v>66</v>
      </c>
      <c r="J1104" s="215" t="s">
        <v>609</v>
      </c>
      <c r="K1104" s="215" t="s">
        <v>4</v>
      </c>
      <c r="L1104" s="243">
        <v>331</v>
      </c>
      <c r="M1104" s="216"/>
      <c r="O1104" s="214" t="s">
        <v>695</v>
      </c>
      <c r="P1104" s="307">
        <v>46116</v>
      </c>
    </row>
    <row r="1105" spans="1:17" s="214" customFormat="1" hidden="1">
      <c r="A1105" s="282">
        <f t="shared" si="156"/>
        <v>1103</v>
      </c>
      <c r="B1105" s="286">
        <v>46094</v>
      </c>
      <c r="C1105" s="214" t="str">
        <f t="shared" si="155"/>
        <v>MP1103</v>
      </c>
      <c r="D1105" s="215" t="s">
        <v>167</v>
      </c>
      <c r="E1105" s="233">
        <v>300</v>
      </c>
      <c r="F1105" s="233" t="s">
        <v>2078</v>
      </c>
      <c r="G1105" s="233">
        <v>210</v>
      </c>
      <c r="H1105" s="215">
        <f t="shared" si="160"/>
        <v>63000</v>
      </c>
      <c r="I1105" s="215" t="s">
        <v>66</v>
      </c>
      <c r="J1105" s="215" t="s">
        <v>60</v>
      </c>
      <c r="K1105" s="215" t="s">
        <v>26</v>
      </c>
      <c r="L1105" s="243">
        <v>298</v>
      </c>
      <c r="M1105" s="216"/>
      <c r="O1105" s="214" t="s">
        <v>695</v>
      </c>
      <c r="P1105" s="307">
        <v>46121</v>
      </c>
    </row>
    <row r="1106" spans="1:17" s="214" customFormat="1" hidden="1">
      <c r="A1106" s="282">
        <f t="shared" si="156"/>
        <v>1104</v>
      </c>
      <c r="B1106" s="286">
        <v>46094</v>
      </c>
      <c r="C1106" s="214" t="str">
        <f t="shared" si="155"/>
        <v>MP1104</v>
      </c>
      <c r="D1106" s="214" t="s">
        <v>346</v>
      </c>
      <c r="E1106" s="282">
        <v>300</v>
      </c>
      <c r="F1106" s="282" t="s">
        <v>1505</v>
      </c>
      <c r="G1106" s="282">
        <v>180</v>
      </c>
      <c r="H1106" s="215">
        <f t="shared" si="160"/>
        <v>54000</v>
      </c>
      <c r="I1106" s="214" t="s">
        <v>347</v>
      </c>
      <c r="J1106" s="214" t="s">
        <v>937</v>
      </c>
      <c r="K1106" s="214" t="s">
        <v>9</v>
      </c>
      <c r="L1106" s="282"/>
      <c r="O1106" s="214" t="s">
        <v>566</v>
      </c>
      <c r="P1106" s="307">
        <v>46116</v>
      </c>
    </row>
    <row r="1107" spans="1:17" s="214" customFormat="1" ht="15.75" hidden="1">
      <c r="A1107" s="282">
        <f t="shared" si="156"/>
        <v>1105</v>
      </c>
      <c r="B1107" s="286">
        <v>46094</v>
      </c>
      <c r="C1107" s="214" t="str">
        <f t="shared" si="155"/>
        <v>MP1105</v>
      </c>
      <c r="D1107" s="214" t="s">
        <v>1174</v>
      </c>
      <c r="E1107" s="282">
        <v>1000</v>
      </c>
      <c r="F1107" s="282" t="s">
        <v>2192</v>
      </c>
      <c r="G1107" s="282">
        <v>43</v>
      </c>
      <c r="H1107" s="215">
        <f t="shared" si="160"/>
        <v>43000</v>
      </c>
      <c r="I1107" s="492" t="s">
        <v>1175</v>
      </c>
      <c r="J1107" s="214" t="s">
        <v>1170</v>
      </c>
      <c r="K1107" s="214" t="s">
        <v>1171</v>
      </c>
      <c r="L1107" s="282"/>
      <c r="O1107" s="214" t="s">
        <v>695</v>
      </c>
      <c r="P1107" s="307">
        <v>46115</v>
      </c>
    </row>
    <row r="1108" spans="1:17" s="214" customFormat="1" ht="30" hidden="1">
      <c r="A1108" s="282">
        <f t="shared" si="156"/>
        <v>1106</v>
      </c>
      <c r="B1108" s="286">
        <v>46094</v>
      </c>
      <c r="C1108" s="214" t="str">
        <f t="shared" si="155"/>
        <v>MP1106</v>
      </c>
      <c r="D1108" s="451" t="s">
        <v>219</v>
      </c>
      <c r="E1108" s="233">
        <v>500</v>
      </c>
      <c r="F1108" s="233" t="s">
        <v>2193</v>
      </c>
      <c r="G1108" s="233">
        <v>118</v>
      </c>
      <c r="H1108" s="451">
        <f t="shared" si="160"/>
        <v>59000</v>
      </c>
      <c r="I1108" s="451" t="s">
        <v>66</v>
      </c>
      <c r="J1108" s="451" t="s">
        <v>60</v>
      </c>
      <c r="K1108" s="451" t="s">
        <v>4</v>
      </c>
      <c r="L1108" s="243" t="s">
        <v>220</v>
      </c>
      <c r="M1108" s="493" t="s">
        <v>2194</v>
      </c>
      <c r="N1108" s="451" t="s">
        <v>54</v>
      </c>
      <c r="O1108" s="451" t="s">
        <v>695</v>
      </c>
      <c r="P1108" s="312">
        <v>46116</v>
      </c>
      <c r="Q1108" s="443"/>
    </row>
    <row r="1109" spans="1:17" s="210" customFormat="1" ht="30" hidden="1">
      <c r="A1109" s="264">
        <f t="shared" si="156"/>
        <v>1107</v>
      </c>
      <c r="B1109" s="225">
        <v>46094</v>
      </c>
      <c r="C1109" s="210" t="str">
        <f t="shared" si="155"/>
        <v>MP1107</v>
      </c>
      <c r="D1109" s="440" t="s">
        <v>820</v>
      </c>
      <c r="E1109" s="385">
        <v>3000</v>
      </c>
      <c r="F1109" s="385">
        <v>79</v>
      </c>
      <c r="G1109" s="414">
        <v>14</v>
      </c>
      <c r="H1109" s="209">
        <f t="shared" si="160"/>
        <v>42000</v>
      </c>
      <c r="I1109" s="209" t="s">
        <v>51</v>
      </c>
      <c r="J1109" s="209" t="s">
        <v>385</v>
      </c>
      <c r="K1109" s="209" t="s">
        <v>22</v>
      </c>
      <c r="L1109" s="435"/>
      <c r="M1109" s="440" t="s">
        <v>2195</v>
      </c>
      <c r="O1109" s="210" t="s">
        <v>135</v>
      </c>
      <c r="P1109" s="320">
        <v>46115</v>
      </c>
    </row>
    <row r="1110" spans="1:17" s="214" customFormat="1">
      <c r="A1110" s="282">
        <f t="shared" si="156"/>
        <v>1108</v>
      </c>
      <c r="B1110" s="286">
        <v>46094</v>
      </c>
      <c r="C1110" s="214" t="str">
        <f t="shared" si="155"/>
        <v>MP1108</v>
      </c>
      <c r="D1110" s="214" t="s">
        <v>1937</v>
      </c>
      <c r="E1110" s="282">
        <v>1500</v>
      </c>
      <c r="F1110" s="282">
        <v>472</v>
      </c>
      <c r="G1110" s="282">
        <v>88</v>
      </c>
      <c r="H1110" s="215">
        <f t="shared" si="160"/>
        <v>132000</v>
      </c>
      <c r="I1110" s="214" t="s">
        <v>1938</v>
      </c>
      <c r="J1110" s="214" t="s">
        <v>967</v>
      </c>
      <c r="K1110" s="214" t="s">
        <v>10</v>
      </c>
      <c r="L1110" s="282"/>
      <c r="O1110" s="214" t="s">
        <v>695</v>
      </c>
      <c r="P1110" s="307">
        <v>46097</v>
      </c>
    </row>
    <row r="1111" spans="1:17" s="214" customFormat="1" hidden="1">
      <c r="A1111" s="282">
        <f t="shared" si="156"/>
        <v>1109</v>
      </c>
      <c r="B1111" s="286">
        <v>46094</v>
      </c>
      <c r="C1111" s="214" t="str">
        <f t="shared" si="155"/>
        <v>MP1109</v>
      </c>
      <c r="D1111" s="215" t="s">
        <v>378</v>
      </c>
      <c r="E1111" s="233">
        <v>500</v>
      </c>
      <c r="F1111" s="233" t="s">
        <v>2196</v>
      </c>
      <c r="G1111" s="233">
        <v>78</v>
      </c>
      <c r="H1111" s="215">
        <f t="shared" si="160"/>
        <v>39000</v>
      </c>
      <c r="I1111" s="215" t="s">
        <v>66</v>
      </c>
      <c r="J1111" s="215" t="s">
        <v>60</v>
      </c>
      <c r="K1111" s="215" t="s">
        <v>4</v>
      </c>
      <c r="L1111" s="282"/>
      <c r="O1111" s="451" t="s">
        <v>695</v>
      </c>
      <c r="P1111" s="307">
        <v>46116</v>
      </c>
    </row>
    <row r="1112" spans="1:17" s="250" customFormat="1" hidden="1">
      <c r="A1112" s="270">
        <f t="shared" si="156"/>
        <v>1110</v>
      </c>
      <c r="B1112" s="296">
        <v>46094</v>
      </c>
      <c r="C1112" s="250" t="str">
        <f t="shared" si="155"/>
        <v>MP1110</v>
      </c>
      <c r="D1112" s="477" t="s">
        <v>2197</v>
      </c>
      <c r="E1112" s="270">
        <v>200</v>
      </c>
      <c r="F1112" s="270" t="s">
        <v>1689</v>
      </c>
      <c r="G1112" s="270">
        <v>305</v>
      </c>
      <c r="H1112" s="252">
        <f t="shared" ref="H1112:H1116" si="161">IF(G1112="","",E1112*G1112)</f>
        <v>61000</v>
      </c>
      <c r="I1112" s="250" t="s">
        <v>531</v>
      </c>
      <c r="J1112" s="250" t="s">
        <v>609</v>
      </c>
      <c r="K1112" s="250" t="s">
        <v>9</v>
      </c>
      <c r="L1112" s="270"/>
      <c r="O1112" s="250" t="s">
        <v>370</v>
      </c>
      <c r="P1112" s="308">
        <v>46094</v>
      </c>
    </row>
    <row r="1113" spans="1:17" s="214" customFormat="1" ht="31.5" hidden="1">
      <c r="A1113" s="282">
        <f t="shared" si="156"/>
        <v>1111</v>
      </c>
      <c r="B1113" s="286">
        <v>46094</v>
      </c>
      <c r="C1113" s="214" t="str">
        <f t="shared" si="155"/>
        <v>MP1111</v>
      </c>
      <c r="D1113" s="214" t="s">
        <v>1195</v>
      </c>
      <c r="E1113" s="282">
        <v>3000</v>
      </c>
      <c r="F1113" s="282">
        <v>120</v>
      </c>
      <c r="G1113" s="282">
        <v>10.5</v>
      </c>
      <c r="H1113" s="215">
        <f t="shared" si="161"/>
        <v>31500</v>
      </c>
      <c r="I1113" s="485" t="s">
        <v>1196</v>
      </c>
      <c r="J1113" s="214" t="s">
        <v>782</v>
      </c>
      <c r="K1113" s="214" t="s">
        <v>20</v>
      </c>
      <c r="L1113" s="282"/>
      <c r="O1113" s="214" t="s">
        <v>695</v>
      </c>
      <c r="P1113" s="307">
        <v>46108</v>
      </c>
    </row>
    <row r="1114" spans="1:17" s="214" customFormat="1" hidden="1">
      <c r="A1114" s="282">
        <f t="shared" si="156"/>
        <v>1112</v>
      </c>
      <c r="B1114" s="286">
        <v>46094</v>
      </c>
      <c r="C1114" s="214" t="str">
        <f t="shared" si="155"/>
        <v>MP1112</v>
      </c>
      <c r="D1114" s="216" t="s">
        <v>822</v>
      </c>
      <c r="E1114" s="233">
        <v>1200</v>
      </c>
      <c r="F1114" s="233">
        <v>125</v>
      </c>
      <c r="G1114" s="233">
        <v>34</v>
      </c>
      <c r="H1114" s="215">
        <f t="shared" si="161"/>
        <v>40800</v>
      </c>
      <c r="I1114" s="215" t="s">
        <v>237</v>
      </c>
      <c r="J1114" s="215" t="s">
        <v>265</v>
      </c>
      <c r="K1114" s="215" t="s">
        <v>20</v>
      </c>
      <c r="L1114" s="282"/>
      <c r="O1114" s="214" t="s">
        <v>695</v>
      </c>
      <c r="P1114" s="307">
        <v>46097</v>
      </c>
    </row>
    <row r="1115" spans="1:17" s="250" customFormat="1" hidden="1">
      <c r="A1115" s="270">
        <f t="shared" si="156"/>
        <v>1113</v>
      </c>
      <c r="B1115" s="296">
        <v>46094</v>
      </c>
      <c r="C1115" s="250" t="str">
        <f t="shared" si="155"/>
        <v>MP1113</v>
      </c>
      <c r="D1115" s="250" t="s">
        <v>1319</v>
      </c>
      <c r="E1115" s="270">
        <v>500</v>
      </c>
      <c r="F1115" s="270">
        <v>1990</v>
      </c>
      <c r="G1115" s="270">
        <v>220</v>
      </c>
      <c r="H1115" s="252">
        <f t="shared" si="161"/>
        <v>110000</v>
      </c>
      <c r="I1115" s="250" t="s">
        <v>1320</v>
      </c>
      <c r="J1115" s="250" t="s">
        <v>1321</v>
      </c>
      <c r="K1115" s="250" t="s">
        <v>1322</v>
      </c>
      <c r="L1115" s="270"/>
      <c r="M1115" s="250" t="s">
        <v>2198</v>
      </c>
      <c r="O1115" s="250" t="s">
        <v>370</v>
      </c>
      <c r="P1115" s="308">
        <v>46118</v>
      </c>
    </row>
    <row r="1116" spans="1:17" s="214" customFormat="1" hidden="1">
      <c r="A1116" s="282">
        <f t="shared" si="156"/>
        <v>1114</v>
      </c>
      <c r="B1116" s="286">
        <v>46094</v>
      </c>
      <c r="C1116" s="214" t="str">
        <f t="shared" si="155"/>
        <v>MP1114</v>
      </c>
      <c r="D1116" s="478" t="s">
        <v>1825</v>
      </c>
      <c r="E1116" s="282">
        <v>1500</v>
      </c>
      <c r="F1116" s="282" t="s">
        <v>1754</v>
      </c>
      <c r="G1116" s="282">
        <v>29</v>
      </c>
      <c r="H1116" s="215">
        <f t="shared" si="161"/>
        <v>43500</v>
      </c>
      <c r="I1116" s="214" t="s">
        <v>1020</v>
      </c>
      <c r="J1116" s="214" t="s">
        <v>782</v>
      </c>
      <c r="K1116" s="214" t="s">
        <v>1289</v>
      </c>
      <c r="L1116" s="282"/>
      <c r="O1116" s="214" t="s">
        <v>695</v>
      </c>
      <c r="P1116" s="307">
        <v>46097</v>
      </c>
    </row>
    <row r="1117" spans="1:17" s="210" customFormat="1" hidden="1">
      <c r="A1117" s="264">
        <f t="shared" si="156"/>
        <v>1115</v>
      </c>
      <c r="B1117" s="225">
        <v>46094</v>
      </c>
      <c r="C1117" s="210" t="str">
        <f t="shared" si="155"/>
        <v>MP1115</v>
      </c>
      <c r="D1117" s="440" t="s">
        <v>2199</v>
      </c>
      <c r="E1117" s="385">
        <v>250</v>
      </c>
      <c r="F1117" s="385" t="s">
        <v>2200</v>
      </c>
      <c r="G1117" s="385">
        <v>390</v>
      </c>
      <c r="H1117" s="209">
        <f>IF(G1117="","",E1117*G1117)</f>
        <v>97500</v>
      </c>
      <c r="I1117" s="209" t="s">
        <v>125</v>
      </c>
      <c r="J1117" s="209" t="s">
        <v>113</v>
      </c>
      <c r="K1117" s="209" t="s">
        <v>9</v>
      </c>
      <c r="L1117" s="264"/>
      <c r="M1117" s="210" t="s">
        <v>2201</v>
      </c>
      <c r="N1117" s="210" t="s">
        <v>620</v>
      </c>
      <c r="O1117" s="210" t="s">
        <v>135</v>
      </c>
      <c r="P1117" s="320">
        <v>46094</v>
      </c>
    </row>
    <row r="1118" spans="1:17" s="210" customFormat="1" hidden="1">
      <c r="A1118" s="264">
        <f t="shared" si="156"/>
        <v>1116</v>
      </c>
      <c r="B1118" s="225">
        <v>46094</v>
      </c>
      <c r="C1118" s="210" t="str">
        <f t="shared" si="155"/>
        <v>MP1116</v>
      </c>
      <c r="D1118" s="210" t="s">
        <v>2202</v>
      </c>
      <c r="E1118" s="264">
        <v>300</v>
      </c>
      <c r="F1118" s="264" t="s">
        <v>2203</v>
      </c>
      <c r="G1118" s="264">
        <v>310</v>
      </c>
      <c r="H1118" s="209">
        <f t="shared" ref="H1118:H1122" si="162">IF(G1118="","",E1118*G1118)</f>
        <v>93000</v>
      </c>
      <c r="I1118" s="210" t="s">
        <v>2204</v>
      </c>
      <c r="J1118" s="210" t="s">
        <v>609</v>
      </c>
      <c r="K1118" s="210" t="s">
        <v>9</v>
      </c>
      <c r="L1118" s="264"/>
      <c r="M1118" s="210" t="s">
        <v>2205</v>
      </c>
      <c r="N1118" s="210" t="s">
        <v>620</v>
      </c>
      <c r="O1118" s="210" t="s">
        <v>135</v>
      </c>
      <c r="P1118" s="320">
        <v>46094</v>
      </c>
    </row>
    <row r="1119" spans="1:17" s="214" customFormat="1" hidden="1">
      <c r="A1119" s="282">
        <f t="shared" si="156"/>
        <v>1117</v>
      </c>
      <c r="B1119" s="286">
        <v>46097</v>
      </c>
      <c r="C1119" s="214" t="str">
        <f t="shared" si="155"/>
        <v>MP1117</v>
      </c>
      <c r="D1119" s="214" t="s">
        <v>1504</v>
      </c>
      <c r="E1119" s="282">
        <v>500</v>
      </c>
      <c r="F1119" s="282">
        <v>220</v>
      </c>
      <c r="G1119" s="282">
        <v>195</v>
      </c>
      <c r="H1119" s="335">
        <f t="shared" si="162"/>
        <v>97500</v>
      </c>
      <c r="I1119" s="214" t="s">
        <v>1284</v>
      </c>
      <c r="J1119" s="214" t="s">
        <v>1092</v>
      </c>
      <c r="K1119" s="214" t="s">
        <v>1442</v>
      </c>
      <c r="L1119" s="282"/>
      <c r="M1119" s="214" t="s">
        <v>620</v>
      </c>
      <c r="N1119" s="214" t="s">
        <v>620</v>
      </c>
      <c r="O1119" s="214" t="s">
        <v>695</v>
      </c>
      <c r="P1119" s="307">
        <v>46097</v>
      </c>
      <c r="Q1119" s="423">
        <f t="shared" ref="Q1119" ca="1" si="163">TODAY()-P1119</f>
        <v>28</v>
      </c>
    </row>
    <row r="1120" spans="1:17" s="210" customFormat="1" hidden="1">
      <c r="A1120" s="264">
        <f t="shared" si="156"/>
        <v>1118</v>
      </c>
      <c r="B1120" s="225">
        <v>46097</v>
      </c>
      <c r="C1120" s="210" t="str">
        <f t="shared" si="155"/>
        <v>MP1118</v>
      </c>
      <c r="D1120" s="486" t="s">
        <v>1231</v>
      </c>
      <c r="E1120" s="264">
        <v>100</v>
      </c>
      <c r="F1120" s="264">
        <v>990</v>
      </c>
      <c r="G1120" s="264">
        <v>1550</v>
      </c>
      <c r="H1120" s="209">
        <f t="shared" si="162"/>
        <v>155000</v>
      </c>
      <c r="I1120" s="486" t="s">
        <v>1129</v>
      </c>
      <c r="J1120" s="210" t="s">
        <v>609</v>
      </c>
      <c r="K1120" s="210" t="s">
        <v>1171</v>
      </c>
      <c r="L1120" s="264"/>
      <c r="M1120" s="210" t="s">
        <v>2206</v>
      </c>
      <c r="N1120" s="210" t="s">
        <v>620</v>
      </c>
      <c r="O1120" s="210" t="s">
        <v>135</v>
      </c>
      <c r="P1120" s="320">
        <v>46102</v>
      </c>
    </row>
    <row r="1121" spans="1:16" ht="30" hidden="1">
      <c r="A1121" s="227">
        <f t="shared" si="156"/>
        <v>1119</v>
      </c>
      <c r="B1121" s="285">
        <v>46097</v>
      </c>
      <c r="C1121" s="181" t="str">
        <f t="shared" si="155"/>
        <v>MP1119</v>
      </c>
      <c r="D1121" s="181" t="s">
        <v>2207</v>
      </c>
      <c r="E1121" s="227">
        <v>5000</v>
      </c>
      <c r="F1121" s="227">
        <v>350</v>
      </c>
      <c r="G1121" s="227">
        <v>26</v>
      </c>
      <c r="H1121" s="178">
        <f t="shared" si="162"/>
        <v>130000</v>
      </c>
      <c r="I1121" s="406" t="s">
        <v>2208</v>
      </c>
      <c r="J1121" s="181" t="s">
        <v>1671</v>
      </c>
      <c r="K1121" s="181" t="s">
        <v>2209</v>
      </c>
      <c r="M1121" s="210" t="s">
        <v>2210</v>
      </c>
      <c r="O1121" s="181" t="s">
        <v>570</v>
      </c>
      <c r="P1121" s="218">
        <v>46097</v>
      </c>
    </row>
    <row r="1122" spans="1:16" s="214" customFormat="1" hidden="1">
      <c r="A1122" s="282">
        <f t="shared" si="156"/>
        <v>1120</v>
      </c>
      <c r="B1122" s="286">
        <v>46097</v>
      </c>
      <c r="C1122" s="214" t="str">
        <f t="shared" si="155"/>
        <v>MP1120</v>
      </c>
      <c r="D1122" s="214" t="s">
        <v>594</v>
      </c>
      <c r="E1122" s="282">
        <v>300</v>
      </c>
      <c r="F1122" s="282" t="s">
        <v>1551</v>
      </c>
      <c r="G1122" s="282">
        <v>385</v>
      </c>
      <c r="H1122" s="335">
        <f t="shared" si="162"/>
        <v>115500</v>
      </c>
      <c r="I1122" s="214" t="s">
        <v>1036</v>
      </c>
      <c r="J1122" s="214" t="s">
        <v>609</v>
      </c>
      <c r="K1122" s="214" t="s">
        <v>4</v>
      </c>
      <c r="L1122" s="282"/>
      <c r="O1122" s="214" t="s">
        <v>695</v>
      </c>
      <c r="P1122" s="307">
        <v>46097</v>
      </c>
    </row>
    <row r="1123" spans="1:16" s="214" customFormat="1" hidden="1">
      <c r="A1123" s="282">
        <f t="shared" si="156"/>
        <v>1121</v>
      </c>
      <c r="B1123" s="286">
        <v>46097</v>
      </c>
      <c r="C1123" s="214" t="str">
        <f t="shared" si="155"/>
        <v>MP1121</v>
      </c>
      <c r="D1123" s="214" t="s">
        <v>1499</v>
      </c>
      <c r="E1123" s="282">
        <v>300</v>
      </c>
      <c r="F1123" s="282" t="s">
        <v>1772</v>
      </c>
      <c r="G1123" s="282">
        <v>375</v>
      </c>
      <c r="H1123" s="335">
        <f t="shared" ref="H1123:H1125" si="164">IF(G1123="","",E1123*G1123)</f>
        <v>112500</v>
      </c>
      <c r="I1123" s="214" t="s">
        <v>66</v>
      </c>
      <c r="J1123" s="214" t="s">
        <v>60</v>
      </c>
      <c r="K1123" s="214" t="s">
        <v>4</v>
      </c>
      <c r="L1123" s="282"/>
      <c r="O1123" s="214" t="s">
        <v>695</v>
      </c>
      <c r="P1123" s="307">
        <v>46101</v>
      </c>
    </row>
    <row r="1124" spans="1:16" s="210" customFormat="1" hidden="1">
      <c r="A1124" s="264">
        <f t="shared" si="156"/>
        <v>1122</v>
      </c>
      <c r="B1124" s="225">
        <v>46097</v>
      </c>
      <c r="C1124" s="210" t="str">
        <f t="shared" si="155"/>
        <v>MP1122</v>
      </c>
      <c r="D1124" s="210" t="s">
        <v>1390</v>
      </c>
      <c r="E1124" s="264">
        <v>3000</v>
      </c>
      <c r="F1124" s="264">
        <v>120</v>
      </c>
      <c r="G1124" s="264">
        <v>14</v>
      </c>
      <c r="H1124" s="235">
        <f t="shared" si="164"/>
        <v>42000</v>
      </c>
      <c r="I1124" s="210" t="s">
        <v>2211</v>
      </c>
      <c r="J1124" s="210" t="s">
        <v>930</v>
      </c>
      <c r="K1124" s="210" t="s">
        <v>1589</v>
      </c>
      <c r="L1124" s="264">
        <v>2500</v>
      </c>
      <c r="O1124" s="210" t="s">
        <v>135</v>
      </c>
      <c r="P1124" s="320">
        <v>46097</v>
      </c>
    </row>
    <row r="1125" spans="1:16" s="214" customFormat="1" hidden="1">
      <c r="A1125" s="282">
        <f t="shared" si="156"/>
        <v>1123</v>
      </c>
      <c r="B1125" s="286">
        <v>46097</v>
      </c>
      <c r="C1125" s="214" t="str">
        <f t="shared" si="155"/>
        <v>MP1123</v>
      </c>
      <c r="D1125" s="214" t="s">
        <v>1067</v>
      </c>
      <c r="E1125" s="282">
        <v>300</v>
      </c>
      <c r="F1125" s="282">
        <v>185</v>
      </c>
      <c r="G1125" s="282">
        <v>152</v>
      </c>
      <c r="H1125" s="215">
        <f t="shared" si="164"/>
        <v>45600</v>
      </c>
      <c r="I1125" s="214" t="s">
        <v>1068</v>
      </c>
      <c r="J1125" s="214" t="s">
        <v>609</v>
      </c>
      <c r="K1125" s="214" t="s">
        <v>26</v>
      </c>
      <c r="L1125" s="282" t="s">
        <v>1069</v>
      </c>
      <c r="N1125" s="313" t="s">
        <v>620</v>
      </c>
      <c r="O1125" s="214" t="s">
        <v>695</v>
      </c>
      <c r="P1125" s="307">
        <v>46101</v>
      </c>
    </row>
    <row r="1126" spans="1:16" s="214" customFormat="1" hidden="1">
      <c r="A1126" s="282">
        <f t="shared" si="156"/>
        <v>1124</v>
      </c>
      <c r="B1126" s="286">
        <v>46097</v>
      </c>
      <c r="C1126" s="214" t="str">
        <f t="shared" si="155"/>
        <v>MP1124</v>
      </c>
      <c r="D1126" s="214" t="s">
        <v>2212</v>
      </c>
      <c r="E1126" s="282">
        <v>500</v>
      </c>
      <c r="F1126" s="282" t="s">
        <v>1732</v>
      </c>
      <c r="G1126" s="282">
        <v>100</v>
      </c>
      <c r="H1126" s="215">
        <f t="shared" ref="H1126:H1130" si="165">IF(G1126="","",E1126*G1126)</f>
        <v>50000</v>
      </c>
      <c r="I1126" s="214" t="s">
        <v>1733</v>
      </c>
      <c r="J1126" s="214" t="s">
        <v>609</v>
      </c>
      <c r="K1126" s="214" t="s">
        <v>1442</v>
      </c>
      <c r="L1126" s="282"/>
      <c r="N1126" s="214" t="s">
        <v>620</v>
      </c>
      <c r="O1126" s="214" t="s">
        <v>566</v>
      </c>
      <c r="P1126" s="307">
        <v>46101</v>
      </c>
    </row>
    <row r="1127" spans="1:16" s="214" customFormat="1" hidden="1">
      <c r="A1127" s="282">
        <f t="shared" si="156"/>
        <v>1125</v>
      </c>
      <c r="B1127" s="286">
        <v>46097</v>
      </c>
      <c r="C1127" s="214" t="str">
        <f t="shared" si="155"/>
        <v>MP1125</v>
      </c>
      <c r="D1127" s="214" t="s">
        <v>1759</v>
      </c>
      <c r="E1127" s="282">
        <v>500</v>
      </c>
      <c r="F1127" s="282" t="s">
        <v>1760</v>
      </c>
      <c r="G1127" s="282">
        <v>93</v>
      </c>
      <c r="H1127" s="215">
        <f t="shared" si="165"/>
        <v>46500</v>
      </c>
      <c r="I1127" s="364" t="s">
        <v>1761</v>
      </c>
      <c r="J1127" s="214" t="s">
        <v>609</v>
      </c>
      <c r="K1127" s="214" t="s">
        <v>22</v>
      </c>
      <c r="L1127" s="282"/>
      <c r="N1127" s="214" t="s">
        <v>620</v>
      </c>
      <c r="O1127" s="214" t="s">
        <v>695</v>
      </c>
      <c r="P1127" s="307">
        <v>46101</v>
      </c>
    </row>
    <row r="1128" spans="1:16" s="214" customFormat="1" hidden="1">
      <c r="A1128" s="282">
        <f t="shared" si="156"/>
        <v>1126</v>
      </c>
      <c r="B1128" s="286">
        <v>46097</v>
      </c>
      <c r="C1128" s="214" t="str">
        <f t="shared" si="155"/>
        <v>MP1126</v>
      </c>
      <c r="D1128" s="214" t="s">
        <v>1766</v>
      </c>
      <c r="E1128" s="282">
        <v>500</v>
      </c>
      <c r="F1128" s="282" t="s">
        <v>1654</v>
      </c>
      <c r="G1128" s="282">
        <v>150</v>
      </c>
      <c r="H1128" s="215">
        <f t="shared" si="165"/>
        <v>75000</v>
      </c>
      <c r="I1128" s="214" t="s">
        <v>1767</v>
      </c>
      <c r="J1128" s="214" t="s">
        <v>609</v>
      </c>
      <c r="K1128" s="214" t="s">
        <v>1442</v>
      </c>
      <c r="L1128" s="282"/>
      <c r="M1128" s="310" t="s">
        <v>2213</v>
      </c>
      <c r="N1128" s="214" t="s">
        <v>620</v>
      </c>
      <c r="O1128" s="214" t="s">
        <v>695</v>
      </c>
      <c r="P1128" s="307">
        <v>46101</v>
      </c>
    </row>
    <row r="1129" spans="1:16" s="214" customFormat="1" hidden="1">
      <c r="A1129" s="282">
        <f t="shared" si="156"/>
        <v>1127</v>
      </c>
      <c r="B1129" s="286">
        <v>46097</v>
      </c>
      <c r="C1129" s="214" t="str">
        <f t="shared" si="155"/>
        <v>MP1127</v>
      </c>
      <c r="D1129" s="214" t="s">
        <v>1815</v>
      </c>
      <c r="E1129" s="282">
        <v>5000</v>
      </c>
      <c r="F1129" s="282" t="s">
        <v>1816</v>
      </c>
      <c r="G1129" s="282">
        <v>48</v>
      </c>
      <c r="H1129" s="215">
        <f t="shared" si="165"/>
        <v>240000</v>
      </c>
      <c r="I1129" s="214" t="s">
        <v>1817</v>
      </c>
      <c r="J1129" s="214" t="s">
        <v>930</v>
      </c>
      <c r="K1129" s="214" t="s">
        <v>678</v>
      </c>
      <c r="L1129" s="282"/>
      <c r="N1129" s="214" t="s">
        <v>620</v>
      </c>
      <c r="O1129" s="214" t="s">
        <v>695</v>
      </c>
      <c r="P1129" s="307">
        <v>46109</v>
      </c>
    </row>
    <row r="1130" spans="1:16" s="214" customFormat="1" ht="45.75" hidden="1">
      <c r="A1130" s="282">
        <f t="shared" si="156"/>
        <v>1128</v>
      </c>
      <c r="B1130" s="286">
        <v>46107</v>
      </c>
      <c r="C1130" s="214" t="str">
        <f t="shared" si="155"/>
        <v>MP1128</v>
      </c>
      <c r="D1130" s="463" t="s">
        <v>2214</v>
      </c>
      <c r="E1130" s="282">
        <v>300</v>
      </c>
      <c r="F1130" s="282" t="s">
        <v>2215</v>
      </c>
      <c r="G1130" s="282">
        <v>250</v>
      </c>
      <c r="H1130" s="282">
        <f t="shared" si="165"/>
        <v>75000</v>
      </c>
      <c r="I1130" s="364" t="s">
        <v>2216</v>
      </c>
      <c r="J1130" s="214" t="s">
        <v>609</v>
      </c>
      <c r="K1130" s="214" t="s">
        <v>22</v>
      </c>
      <c r="L1130" s="282"/>
      <c r="N1130" s="214" t="s">
        <v>620</v>
      </c>
      <c r="O1130" s="214" t="s">
        <v>695</v>
      </c>
      <c r="P1130" s="307">
        <v>46109</v>
      </c>
    </row>
    <row r="1131" spans="1:16" s="214" customFormat="1" ht="45.75" hidden="1">
      <c r="A1131" s="282">
        <f t="shared" si="156"/>
        <v>1129</v>
      </c>
      <c r="B1131" s="286">
        <v>46107</v>
      </c>
      <c r="C1131" s="214" t="str">
        <f t="shared" si="155"/>
        <v>MP1129</v>
      </c>
      <c r="D1131" s="463" t="s">
        <v>2214</v>
      </c>
      <c r="E1131" s="282">
        <v>300</v>
      </c>
      <c r="F1131" s="282" t="s">
        <v>2217</v>
      </c>
      <c r="G1131" s="282">
        <v>250</v>
      </c>
      <c r="H1131" s="282">
        <f t="shared" ref="H1131:H1143" si="166">IF(G1131="","",E1131*G1131)</f>
        <v>75000</v>
      </c>
      <c r="I1131" s="364" t="s">
        <v>2216</v>
      </c>
      <c r="J1131" s="214" t="s">
        <v>609</v>
      </c>
      <c r="K1131" s="214" t="s">
        <v>22</v>
      </c>
      <c r="L1131" s="282"/>
      <c r="N1131" s="214" t="s">
        <v>620</v>
      </c>
      <c r="O1131" s="214" t="s">
        <v>695</v>
      </c>
      <c r="P1131" s="307">
        <v>46109</v>
      </c>
    </row>
    <row r="1132" spans="1:16" s="214" customFormat="1" ht="45.75" hidden="1">
      <c r="A1132" s="282">
        <f t="shared" si="156"/>
        <v>1130</v>
      </c>
      <c r="B1132" s="286">
        <v>46107</v>
      </c>
      <c r="C1132" s="214" t="str">
        <f t="shared" ref="C1132:C1195" si="167">IF(B1132="","",_xlfn.CONCAT("MP",A1132))</f>
        <v>MP1130</v>
      </c>
      <c r="D1132" s="214" t="s">
        <v>2218</v>
      </c>
      <c r="E1132" s="282">
        <v>300</v>
      </c>
      <c r="F1132" s="282" t="s">
        <v>2215</v>
      </c>
      <c r="G1132" s="282">
        <v>268</v>
      </c>
      <c r="H1132" s="282">
        <f t="shared" si="166"/>
        <v>80400</v>
      </c>
      <c r="I1132" s="364" t="s">
        <v>2219</v>
      </c>
      <c r="J1132" s="214" t="s">
        <v>609</v>
      </c>
      <c r="K1132" s="214" t="s">
        <v>22</v>
      </c>
      <c r="L1132" s="282"/>
      <c r="N1132" s="214" t="s">
        <v>620</v>
      </c>
      <c r="O1132" s="214" t="s">
        <v>695</v>
      </c>
      <c r="P1132" s="307">
        <v>46109</v>
      </c>
    </row>
    <row r="1133" spans="1:16" s="214" customFormat="1" ht="45.75" hidden="1">
      <c r="A1133" s="282">
        <f t="shared" si="156"/>
        <v>1131</v>
      </c>
      <c r="B1133" s="286">
        <v>46107</v>
      </c>
      <c r="C1133" s="214" t="str">
        <f t="shared" si="167"/>
        <v>MP1131</v>
      </c>
      <c r="D1133" s="214" t="s">
        <v>2218</v>
      </c>
      <c r="E1133" s="282">
        <v>300</v>
      </c>
      <c r="F1133" s="282" t="s">
        <v>2217</v>
      </c>
      <c r="G1133" s="282">
        <v>268</v>
      </c>
      <c r="H1133" s="282">
        <f t="shared" si="166"/>
        <v>80400</v>
      </c>
      <c r="I1133" s="364" t="s">
        <v>2219</v>
      </c>
      <c r="J1133" s="214" t="s">
        <v>609</v>
      </c>
      <c r="K1133" s="214" t="s">
        <v>22</v>
      </c>
      <c r="L1133" s="282"/>
      <c r="N1133" s="214" t="s">
        <v>620</v>
      </c>
      <c r="O1133" s="214" t="s">
        <v>695</v>
      </c>
      <c r="P1133" s="307">
        <v>46109</v>
      </c>
    </row>
    <row r="1134" spans="1:16" ht="30.75" hidden="1">
      <c r="A1134" s="227">
        <f t="shared" si="156"/>
        <v>1132</v>
      </c>
      <c r="B1134" s="285">
        <v>46107</v>
      </c>
      <c r="C1134" s="181" t="str">
        <f t="shared" si="167"/>
        <v>MP1132</v>
      </c>
      <c r="D1134" s="181" t="s">
        <v>2220</v>
      </c>
      <c r="E1134" s="227">
        <v>10000</v>
      </c>
      <c r="F1134" s="227" t="s">
        <v>1857</v>
      </c>
      <c r="G1134" s="227">
        <v>6</v>
      </c>
      <c r="H1134" s="227">
        <f t="shared" si="166"/>
        <v>60000</v>
      </c>
      <c r="I1134" s="406" t="s">
        <v>2221</v>
      </c>
      <c r="J1134" s="181" t="s">
        <v>1671</v>
      </c>
      <c r="K1134" s="181" t="s">
        <v>978</v>
      </c>
      <c r="M1134" s="181" t="s">
        <v>2222</v>
      </c>
      <c r="N1134" s="181" t="s">
        <v>620</v>
      </c>
      <c r="O1134" s="181" t="s">
        <v>570</v>
      </c>
      <c r="P1134" s="218">
        <v>46109</v>
      </c>
    </row>
    <row r="1135" spans="1:16" s="214" customFormat="1" ht="30.75" hidden="1">
      <c r="A1135" s="282">
        <f t="shared" si="156"/>
        <v>1133</v>
      </c>
      <c r="B1135" s="286">
        <v>46107</v>
      </c>
      <c r="C1135" s="214" t="str">
        <f t="shared" si="167"/>
        <v>MP1133</v>
      </c>
      <c r="D1135" s="214" t="s">
        <v>2223</v>
      </c>
      <c r="E1135" s="282">
        <v>300</v>
      </c>
      <c r="F1135" s="282" t="s">
        <v>2224</v>
      </c>
      <c r="G1135" s="282">
        <v>320</v>
      </c>
      <c r="H1135" s="282">
        <f t="shared" si="166"/>
        <v>96000</v>
      </c>
      <c r="I1135" s="364" t="s">
        <v>2225</v>
      </c>
      <c r="J1135" s="214" t="s">
        <v>609</v>
      </c>
      <c r="K1135" s="214" t="s">
        <v>9</v>
      </c>
      <c r="L1135" s="282"/>
      <c r="O1135" s="214" t="s">
        <v>695</v>
      </c>
      <c r="P1135" s="307">
        <v>46109</v>
      </c>
    </row>
    <row r="1136" spans="1:16" s="210" customFormat="1" ht="30.75" hidden="1">
      <c r="A1136" s="264">
        <f t="shared" ref="A1136:A1199" si="168">IF(B1136="","",ROW()-2)</f>
        <v>1134</v>
      </c>
      <c r="B1136" s="225">
        <v>46107</v>
      </c>
      <c r="C1136" s="210" t="str">
        <f t="shared" si="167"/>
        <v>MP1134</v>
      </c>
      <c r="D1136" s="210" t="s">
        <v>2226</v>
      </c>
      <c r="E1136" s="264">
        <v>200</v>
      </c>
      <c r="F1136" s="264" t="s">
        <v>2227</v>
      </c>
      <c r="G1136" s="264">
        <v>320</v>
      </c>
      <c r="H1136" s="264">
        <f t="shared" si="166"/>
        <v>64000</v>
      </c>
      <c r="I1136" s="336" t="s">
        <v>2225</v>
      </c>
      <c r="J1136" s="210" t="s">
        <v>609</v>
      </c>
      <c r="K1136" s="210" t="s">
        <v>9</v>
      </c>
      <c r="L1136" s="264"/>
      <c r="N1136" s="210" t="s">
        <v>620</v>
      </c>
      <c r="O1136" s="210" t="s">
        <v>135</v>
      </c>
      <c r="P1136" s="320">
        <v>46113</v>
      </c>
    </row>
    <row r="1137" spans="1:17" s="214" customFormat="1" hidden="1">
      <c r="A1137" s="282">
        <f t="shared" si="168"/>
        <v>1135</v>
      </c>
      <c r="B1137" s="286">
        <v>46107</v>
      </c>
      <c r="C1137" s="214" t="str">
        <f t="shared" si="167"/>
        <v>MP1135</v>
      </c>
      <c r="D1137" s="214" t="s">
        <v>1316</v>
      </c>
      <c r="E1137" s="282">
        <v>500</v>
      </c>
      <c r="F1137" s="282" t="s">
        <v>1317</v>
      </c>
      <c r="G1137" s="282">
        <v>80</v>
      </c>
      <c r="H1137" s="282">
        <f t="shared" si="166"/>
        <v>40000</v>
      </c>
      <c r="I1137" s="214" t="s">
        <v>2228</v>
      </c>
      <c r="J1137" s="214" t="s">
        <v>609</v>
      </c>
      <c r="K1137" s="214" t="s">
        <v>22</v>
      </c>
      <c r="L1137" s="282"/>
      <c r="O1137" s="214" t="s">
        <v>695</v>
      </c>
      <c r="P1137" s="307">
        <v>46109</v>
      </c>
    </row>
    <row r="1138" spans="1:17" s="214" customFormat="1" hidden="1">
      <c r="A1138" s="282">
        <f t="shared" si="168"/>
        <v>1136</v>
      </c>
      <c r="B1138" s="286">
        <v>46107</v>
      </c>
      <c r="C1138" s="214" t="str">
        <f t="shared" si="167"/>
        <v>MP1136</v>
      </c>
      <c r="D1138" s="214" t="s">
        <v>2229</v>
      </c>
      <c r="E1138" s="282">
        <v>300</v>
      </c>
      <c r="F1138" s="282" t="s">
        <v>1896</v>
      </c>
      <c r="G1138" s="282">
        <v>130</v>
      </c>
      <c r="H1138" s="282">
        <f t="shared" si="166"/>
        <v>39000</v>
      </c>
      <c r="I1138" s="282" t="s">
        <v>2230</v>
      </c>
      <c r="J1138" s="214" t="s">
        <v>609</v>
      </c>
      <c r="K1138" s="214" t="s">
        <v>2</v>
      </c>
      <c r="L1138" s="282"/>
      <c r="N1138" s="214" t="s">
        <v>620</v>
      </c>
      <c r="O1138" s="214" t="s">
        <v>566</v>
      </c>
      <c r="P1138" s="307"/>
    </row>
    <row r="1139" spans="1:17" ht="30.75" hidden="1">
      <c r="A1139" s="227">
        <f t="shared" si="168"/>
        <v>1137</v>
      </c>
      <c r="B1139" s="285">
        <v>46107</v>
      </c>
      <c r="C1139" s="181" t="str">
        <f t="shared" si="167"/>
        <v>MP1137</v>
      </c>
      <c r="D1139" s="322" t="s">
        <v>2231</v>
      </c>
      <c r="E1139" s="227">
        <v>5000</v>
      </c>
      <c r="F1139" s="227">
        <v>107</v>
      </c>
      <c r="G1139" s="227">
        <v>9</v>
      </c>
      <c r="H1139" s="227">
        <f t="shared" si="166"/>
        <v>45000</v>
      </c>
      <c r="I1139" s="406" t="s">
        <v>2232</v>
      </c>
      <c r="J1139" s="181" t="s">
        <v>634</v>
      </c>
      <c r="K1139" s="181" t="s">
        <v>978</v>
      </c>
      <c r="M1139" s="181" t="s">
        <v>2233</v>
      </c>
      <c r="O1139" s="181" t="s">
        <v>570</v>
      </c>
      <c r="P1139" s="218">
        <v>46108</v>
      </c>
    </row>
    <row r="1140" spans="1:17" s="214" customFormat="1" hidden="1">
      <c r="A1140" s="282">
        <f t="shared" si="168"/>
        <v>1138</v>
      </c>
      <c r="B1140" s="286">
        <v>46107</v>
      </c>
      <c r="C1140" s="214" t="str">
        <f t="shared" si="167"/>
        <v>MP1138</v>
      </c>
      <c r="D1140" s="214" t="s">
        <v>2234</v>
      </c>
      <c r="E1140" s="282">
        <v>1000</v>
      </c>
      <c r="F1140" s="282" t="s">
        <v>1896</v>
      </c>
      <c r="G1140" s="282">
        <v>125</v>
      </c>
      <c r="H1140" s="282">
        <f t="shared" si="166"/>
        <v>125000</v>
      </c>
      <c r="I1140" s="214" t="s">
        <v>2235</v>
      </c>
      <c r="J1140" s="214" t="s">
        <v>609</v>
      </c>
      <c r="K1140" s="214" t="s">
        <v>1973</v>
      </c>
      <c r="L1140" s="282"/>
      <c r="O1140" s="214" t="s">
        <v>566</v>
      </c>
      <c r="P1140" s="307">
        <v>46108</v>
      </c>
    </row>
    <row r="1141" spans="1:17" s="210" customFormat="1" ht="30.75" hidden="1">
      <c r="A1141" s="264">
        <f t="shared" si="168"/>
        <v>1139</v>
      </c>
      <c r="B1141" s="225">
        <v>46107</v>
      </c>
      <c r="C1141" s="210" t="str">
        <f t="shared" si="167"/>
        <v>MP1139</v>
      </c>
      <c r="D1141" s="210" t="s">
        <v>2236</v>
      </c>
      <c r="E1141" s="264">
        <v>500</v>
      </c>
      <c r="F1141" s="264" t="s">
        <v>2237</v>
      </c>
      <c r="G1141" s="264">
        <v>105</v>
      </c>
      <c r="H1141" s="264">
        <f t="shared" si="166"/>
        <v>52500</v>
      </c>
      <c r="I1141" s="336" t="s">
        <v>2238</v>
      </c>
      <c r="J1141" s="210" t="s">
        <v>609</v>
      </c>
      <c r="K1141" s="210" t="s">
        <v>4</v>
      </c>
      <c r="L1141" s="264"/>
      <c r="M1141" s="210" t="s">
        <v>2210</v>
      </c>
      <c r="N1141" s="210" t="s">
        <v>620</v>
      </c>
      <c r="O1141" s="210" t="s">
        <v>135</v>
      </c>
      <c r="P1141" s="320">
        <v>46111</v>
      </c>
    </row>
    <row r="1142" spans="1:17" s="214" customFormat="1" hidden="1">
      <c r="A1142" s="282">
        <f t="shared" si="168"/>
        <v>1140</v>
      </c>
      <c r="B1142" s="286">
        <v>46109</v>
      </c>
      <c r="C1142" s="214" t="str">
        <f t="shared" si="167"/>
        <v>MP1140</v>
      </c>
      <c r="D1142" s="214" t="s">
        <v>1487</v>
      </c>
      <c r="E1142" s="282">
        <v>1200</v>
      </c>
      <c r="F1142" s="282">
        <v>185</v>
      </c>
      <c r="G1142" s="282">
        <v>32</v>
      </c>
      <c r="H1142" s="335">
        <f t="shared" si="166"/>
        <v>38400</v>
      </c>
      <c r="I1142" s="214" t="s">
        <v>1488</v>
      </c>
      <c r="J1142" s="313" t="s">
        <v>265</v>
      </c>
      <c r="K1142" s="214" t="s">
        <v>23</v>
      </c>
      <c r="L1142" s="282"/>
      <c r="M1142" s="345" t="s">
        <v>2239</v>
      </c>
      <c r="O1142" s="214" t="s">
        <v>695</v>
      </c>
      <c r="P1142" s="307">
        <v>46114</v>
      </c>
    </row>
    <row r="1143" spans="1:17" s="214" customFormat="1" ht="16.5" hidden="1">
      <c r="A1143" s="282">
        <f t="shared" si="168"/>
        <v>1141</v>
      </c>
      <c r="B1143" s="286">
        <v>46109</v>
      </c>
      <c r="C1143" s="214" t="str">
        <f t="shared" si="167"/>
        <v>MP1141</v>
      </c>
      <c r="D1143" s="343" t="s">
        <v>665</v>
      </c>
      <c r="E1143" s="233">
        <v>300</v>
      </c>
      <c r="F1143" s="233" t="s">
        <v>1910</v>
      </c>
      <c r="G1143" s="233">
        <v>240</v>
      </c>
      <c r="H1143" s="215">
        <f t="shared" si="166"/>
        <v>72000</v>
      </c>
      <c r="I1143" s="472" t="s">
        <v>666</v>
      </c>
      <c r="J1143" s="215" t="s">
        <v>609</v>
      </c>
      <c r="K1143" s="215" t="s">
        <v>26</v>
      </c>
      <c r="L1143" s="243"/>
      <c r="M1143" s="345" t="s">
        <v>2240</v>
      </c>
      <c r="O1143" s="214" t="s">
        <v>695</v>
      </c>
      <c r="P1143" s="307">
        <v>46114</v>
      </c>
    </row>
    <row r="1144" spans="1:17" s="214" customFormat="1" hidden="1">
      <c r="A1144" s="282">
        <f t="shared" si="168"/>
        <v>1142</v>
      </c>
      <c r="B1144" s="286">
        <v>46113</v>
      </c>
      <c r="C1144" s="214" t="str">
        <f t="shared" si="167"/>
        <v>MP1142</v>
      </c>
      <c r="D1144" s="214" t="s">
        <v>841</v>
      </c>
      <c r="E1144" s="388">
        <v>3000</v>
      </c>
      <c r="F1144" s="388" t="s">
        <v>653</v>
      </c>
      <c r="G1144" s="393">
        <v>7.5</v>
      </c>
      <c r="H1144" s="313">
        <f>IF(G1144="","",E1144*G1144)</f>
        <v>22500</v>
      </c>
      <c r="I1144" s="313" t="s">
        <v>646</v>
      </c>
      <c r="J1144" s="313" t="s">
        <v>634</v>
      </c>
      <c r="K1144" s="313" t="s">
        <v>635</v>
      </c>
      <c r="L1144" s="489"/>
      <c r="M1144" s="458"/>
      <c r="N1144" s="313" t="s">
        <v>133</v>
      </c>
      <c r="O1144" s="313" t="s">
        <v>695</v>
      </c>
      <c r="P1144" s="490">
        <v>46114</v>
      </c>
      <c r="Q1144" s="491">
        <f ca="1">TODAY()-P1144</f>
        <v>11</v>
      </c>
    </row>
    <row r="1145" spans="1:17" s="214" customFormat="1" hidden="1">
      <c r="A1145" s="282">
        <f t="shared" si="168"/>
        <v>1143</v>
      </c>
      <c r="B1145" s="286">
        <v>46113</v>
      </c>
      <c r="C1145" s="214" t="str">
        <f t="shared" si="167"/>
        <v>MP1143</v>
      </c>
      <c r="D1145" s="215" t="s">
        <v>1204</v>
      </c>
      <c r="E1145" s="282">
        <v>2000</v>
      </c>
      <c r="F1145" s="282">
        <v>249</v>
      </c>
      <c r="G1145" s="282">
        <v>43</v>
      </c>
      <c r="H1145" s="335">
        <f t="shared" ref="H1145:H1146" si="169">IF(G1145="","",E1145*G1145)</f>
        <v>86000</v>
      </c>
      <c r="I1145" s="214" t="s">
        <v>1205</v>
      </c>
      <c r="J1145" s="214" t="s">
        <v>1170</v>
      </c>
      <c r="K1145" s="214" t="s">
        <v>1171</v>
      </c>
      <c r="L1145" s="282"/>
      <c r="M1145" s="345" t="s">
        <v>2241</v>
      </c>
      <c r="N1145" s="214" t="s">
        <v>620</v>
      </c>
      <c r="O1145" s="214" t="s">
        <v>695</v>
      </c>
      <c r="P1145" s="307">
        <v>46114</v>
      </c>
    </row>
    <row r="1146" spans="1:17" s="214" customFormat="1" hidden="1">
      <c r="A1146" s="282">
        <f t="shared" si="168"/>
        <v>1144</v>
      </c>
      <c r="B1146" s="286">
        <v>46113</v>
      </c>
      <c r="C1146" s="214" t="str">
        <f t="shared" si="167"/>
        <v>MP1144</v>
      </c>
      <c r="D1146" s="214" t="s">
        <v>1455</v>
      </c>
      <c r="E1146" s="282">
        <v>500</v>
      </c>
      <c r="F1146" s="282">
        <v>220</v>
      </c>
      <c r="G1146" s="282">
        <v>160</v>
      </c>
      <c r="H1146" s="335">
        <f t="shared" si="169"/>
        <v>80000</v>
      </c>
      <c r="I1146" s="214" t="s">
        <v>1456</v>
      </c>
      <c r="J1146" s="214" t="s">
        <v>1092</v>
      </c>
      <c r="K1146" s="214" t="s">
        <v>1322</v>
      </c>
      <c r="L1146" s="282"/>
      <c r="N1146" s="214" t="s">
        <v>620</v>
      </c>
      <c r="O1146" s="214" t="s">
        <v>695</v>
      </c>
      <c r="P1146" s="307">
        <v>46114</v>
      </c>
    </row>
    <row r="1147" spans="1:17" ht="30.75" hidden="1">
      <c r="A1147" s="227">
        <f t="shared" si="168"/>
        <v>1145</v>
      </c>
      <c r="B1147" s="285">
        <v>46113</v>
      </c>
      <c r="C1147" s="181" t="str">
        <f t="shared" si="167"/>
        <v>MP1145</v>
      </c>
      <c r="D1147" s="196" t="s">
        <v>1274</v>
      </c>
      <c r="E1147" s="227">
        <v>500</v>
      </c>
      <c r="F1147" s="498" t="s">
        <v>1506</v>
      </c>
      <c r="G1147" s="227">
        <v>250</v>
      </c>
      <c r="H1147" s="178">
        <f t="shared" ref="H1147" si="170">IF(G1147="","",E1147*G1147)</f>
        <v>125000</v>
      </c>
      <c r="I1147" s="499" t="s">
        <v>1276</v>
      </c>
      <c r="J1147" s="196" t="s">
        <v>609</v>
      </c>
      <c r="K1147" s="196" t="s">
        <v>4</v>
      </c>
      <c r="M1147" s="179"/>
      <c r="N1147" s="181" t="s">
        <v>620</v>
      </c>
      <c r="O1147" s="181" t="s">
        <v>570</v>
      </c>
      <c r="P1147" s="218">
        <v>46118</v>
      </c>
    </row>
    <row r="1148" spans="1:17" s="210" customFormat="1" ht="15.75" hidden="1">
      <c r="A1148" s="264">
        <f t="shared" si="168"/>
        <v>1146</v>
      </c>
      <c r="B1148" s="225">
        <v>46113</v>
      </c>
      <c r="C1148" s="210" t="str">
        <f t="shared" si="167"/>
        <v>MP1146</v>
      </c>
      <c r="D1148" s="210" t="s">
        <v>2242</v>
      </c>
      <c r="E1148" s="385">
        <v>300</v>
      </c>
      <c r="F1148" s="385" t="s">
        <v>2017</v>
      </c>
      <c r="G1148" s="385">
        <v>320</v>
      </c>
      <c r="H1148" s="209">
        <f t="shared" ref="H1148" si="171">IF(G1148="","",E1148*G1148)</f>
        <v>96000</v>
      </c>
      <c r="I1148" s="209" t="s">
        <v>66</v>
      </c>
      <c r="J1148" s="209" t="s">
        <v>60</v>
      </c>
      <c r="K1148" s="209" t="s">
        <v>4</v>
      </c>
      <c r="L1148" s="435"/>
      <c r="M1148" s="440"/>
      <c r="N1148" s="210" t="s">
        <v>620</v>
      </c>
      <c r="O1148" s="210" t="s">
        <v>570</v>
      </c>
      <c r="P1148" s="320">
        <v>46114</v>
      </c>
    </row>
    <row r="1149" spans="1:17" s="214" customFormat="1" hidden="1">
      <c r="A1149" s="282">
        <f t="shared" si="168"/>
        <v>1147</v>
      </c>
      <c r="B1149" s="286">
        <v>46113</v>
      </c>
      <c r="C1149" s="214" t="str">
        <f t="shared" si="167"/>
        <v>MP1147</v>
      </c>
      <c r="D1149" s="343" t="s">
        <v>607</v>
      </c>
      <c r="E1149" s="233">
        <v>100</v>
      </c>
      <c r="F1149" s="233">
        <v>7312.5</v>
      </c>
      <c r="G1149" s="233">
        <v>1410</v>
      </c>
      <c r="H1149" s="445">
        <f>IF(G1149="","",E1149*G1149)</f>
        <v>141000</v>
      </c>
      <c r="I1149" s="215" t="s">
        <v>608</v>
      </c>
      <c r="J1149" s="215" t="s">
        <v>609</v>
      </c>
      <c r="K1149" s="215" t="s">
        <v>1171</v>
      </c>
      <c r="L1149" s="282"/>
      <c r="O1149" s="214" t="s">
        <v>695</v>
      </c>
      <c r="P1149" s="307">
        <v>46114</v>
      </c>
      <c r="Q1149" s="443"/>
    </row>
    <row r="1150" spans="1:17" s="310" customFormat="1" hidden="1">
      <c r="A1150" s="323">
        <f t="shared" si="168"/>
        <v>1148</v>
      </c>
      <c r="B1150" s="324">
        <v>46113</v>
      </c>
      <c r="C1150" s="310" t="str">
        <f t="shared" si="167"/>
        <v>MP1148</v>
      </c>
      <c r="D1150" s="311" t="s">
        <v>70</v>
      </c>
      <c r="E1150" s="497">
        <v>500</v>
      </c>
      <c r="F1150" s="497" t="s">
        <v>1821</v>
      </c>
      <c r="G1150" s="497">
        <v>72</v>
      </c>
      <c r="H1150" s="311">
        <f t="shared" ref="H1150:H1162" si="172">IF(G1150="","",E1150*G1150)</f>
        <v>36000</v>
      </c>
      <c r="I1150" s="311" t="s">
        <v>66</v>
      </c>
      <c r="J1150" s="311" t="s">
        <v>60</v>
      </c>
      <c r="K1150" s="311" t="s">
        <v>22</v>
      </c>
      <c r="L1150" s="323"/>
      <c r="M1150" s="310" t="s">
        <v>2243</v>
      </c>
      <c r="O1150" s="310" t="s">
        <v>566</v>
      </c>
      <c r="P1150" s="325">
        <v>46114</v>
      </c>
    </row>
    <row r="1151" spans="1:17" s="210" customFormat="1" hidden="1">
      <c r="A1151" s="264">
        <f t="shared" si="168"/>
        <v>1149</v>
      </c>
      <c r="B1151" s="225">
        <v>46113</v>
      </c>
      <c r="C1151" s="210" t="str">
        <f t="shared" si="167"/>
        <v>MP1149</v>
      </c>
      <c r="D1151" s="210" t="s">
        <v>1233</v>
      </c>
      <c r="E1151" s="264">
        <v>100</v>
      </c>
      <c r="F1151" s="264" t="s">
        <v>2244</v>
      </c>
      <c r="G1151" s="264">
        <v>2350</v>
      </c>
      <c r="H1151" s="209">
        <f t="shared" si="172"/>
        <v>235000</v>
      </c>
      <c r="I1151" s="437" t="s">
        <v>1129</v>
      </c>
      <c r="J1151" s="210" t="s">
        <v>609</v>
      </c>
      <c r="K1151" s="210" t="s">
        <v>1171</v>
      </c>
      <c r="L1151" s="264"/>
      <c r="M1151" s="210" t="s">
        <v>1381</v>
      </c>
      <c r="N1151" s="210" t="s">
        <v>620</v>
      </c>
      <c r="O1151" s="210" t="s">
        <v>135</v>
      </c>
      <c r="P1151" s="320">
        <v>46118</v>
      </c>
    </row>
    <row r="1152" spans="1:17" s="214" customFormat="1" hidden="1">
      <c r="A1152" s="282">
        <f t="shared" si="168"/>
        <v>1150</v>
      </c>
      <c r="B1152" s="286">
        <v>46113</v>
      </c>
      <c r="C1152" s="214" t="str">
        <f t="shared" si="167"/>
        <v>MP1150</v>
      </c>
      <c r="D1152" s="215" t="s">
        <v>534</v>
      </c>
      <c r="E1152" s="233">
        <v>500</v>
      </c>
      <c r="F1152" s="233" t="s">
        <v>231</v>
      </c>
      <c r="G1152" s="233">
        <v>250</v>
      </c>
      <c r="H1152" s="215">
        <f t="shared" si="172"/>
        <v>125000</v>
      </c>
      <c r="I1152" s="215" t="s">
        <v>535</v>
      </c>
      <c r="J1152" s="215" t="s">
        <v>60</v>
      </c>
      <c r="K1152" s="215" t="s">
        <v>4</v>
      </c>
      <c r="L1152" s="282"/>
      <c r="O1152" s="214" t="s">
        <v>695</v>
      </c>
      <c r="P1152" s="307">
        <v>46118</v>
      </c>
    </row>
    <row r="1153" spans="1:17" s="214" customFormat="1" hidden="1">
      <c r="A1153" s="282">
        <f t="shared" si="168"/>
        <v>1151</v>
      </c>
      <c r="B1153" s="286">
        <v>46116</v>
      </c>
      <c r="C1153" s="214" t="str">
        <f t="shared" si="167"/>
        <v>MP1151</v>
      </c>
      <c r="D1153" s="215" t="s">
        <v>470</v>
      </c>
      <c r="E1153" s="233">
        <v>500</v>
      </c>
      <c r="F1153" s="233" t="s">
        <v>2245</v>
      </c>
      <c r="G1153" s="233">
        <v>85</v>
      </c>
      <c r="H1153" s="215">
        <f t="shared" si="172"/>
        <v>42500</v>
      </c>
      <c r="I1153" s="215" t="s">
        <v>66</v>
      </c>
      <c r="J1153" s="215" t="s">
        <v>60</v>
      </c>
      <c r="K1153" s="215" t="s">
        <v>15</v>
      </c>
      <c r="L1153" s="243"/>
      <c r="M1153" s="216"/>
      <c r="N1153" s="215" t="s">
        <v>76</v>
      </c>
      <c r="O1153" s="215" t="s">
        <v>695</v>
      </c>
      <c r="P1153" s="312">
        <v>46118</v>
      </c>
      <c r="Q1153" s="443"/>
    </row>
    <row r="1154" spans="1:17" s="214" customFormat="1" hidden="1">
      <c r="A1154" s="282">
        <f t="shared" si="168"/>
        <v>1152</v>
      </c>
      <c r="B1154" s="286">
        <v>46116</v>
      </c>
      <c r="C1154" s="214" t="str">
        <f t="shared" si="167"/>
        <v>MP1152</v>
      </c>
      <c r="D1154" s="214" t="s">
        <v>1016</v>
      </c>
      <c r="E1154" s="282">
        <v>2000</v>
      </c>
      <c r="F1154" s="282" t="s">
        <v>2246</v>
      </c>
      <c r="G1154" s="282">
        <v>14.75</v>
      </c>
      <c r="H1154" s="215">
        <f t="shared" si="172"/>
        <v>29500</v>
      </c>
      <c r="I1154" s="214" t="s">
        <v>1017</v>
      </c>
      <c r="J1154" s="214" t="s">
        <v>782</v>
      </c>
      <c r="K1154" s="214" t="s">
        <v>23</v>
      </c>
      <c r="L1154" s="282"/>
      <c r="O1154" s="214" t="s">
        <v>695</v>
      </c>
      <c r="P1154" s="307">
        <v>46118</v>
      </c>
    </row>
    <row r="1155" spans="1:17" s="214" customFormat="1" hidden="1">
      <c r="A1155" s="282">
        <f t="shared" si="168"/>
        <v>1153</v>
      </c>
      <c r="B1155" s="286">
        <v>46116</v>
      </c>
      <c r="C1155" s="214" t="str">
        <f t="shared" si="167"/>
        <v>MP1153</v>
      </c>
      <c r="D1155" s="215" t="s">
        <v>177</v>
      </c>
      <c r="E1155" s="233">
        <v>300</v>
      </c>
      <c r="F1155" s="233">
        <v>1950</v>
      </c>
      <c r="G1155" s="233">
        <v>125</v>
      </c>
      <c r="H1155" s="215">
        <f t="shared" si="172"/>
        <v>37500</v>
      </c>
      <c r="I1155" s="215" t="s">
        <v>66</v>
      </c>
      <c r="J1155" s="215" t="s">
        <v>60</v>
      </c>
      <c r="K1155" s="215" t="s">
        <v>4</v>
      </c>
      <c r="L1155" s="243" t="s">
        <v>133</v>
      </c>
      <c r="M1155" s="216"/>
      <c r="N1155" s="215" t="s">
        <v>165</v>
      </c>
      <c r="O1155" s="214" t="s">
        <v>695</v>
      </c>
      <c r="P1155" s="307">
        <v>46118</v>
      </c>
    </row>
    <row r="1156" spans="1:17" s="214" customFormat="1" hidden="1">
      <c r="A1156" s="282">
        <f t="shared" si="168"/>
        <v>1154</v>
      </c>
      <c r="B1156" s="286">
        <v>46116</v>
      </c>
      <c r="C1156" s="214" t="str">
        <f t="shared" si="167"/>
        <v>MP1154</v>
      </c>
      <c r="D1156" s="245" t="s">
        <v>1172</v>
      </c>
      <c r="E1156" s="289">
        <v>3000</v>
      </c>
      <c r="F1156" s="289">
        <v>209</v>
      </c>
      <c r="G1156" s="289">
        <v>31</v>
      </c>
      <c r="H1156" s="246">
        <f t="shared" si="172"/>
        <v>93000</v>
      </c>
      <c r="I1156" s="304" t="s">
        <v>1169</v>
      </c>
      <c r="J1156" s="245" t="s">
        <v>1170</v>
      </c>
      <c r="K1156" s="245" t="s">
        <v>1171</v>
      </c>
      <c r="L1156" s="282"/>
      <c r="O1156" s="214" t="s">
        <v>566</v>
      </c>
      <c r="P1156" s="307">
        <v>46118</v>
      </c>
    </row>
    <row r="1157" spans="1:17" s="214" customFormat="1" hidden="1">
      <c r="A1157" s="282">
        <f t="shared" si="168"/>
        <v>1155</v>
      </c>
      <c r="B1157" s="286">
        <v>46116</v>
      </c>
      <c r="C1157" s="214" t="str">
        <f t="shared" si="167"/>
        <v>MP1155</v>
      </c>
      <c r="D1157" s="214" t="s">
        <v>1074</v>
      </c>
      <c r="E1157" s="282">
        <v>2400</v>
      </c>
      <c r="F1157" s="282">
        <v>80</v>
      </c>
      <c r="G1157" s="282">
        <v>8.5</v>
      </c>
      <c r="H1157" s="215">
        <f t="shared" si="172"/>
        <v>20400</v>
      </c>
      <c r="I1157" s="214" t="s">
        <v>1075</v>
      </c>
      <c r="J1157" s="214" t="s">
        <v>844</v>
      </c>
      <c r="K1157" s="214" t="s">
        <v>20</v>
      </c>
      <c r="L1157" s="282"/>
      <c r="M1157" s="310">
        <v>10.5</v>
      </c>
      <c r="O1157" s="214" t="s">
        <v>566</v>
      </c>
      <c r="P1157" s="307">
        <v>46118</v>
      </c>
    </row>
    <row r="1158" spans="1:17" s="214" customFormat="1" hidden="1">
      <c r="A1158" s="282">
        <f t="shared" si="168"/>
        <v>1156</v>
      </c>
      <c r="B1158" s="286">
        <v>46116</v>
      </c>
      <c r="C1158" s="214" t="str">
        <f t="shared" si="167"/>
        <v>MP1156</v>
      </c>
      <c r="D1158" s="214" t="s">
        <v>1282</v>
      </c>
      <c r="E1158" s="282">
        <v>300</v>
      </c>
      <c r="F1158" s="282" t="s">
        <v>1283</v>
      </c>
      <c r="G1158" s="282">
        <v>130</v>
      </c>
      <c r="H1158" s="215">
        <f t="shared" si="172"/>
        <v>39000</v>
      </c>
      <c r="I1158" s="476" t="s">
        <v>1284</v>
      </c>
      <c r="J1158" s="215" t="s">
        <v>60</v>
      </c>
      <c r="K1158" s="214" t="s">
        <v>20</v>
      </c>
      <c r="L1158" s="282"/>
      <c r="M1158" s="310" t="s">
        <v>2247</v>
      </c>
      <c r="O1158" s="214" t="s">
        <v>566</v>
      </c>
      <c r="P1158" s="307">
        <v>46118</v>
      </c>
    </row>
    <row r="1159" spans="1:17" s="214" customFormat="1" hidden="1">
      <c r="A1159" s="282">
        <f t="shared" si="168"/>
        <v>1157</v>
      </c>
      <c r="B1159" s="286">
        <v>46116</v>
      </c>
      <c r="C1159" s="214" t="str">
        <f t="shared" si="167"/>
        <v>MP1157</v>
      </c>
      <c r="D1159" s="215" t="s">
        <v>349</v>
      </c>
      <c r="E1159" s="233">
        <v>200</v>
      </c>
      <c r="F1159" s="233" t="s">
        <v>1573</v>
      </c>
      <c r="G1159" s="233">
        <v>510</v>
      </c>
      <c r="H1159" s="215">
        <f t="shared" si="172"/>
        <v>102000</v>
      </c>
      <c r="I1159" s="215" t="s">
        <v>125</v>
      </c>
      <c r="J1159" s="215" t="s">
        <v>60</v>
      </c>
      <c r="K1159" s="215" t="s">
        <v>9</v>
      </c>
      <c r="L1159" s="282"/>
      <c r="M1159" s="310" t="s">
        <v>2248</v>
      </c>
      <c r="O1159" s="214" t="s">
        <v>566</v>
      </c>
      <c r="P1159" s="307">
        <v>46118</v>
      </c>
    </row>
    <row r="1160" spans="1:17" s="214" customFormat="1" hidden="1">
      <c r="A1160" s="282">
        <f t="shared" si="168"/>
        <v>1158</v>
      </c>
      <c r="B1160" s="286">
        <v>46116</v>
      </c>
      <c r="C1160" s="214" t="str">
        <f t="shared" si="167"/>
        <v>MP1158</v>
      </c>
      <c r="D1160" s="215" t="s">
        <v>839</v>
      </c>
      <c r="E1160" s="233">
        <v>10000</v>
      </c>
      <c r="F1160" s="233">
        <v>13.57</v>
      </c>
      <c r="G1160" s="269">
        <v>1.8</v>
      </c>
      <c r="H1160" s="215">
        <f t="shared" si="172"/>
        <v>18000</v>
      </c>
      <c r="I1160" s="215" t="s">
        <v>639</v>
      </c>
      <c r="J1160" s="215" t="s">
        <v>634</v>
      </c>
      <c r="K1160" s="215" t="s">
        <v>635</v>
      </c>
      <c r="L1160" s="243">
        <v>10275</v>
      </c>
      <c r="M1160" s="310" t="s">
        <v>2249</v>
      </c>
      <c r="O1160" s="214" t="s">
        <v>566</v>
      </c>
      <c r="P1160" s="307">
        <v>46118</v>
      </c>
    </row>
    <row r="1161" spans="1:17" s="214" customFormat="1" hidden="1">
      <c r="A1161" s="282">
        <f t="shared" si="168"/>
        <v>1159</v>
      </c>
      <c r="B1161" s="286">
        <v>46116</v>
      </c>
      <c r="C1161" s="214" t="str">
        <f t="shared" si="167"/>
        <v>MP1159</v>
      </c>
      <c r="D1161" s="214" t="s">
        <v>1961</v>
      </c>
      <c r="E1161" s="282">
        <v>5000</v>
      </c>
      <c r="F1161" s="282" t="s">
        <v>1957</v>
      </c>
      <c r="G1161" s="282">
        <v>17</v>
      </c>
      <c r="H1161" s="215">
        <f t="shared" si="172"/>
        <v>85000</v>
      </c>
      <c r="I1161" s="214" t="s">
        <v>1958</v>
      </c>
      <c r="J1161" s="214" t="s">
        <v>930</v>
      </c>
      <c r="K1161" s="214" t="s">
        <v>1959</v>
      </c>
      <c r="L1161" s="282"/>
      <c r="M1161" s="310" t="s">
        <v>2250</v>
      </c>
      <c r="O1161" s="214" t="s">
        <v>566</v>
      </c>
      <c r="P1161" s="307">
        <v>46118</v>
      </c>
    </row>
    <row r="1162" spans="1:17" s="214" customFormat="1" hidden="1">
      <c r="A1162" s="282">
        <f t="shared" si="168"/>
        <v>1160</v>
      </c>
      <c r="B1162" s="286">
        <v>46116</v>
      </c>
      <c r="C1162" s="214" t="str">
        <f t="shared" si="167"/>
        <v>MP1160</v>
      </c>
      <c r="D1162" s="463" t="s">
        <v>1046</v>
      </c>
      <c r="E1162" s="282">
        <v>500</v>
      </c>
      <c r="F1162" s="282" t="s">
        <v>2251</v>
      </c>
      <c r="G1162" s="282">
        <v>88</v>
      </c>
      <c r="H1162" s="215">
        <f t="shared" si="172"/>
        <v>44000</v>
      </c>
      <c r="I1162" s="214" t="s">
        <v>656</v>
      </c>
      <c r="J1162" s="214" t="s">
        <v>937</v>
      </c>
      <c r="K1162" s="214" t="s">
        <v>1042</v>
      </c>
      <c r="L1162" s="282"/>
      <c r="O1162" s="214" t="s">
        <v>695</v>
      </c>
      <c r="P1162" s="307">
        <v>46118</v>
      </c>
    </row>
    <row r="1163" spans="1:17" hidden="1">
      <c r="A1163" s="227">
        <f t="shared" si="168"/>
        <v>1161</v>
      </c>
      <c r="B1163" s="286">
        <v>46116</v>
      </c>
      <c r="C1163" s="181" t="str">
        <f t="shared" si="167"/>
        <v>MP1161</v>
      </c>
      <c r="D1163" s="494" t="s">
        <v>2252</v>
      </c>
    </row>
    <row r="1164" spans="1:17" s="214" customFormat="1" hidden="1">
      <c r="A1164" s="282">
        <f t="shared" si="168"/>
        <v>1162</v>
      </c>
      <c r="B1164" s="286">
        <v>46116</v>
      </c>
      <c r="C1164" s="214" t="str">
        <f t="shared" si="167"/>
        <v>MP1162</v>
      </c>
      <c r="D1164" s="214" t="s">
        <v>1412</v>
      </c>
      <c r="E1164" s="282">
        <v>3000</v>
      </c>
      <c r="F1164" s="282">
        <v>180</v>
      </c>
      <c r="G1164" s="282">
        <v>27</v>
      </c>
      <c r="H1164" s="335">
        <f t="shared" ref="H1164:H1166" si="173">IF(G1164="","",E1164*G1164)</f>
        <v>81000</v>
      </c>
      <c r="I1164" s="214" t="s">
        <v>1413</v>
      </c>
      <c r="J1164" s="214" t="s">
        <v>1411</v>
      </c>
      <c r="K1164" s="214" t="s">
        <v>10</v>
      </c>
      <c r="L1164" s="282"/>
      <c r="O1164" s="214" t="s">
        <v>695</v>
      </c>
      <c r="P1164" s="307">
        <v>46119</v>
      </c>
    </row>
    <row r="1165" spans="1:17" hidden="1">
      <c r="A1165" s="227">
        <f t="shared" si="168"/>
        <v>1163</v>
      </c>
      <c r="B1165" s="285">
        <v>46116</v>
      </c>
      <c r="C1165" s="181" t="str">
        <f t="shared" si="167"/>
        <v>MP1163</v>
      </c>
      <c r="D1165" s="181" t="s">
        <v>160</v>
      </c>
      <c r="E1165" s="227">
        <v>1000</v>
      </c>
      <c r="F1165" s="227">
        <v>1070</v>
      </c>
      <c r="G1165" s="227">
        <v>76</v>
      </c>
      <c r="H1165" s="507">
        <f t="shared" si="173"/>
        <v>76000</v>
      </c>
      <c r="I1165" s="181" t="s">
        <v>2108</v>
      </c>
      <c r="J1165" s="181" t="s">
        <v>87</v>
      </c>
      <c r="K1165" s="181" t="s">
        <v>4</v>
      </c>
      <c r="O1165" s="181" t="s">
        <v>566</v>
      </c>
      <c r="P1165" s="218">
        <v>46121</v>
      </c>
    </row>
    <row r="1166" spans="1:17" hidden="1">
      <c r="A1166" s="227">
        <f t="shared" si="168"/>
        <v>1164</v>
      </c>
      <c r="B1166" s="285">
        <v>46116</v>
      </c>
      <c r="C1166" s="181" t="str">
        <f t="shared" si="167"/>
        <v>MP1164</v>
      </c>
      <c r="D1166" s="181" t="s">
        <v>1691</v>
      </c>
      <c r="E1166" s="508">
        <v>5000</v>
      </c>
      <c r="F1166" s="508" t="s">
        <v>2253</v>
      </c>
      <c r="G1166" s="509">
        <v>32</v>
      </c>
      <c r="H1166" s="507">
        <f t="shared" si="173"/>
        <v>160000</v>
      </c>
      <c r="I1166" s="510" t="s">
        <v>1332</v>
      </c>
      <c r="J1166" s="275" t="s">
        <v>930</v>
      </c>
      <c r="K1166" s="275" t="s">
        <v>24</v>
      </c>
      <c r="O1166" s="181" t="s">
        <v>566</v>
      </c>
    </row>
    <row r="1167" spans="1:17" s="214" customFormat="1" hidden="1">
      <c r="A1167" s="282">
        <f t="shared" si="168"/>
        <v>1165</v>
      </c>
      <c r="B1167" s="286">
        <v>46116</v>
      </c>
      <c r="C1167" s="214" t="str">
        <f t="shared" si="167"/>
        <v>MP1165</v>
      </c>
      <c r="D1167" s="215" t="s">
        <v>699</v>
      </c>
      <c r="E1167" s="233">
        <v>250</v>
      </c>
      <c r="F1167" s="233" t="s">
        <v>231</v>
      </c>
      <c r="G1167" s="269">
        <v>100</v>
      </c>
      <c r="H1167" s="215">
        <f t="shared" ref="H1167:H1175" si="174">IF(G1167="","",E1167*G1167)</f>
        <v>25000</v>
      </c>
      <c r="I1167" s="215" t="s">
        <v>700</v>
      </c>
      <c r="J1167" s="215" t="s">
        <v>609</v>
      </c>
      <c r="K1167" s="215" t="s">
        <v>9</v>
      </c>
      <c r="L1167" s="282"/>
      <c r="M1167" s="214" t="s">
        <v>2254</v>
      </c>
      <c r="O1167" s="214" t="s">
        <v>566</v>
      </c>
      <c r="P1167" s="307">
        <v>46118</v>
      </c>
    </row>
    <row r="1168" spans="1:17" s="214" customFormat="1" hidden="1">
      <c r="A1168" s="282">
        <f t="shared" si="168"/>
        <v>1166</v>
      </c>
      <c r="B1168" s="286">
        <v>46116</v>
      </c>
      <c r="C1168" s="214" t="str">
        <f t="shared" si="167"/>
        <v>MP1166</v>
      </c>
      <c r="D1168" s="214" t="s">
        <v>215</v>
      </c>
      <c r="E1168" s="282">
        <v>300</v>
      </c>
      <c r="F1168" s="282" t="s">
        <v>2255</v>
      </c>
      <c r="G1168" s="282">
        <v>149</v>
      </c>
      <c r="H1168" s="215">
        <f t="shared" si="174"/>
        <v>44700</v>
      </c>
      <c r="I1168" s="214" t="s">
        <v>1098</v>
      </c>
      <c r="J1168" s="214" t="s">
        <v>1092</v>
      </c>
      <c r="K1168" s="214" t="s">
        <v>4</v>
      </c>
      <c r="L1168" s="282"/>
      <c r="O1168" s="214" t="s">
        <v>695</v>
      </c>
      <c r="P1168" s="307">
        <v>46118</v>
      </c>
    </row>
    <row r="1169" spans="1:17" hidden="1">
      <c r="A1169" s="227">
        <f t="shared" si="168"/>
        <v>1167</v>
      </c>
      <c r="B1169" s="285">
        <v>46116</v>
      </c>
      <c r="C1169" s="181" t="str">
        <f t="shared" si="167"/>
        <v>MP1167</v>
      </c>
      <c r="D1169" s="214" t="s">
        <v>1088</v>
      </c>
      <c r="E1169" s="227">
        <v>2400</v>
      </c>
      <c r="F1169" s="227" t="s">
        <v>231</v>
      </c>
      <c r="G1169" s="227">
        <v>7.5</v>
      </c>
      <c r="H1169" s="178">
        <f t="shared" si="174"/>
        <v>18000</v>
      </c>
      <c r="I1169" s="181" t="s">
        <v>1081</v>
      </c>
      <c r="J1169" s="181" t="s">
        <v>844</v>
      </c>
      <c r="K1169" s="181" t="s">
        <v>20</v>
      </c>
      <c r="P1169" s="218">
        <v>46118</v>
      </c>
    </row>
    <row r="1170" spans="1:17" s="214" customFormat="1" hidden="1">
      <c r="A1170" s="282">
        <f t="shared" si="168"/>
        <v>1168</v>
      </c>
      <c r="B1170" s="286">
        <v>46116</v>
      </c>
      <c r="C1170" s="214" t="str">
        <f t="shared" si="167"/>
        <v>MP1168</v>
      </c>
      <c r="D1170" s="215" t="s">
        <v>226</v>
      </c>
      <c r="E1170" s="233">
        <v>3000</v>
      </c>
      <c r="F1170" s="233">
        <v>157.5</v>
      </c>
      <c r="G1170" s="233">
        <v>27</v>
      </c>
      <c r="H1170" s="215">
        <f t="shared" si="174"/>
        <v>81000</v>
      </c>
      <c r="I1170" s="215" t="s">
        <v>227</v>
      </c>
      <c r="J1170" s="215" t="s">
        <v>228</v>
      </c>
      <c r="K1170" s="215" t="s">
        <v>16</v>
      </c>
      <c r="L1170" s="282"/>
      <c r="O1170" s="214" t="s">
        <v>695</v>
      </c>
      <c r="P1170" s="307">
        <v>46118</v>
      </c>
    </row>
    <row r="1171" spans="1:17" s="214" customFormat="1" hidden="1">
      <c r="A1171" s="282">
        <f t="shared" si="168"/>
        <v>1169</v>
      </c>
      <c r="B1171" s="286">
        <v>46116</v>
      </c>
      <c r="C1171" s="214" t="str">
        <f t="shared" si="167"/>
        <v>MP1169</v>
      </c>
      <c r="D1171" s="214" t="s">
        <v>1955</v>
      </c>
      <c r="E1171" s="233">
        <v>375</v>
      </c>
      <c r="F1171" s="233" t="s">
        <v>1693</v>
      </c>
      <c r="G1171" s="233">
        <v>480</v>
      </c>
      <c r="H1171" s="215">
        <f t="shared" si="174"/>
        <v>180000</v>
      </c>
      <c r="I1171" s="215" t="s">
        <v>152</v>
      </c>
      <c r="J1171" s="215" t="s">
        <v>60</v>
      </c>
      <c r="K1171" s="215" t="s">
        <v>16</v>
      </c>
      <c r="L1171" s="282"/>
      <c r="O1171" s="214" t="s">
        <v>566</v>
      </c>
      <c r="P1171" s="307">
        <v>46121</v>
      </c>
    </row>
    <row r="1172" spans="1:17" hidden="1">
      <c r="A1172" s="227">
        <f t="shared" si="168"/>
        <v>1170</v>
      </c>
      <c r="B1172" s="286">
        <v>46116</v>
      </c>
      <c r="C1172" s="181" t="str">
        <f t="shared" si="167"/>
        <v>MP1170</v>
      </c>
      <c r="D1172" s="245" t="s">
        <v>1628</v>
      </c>
      <c r="E1172" s="289">
        <v>1000</v>
      </c>
      <c r="F1172" s="289">
        <v>375</v>
      </c>
      <c r="G1172" s="289">
        <v>45</v>
      </c>
      <c r="H1172" s="407">
        <f t="shared" si="174"/>
        <v>45000</v>
      </c>
      <c r="I1172" s="245" t="s">
        <v>1629</v>
      </c>
      <c r="J1172" s="245" t="s">
        <v>1630</v>
      </c>
      <c r="K1172" s="245" t="s">
        <v>1156</v>
      </c>
    </row>
    <row r="1173" spans="1:17" s="214" customFormat="1" hidden="1">
      <c r="A1173" s="282">
        <f t="shared" si="168"/>
        <v>1171</v>
      </c>
      <c r="B1173" s="286">
        <v>46116</v>
      </c>
      <c r="C1173" s="214" t="str">
        <f t="shared" si="167"/>
        <v>MP1171</v>
      </c>
      <c r="D1173" s="214" t="s">
        <v>1781</v>
      </c>
      <c r="E1173" s="282">
        <v>300</v>
      </c>
      <c r="F1173" s="282" t="s">
        <v>806</v>
      </c>
      <c r="G1173" s="282">
        <v>85</v>
      </c>
      <c r="H1173" s="215">
        <f t="shared" si="174"/>
        <v>25500</v>
      </c>
      <c r="I1173" s="214" t="s">
        <v>365</v>
      </c>
      <c r="J1173" s="313" t="s">
        <v>100</v>
      </c>
      <c r="K1173" s="214" t="s">
        <v>2</v>
      </c>
      <c r="L1173" s="282"/>
      <c r="M1173" s="214" t="s">
        <v>2194</v>
      </c>
      <c r="O1173" s="214" t="s">
        <v>695</v>
      </c>
      <c r="P1173" s="307">
        <v>46118</v>
      </c>
    </row>
    <row r="1174" spans="1:17" s="214" customFormat="1" hidden="1">
      <c r="A1174" s="282">
        <f t="shared" si="168"/>
        <v>1172</v>
      </c>
      <c r="B1174" s="286">
        <v>46116</v>
      </c>
      <c r="C1174" s="214" t="str">
        <f t="shared" si="167"/>
        <v>MP1172</v>
      </c>
      <c r="D1174" s="500" t="s">
        <v>813</v>
      </c>
      <c r="E1174" s="501">
        <v>300</v>
      </c>
      <c r="F1174" s="501" t="s">
        <v>1721</v>
      </c>
      <c r="G1174" s="501">
        <v>125</v>
      </c>
      <c r="H1174" s="500">
        <f t="shared" si="174"/>
        <v>37500</v>
      </c>
      <c r="I1174" s="500" t="s">
        <v>409</v>
      </c>
      <c r="J1174" s="500" t="s">
        <v>60</v>
      </c>
      <c r="K1174" s="500" t="s">
        <v>2</v>
      </c>
      <c r="L1174" s="502" t="s">
        <v>133</v>
      </c>
      <c r="M1174" s="503"/>
      <c r="N1174" s="500"/>
      <c r="O1174" s="500" t="s">
        <v>695</v>
      </c>
      <c r="P1174" s="504">
        <v>46118</v>
      </c>
      <c r="Q1174" s="505">
        <f t="shared" ref="Q1174" ca="1" si="175">TODAY()-P1174</f>
        <v>7</v>
      </c>
    </row>
    <row r="1175" spans="1:17" s="214" customFormat="1" hidden="1">
      <c r="A1175" s="282">
        <f t="shared" si="168"/>
        <v>1173</v>
      </c>
      <c r="B1175" s="286">
        <v>46116</v>
      </c>
      <c r="C1175" s="214" t="str">
        <f t="shared" si="167"/>
        <v>MP1173</v>
      </c>
      <c r="D1175" s="214" t="s">
        <v>1252</v>
      </c>
      <c r="E1175" s="506">
        <v>3000</v>
      </c>
      <c r="F1175" s="282">
        <v>60</v>
      </c>
      <c r="G1175" s="282">
        <v>7.3</v>
      </c>
      <c r="H1175" s="215">
        <f t="shared" si="174"/>
        <v>21900</v>
      </c>
      <c r="I1175" s="214" t="s">
        <v>1253</v>
      </c>
      <c r="J1175" s="215" t="s">
        <v>265</v>
      </c>
      <c r="K1175" s="214" t="s">
        <v>22</v>
      </c>
      <c r="L1175" s="282"/>
      <c r="O1175" s="214" t="s">
        <v>566</v>
      </c>
      <c r="P1175" s="307">
        <v>46118</v>
      </c>
    </row>
    <row r="1176" spans="1:17" hidden="1">
      <c r="A1176" s="227">
        <f t="shared" si="168"/>
        <v>1174</v>
      </c>
      <c r="B1176" s="286">
        <v>46116</v>
      </c>
      <c r="C1176" s="181" t="str">
        <f t="shared" si="167"/>
        <v>MP1174</v>
      </c>
      <c r="D1176" s="495" t="s">
        <v>2256</v>
      </c>
    </row>
    <row r="1177" spans="1:17" hidden="1">
      <c r="A1177" s="227">
        <f t="shared" si="168"/>
        <v>1175</v>
      </c>
      <c r="B1177" s="286">
        <v>46116</v>
      </c>
      <c r="C1177" s="181" t="str">
        <f t="shared" si="167"/>
        <v>MP1175</v>
      </c>
      <c r="D1177" s="496" t="s">
        <v>2257</v>
      </c>
    </row>
    <row r="1178" spans="1:17" hidden="1">
      <c r="A1178" s="227">
        <f t="shared" si="168"/>
        <v>1176</v>
      </c>
      <c r="B1178" s="286">
        <v>46116</v>
      </c>
      <c r="C1178" s="181" t="str">
        <f t="shared" si="167"/>
        <v>MP1176</v>
      </c>
      <c r="D1178" s="496" t="s">
        <v>2258</v>
      </c>
    </row>
    <row r="1179" spans="1:17" s="310" customFormat="1" hidden="1">
      <c r="A1179" s="323">
        <f t="shared" si="168"/>
        <v>1177</v>
      </c>
      <c r="B1179" s="324">
        <v>46116</v>
      </c>
      <c r="C1179" s="310" t="str">
        <f t="shared" si="167"/>
        <v>MP1177</v>
      </c>
      <c r="D1179" s="245" t="s">
        <v>1168</v>
      </c>
      <c r="E1179" s="289">
        <v>3000</v>
      </c>
      <c r="F1179" s="289">
        <v>129</v>
      </c>
      <c r="G1179" s="289">
        <v>21.5</v>
      </c>
      <c r="H1179" s="246">
        <f t="shared" ref="H1179" si="176">IF(G1179="","",E1179*G1179)</f>
        <v>64500</v>
      </c>
      <c r="I1179" s="304" t="s">
        <v>1169</v>
      </c>
      <c r="J1179" s="245" t="s">
        <v>1170</v>
      </c>
      <c r="K1179" s="245" t="s">
        <v>1171</v>
      </c>
      <c r="L1179" s="323"/>
      <c r="M1179" s="310" t="s">
        <v>2259</v>
      </c>
      <c r="P1179" s="325"/>
    </row>
    <row r="1180" spans="1:17" hidden="1">
      <c r="A1180" s="227">
        <f t="shared" si="168"/>
        <v>1178</v>
      </c>
      <c r="B1180" s="286">
        <v>46116</v>
      </c>
      <c r="C1180" s="181" t="str">
        <f t="shared" si="167"/>
        <v>MP1178</v>
      </c>
      <c r="D1180" s="496" t="s">
        <v>2260</v>
      </c>
    </row>
    <row r="1181" spans="1:17" hidden="1">
      <c r="A1181" s="227">
        <f t="shared" si="168"/>
        <v>1179</v>
      </c>
      <c r="B1181" s="286">
        <v>46116</v>
      </c>
      <c r="C1181" s="181" t="str">
        <f t="shared" si="167"/>
        <v>MP1179</v>
      </c>
      <c r="D1181" s="496" t="s">
        <v>2261</v>
      </c>
    </row>
    <row r="1182" spans="1:17" hidden="1">
      <c r="A1182" s="227">
        <f t="shared" si="168"/>
        <v>1180</v>
      </c>
      <c r="B1182" s="286">
        <v>46116</v>
      </c>
      <c r="C1182" s="181" t="str">
        <f t="shared" si="167"/>
        <v>MP1180</v>
      </c>
      <c r="D1182" s="186" t="s">
        <v>351</v>
      </c>
      <c r="E1182" s="229">
        <v>5000</v>
      </c>
      <c r="F1182" s="229">
        <v>85</v>
      </c>
      <c r="G1182" s="265">
        <v>10.25</v>
      </c>
      <c r="H1182" s="186">
        <f t="shared" ref="H1182:H1183" si="177">IF(G1182="","",E1182*G1182)</f>
        <v>51250</v>
      </c>
      <c r="I1182" s="186" t="s">
        <v>51</v>
      </c>
      <c r="J1182" s="186" t="s">
        <v>265</v>
      </c>
      <c r="K1182" s="186" t="s">
        <v>24</v>
      </c>
      <c r="L1182" s="238">
        <v>4900</v>
      </c>
      <c r="M1182" s="187" t="s">
        <v>805</v>
      </c>
      <c r="N1182" s="186" t="s">
        <v>211</v>
      </c>
      <c r="O1182" s="178" t="s">
        <v>55</v>
      </c>
    </row>
    <row r="1183" spans="1:17" hidden="1">
      <c r="A1183" s="227">
        <f t="shared" si="168"/>
        <v>1181</v>
      </c>
      <c r="B1183" s="286">
        <v>46116</v>
      </c>
      <c r="C1183" s="181" t="str">
        <f t="shared" si="167"/>
        <v>MP1181</v>
      </c>
      <c r="D1183" s="246" t="s">
        <v>801</v>
      </c>
      <c r="E1183" s="247">
        <v>5000</v>
      </c>
      <c r="F1183" s="247">
        <v>111</v>
      </c>
      <c r="G1183" s="247">
        <v>12</v>
      </c>
      <c r="H1183" s="246">
        <f t="shared" si="177"/>
        <v>60000</v>
      </c>
      <c r="I1183" s="246" t="s">
        <v>237</v>
      </c>
      <c r="J1183" s="246" t="s">
        <v>265</v>
      </c>
      <c r="K1183" s="246" t="s">
        <v>24</v>
      </c>
      <c r="L1183" s="248">
        <v>4900</v>
      </c>
      <c r="M1183" s="249" t="s">
        <v>1501</v>
      </c>
      <c r="N1183" s="246" t="s">
        <v>211</v>
      </c>
      <c r="O1183" s="246" t="s">
        <v>55</v>
      </c>
    </row>
    <row r="1184" spans="1:17" hidden="1">
      <c r="A1184" s="227">
        <f t="shared" si="168"/>
        <v>1182</v>
      </c>
      <c r="B1184" s="286">
        <v>46116</v>
      </c>
      <c r="C1184" s="181" t="str">
        <f t="shared" si="167"/>
        <v>MP1182</v>
      </c>
      <c r="D1184" s="496" t="s">
        <v>2262</v>
      </c>
    </row>
    <row r="1185" spans="1:13" hidden="1">
      <c r="A1185" s="227">
        <f t="shared" si="168"/>
        <v>1183</v>
      </c>
      <c r="B1185" s="286">
        <v>46116</v>
      </c>
      <c r="C1185" s="181" t="str">
        <f t="shared" si="167"/>
        <v>MP1183</v>
      </c>
      <c r="D1185" s="245" t="s">
        <v>1076</v>
      </c>
      <c r="E1185" s="289">
        <v>2400</v>
      </c>
      <c r="F1185" s="289" t="s">
        <v>231</v>
      </c>
      <c r="G1185" s="289">
        <v>7.5</v>
      </c>
      <c r="H1185" s="246">
        <f t="shared" ref="H1185:H1188" si="178">IF(G1185="","",E1185*G1185)</f>
        <v>18000</v>
      </c>
      <c r="I1185" s="245" t="s">
        <v>1077</v>
      </c>
      <c r="J1185" s="245" t="s">
        <v>844</v>
      </c>
      <c r="K1185" s="245" t="s">
        <v>20</v>
      </c>
    </row>
    <row r="1186" spans="1:13" hidden="1">
      <c r="A1186" s="227">
        <f t="shared" si="168"/>
        <v>1184</v>
      </c>
      <c r="B1186" s="286">
        <v>46116</v>
      </c>
      <c r="C1186" s="181" t="str">
        <f t="shared" si="167"/>
        <v>MP1184</v>
      </c>
      <c r="D1186" s="245" t="s">
        <v>449</v>
      </c>
      <c r="E1186" s="289">
        <v>300</v>
      </c>
      <c r="F1186" s="289">
        <v>1450</v>
      </c>
      <c r="G1186" s="289">
        <v>150</v>
      </c>
      <c r="H1186" s="246">
        <f t="shared" si="178"/>
        <v>45000</v>
      </c>
      <c r="I1186" s="245" t="s">
        <v>59</v>
      </c>
      <c r="J1186" s="245" t="s">
        <v>60</v>
      </c>
      <c r="K1186" s="245" t="s">
        <v>4</v>
      </c>
    </row>
    <row r="1187" spans="1:13" hidden="1">
      <c r="A1187" s="227">
        <f t="shared" si="168"/>
        <v>1185</v>
      </c>
      <c r="B1187" s="286">
        <v>46116</v>
      </c>
      <c r="C1187" s="181" t="str">
        <f t="shared" si="167"/>
        <v>MP1185</v>
      </c>
      <c r="D1187" s="246" t="s">
        <v>785</v>
      </c>
      <c r="E1187" s="247">
        <v>500</v>
      </c>
      <c r="F1187" s="247">
        <v>103.1</v>
      </c>
      <c r="G1187" s="247">
        <v>90</v>
      </c>
      <c r="H1187" s="246">
        <f t="shared" si="178"/>
        <v>45000</v>
      </c>
      <c r="I1187" s="246" t="s">
        <v>74</v>
      </c>
      <c r="J1187" s="246" t="s">
        <v>60</v>
      </c>
      <c r="K1187" s="246" t="s">
        <v>4</v>
      </c>
    </row>
    <row r="1188" spans="1:13" hidden="1">
      <c r="A1188" s="227">
        <f t="shared" si="168"/>
        <v>1186</v>
      </c>
      <c r="B1188" s="286">
        <v>46116</v>
      </c>
      <c r="C1188" s="181" t="str">
        <f t="shared" si="167"/>
        <v>MP1186</v>
      </c>
      <c r="D1188" s="246" t="s">
        <v>306</v>
      </c>
      <c r="E1188" s="247">
        <v>10000</v>
      </c>
      <c r="F1188" s="247" t="s">
        <v>231</v>
      </c>
      <c r="G1188" s="278">
        <v>6.1</v>
      </c>
      <c r="H1188" s="246">
        <f t="shared" si="178"/>
        <v>61000</v>
      </c>
      <c r="I1188" s="277" t="s">
        <v>750</v>
      </c>
      <c r="J1188" s="246" t="s">
        <v>751</v>
      </c>
      <c r="K1188" s="246" t="s">
        <v>7</v>
      </c>
      <c r="L1188" s="248">
        <v>9800</v>
      </c>
      <c r="M1188" s="249" t="s">
        <v>869</v>
      </c>
    </row>
    <row r="1189" spans="1:13" hidden="1">
      <c r="A1189" s="227">
        <f t="shared" si="168"/>
        <v>1187</v>
      </c>
      <c r="B1189" s="286">
        <v>46116</v>
      </c>
      <c r="C1189" s="181" t="str">
        <f t="shared" si="167"/>
        <v>MP1187</v>
      </c>
      <c r="D1189" s="496" t="s">
        <v>2263</v>
      </c>
    </row>
    <row r="1190" spans="1:13" hidden="1">
      <c r="A1190" s="227">
        <f t="shared" si="168"/>
        <v>1188</v>
      </c>
      <c r="B1190" s="286">
        <v>46116</v>
      </c>
      <c r="C1190" s="181" t="str">
        <f t="shared" si="167"/>
        <v>MP1188</v>
      </c>
      <c r="D1190" s="496" t="s">
        <v>2264</v>
      </c>
    </row>
    <row r="1191" spans="1:13" hidden="1">
      <c r="A1191" s="227">
        <f t="shared" si="168"/>
        <v>1189</v>
      </c>
      <c r="B1191" s="286">
        <v>46116</v>
      </c>
      <c r="C1191" s="181" t="str">
        <f t="shared" si="167"/>
        <v>MP1189</v>
      </c>
      <c r="D1191" s="496" t="s">
        <v>2265</v>
      </c>
    </row>
    <row r="1192" spans="1:13" hidden="1">
      <c r="A1192" s="227">
        <f t="shared" si="168"/>
        <v>1190</v>
      </c>
      <c r="B1192" s="286">
        <v>46116</v>
      </c>
      <c r="C1192" s="181" t="str">
        <f t="shared" si="167"/>
        <v>MP1190</v>
      </c>
      <c r="D1192" s="496" t="s">
        <v>2266</v>
      </c>
    </row>
    <row r="1193" spans="1:13" hidden="1">
      <c r="A1193" s="227">
        <f t="shared" si="168"/>
        <v>1191</v>
      </c>
      <c r="B1193" s="286">
        <v>46116</v>
      </c>
      <c r="C1193" s="181" t="str">
        <f t="shared" si="167"/>
        <v>MP1191</v>
      </c>
      <c r="D1193" s="496" t="s">
        <v>2267</v>
      </c>
    </row>
    <row r="1194" spans="1:13" hidden="1">
      <c r="A1194" s="227">
        <f t="shared" si="168"/>
        <v>1192</v>
      </c>
      <c r="B1194" s="286">
        <v>46116</v>
      </c>
      <c r="C1194" s="181" t="str">
        <f t="shared" si="167"/>
        <v>MP1192</v>
      </c>
      <c r="D1194" s="496" t="s">
        <v>2268</v>
      </c>
    </row>
    <row r="1195" spans="1:13" hidden="1">
      <c r="A1195" s="227">
        <f t="shared" si="168"/>
        <v>1193</v>
      </c>
      <c r="B1195" s="286">
        <v>46116</v>
      </c>
      <c r="C1195" s="181" t="str">
        <f t="shared" si="167"/>
        <v>MP1193</v>
      </c>
      <c r="D1195" s="496" t="s">
        <v>2269</v>
      </c>
    </row>
    <row r="1196" spans="1:13" hidden="1">
      <c r="A1196" s="227">
        <f t="shared" si="168"/>
        <v>1194</v>
      </c>
      <c r="B1196" s="286">
        <v>46116</v>
      </c>
      <c r="C1196" s="181" t="str">
        <f t="shared" ref="C1196:C1231" si="179">IF(B1196="","",_xlfn.CONCAT("MP",A1196))</f>
        <v>MP1194</v>
      </c>
      <c r="D1196" s="496" t="s">
        <v>2270</v>
      </c>
    </row>
    <row r="1197" spans="1:13" hidden="1">
      <c r="A1197" s="227">
        <f t="shared" si="168"/>
        <v>1195</v>
      </c>
      <c r="B1197" s="286">
        <v>46116</v>
      </c>
      <c r="C1197" s="181" t="str">
        <f t="shared" si="179"/>
        <v>MP1195</v>
      </c>
      <c r="D1197" s="496" t="s">
        <v>2271</v>
      </c>
    </row>
    <row r="1198" spans="1:13" hidden="1">
      <c r="A1198" s="227">
        <f t="shared" si="168"/>
        <v>1196</v>
      </c>
      <c r="B1198" s="286">
        <v>46116</v>
      </c>
      <c r="C1198" s="181" t="str">
        <f t="shared" si="179"/>
        <v>MP1196</v>
      </c>
      <c r="D1198" s="496" t="s">
        <v>2272</v>
      </c>
    </row>
    <row r="1199" spans="1:13" hidden="1">
      <c r="A1199" s="227">
        <f t="shared" si="168"/>
        <v>1197</v>
      </c>
      <c r="B1199" s="286">
        <v>46116</v>
      </c>
      <c r="C1199" s="245" t="str">
        <f t="shared" ref="C1199" si="180">IF(B1199="","",_xlfn.CONCAT("MP0",A1199))</f>
        <v>MP01197</v>
      </c>
      <c r="D1199" s="245" t="s">
        <v>1382</v>
      </c>
      <c r="E1199" s="289">
        <v>300</v>
      </c>
      <c r="F1199" s="289" t="s">
        <v>231</v>
      </c>
      <c r="G1199" s="289">
        <v>365</v>
      </c>
      <c r="H1199" s="315">
        <f t="shared" ref="H1199" si="181">IF(G1199="","",E1199*G1199)</f>
        <v>109500</v>
      </c>
      <c r="I1199" s="245" t="s">
        <v>1344</v>
      </c>
      <c r="J1199" s="245" t="s">
        <v>609</v>
      </c>
      <c r="K1199" s="245" t="s">
        <v>16</v>
      </c>
      <c r="L1199" s="289">
        <v>272</v>
      </c>
    </row>
    <row r="1200" spans="1:13" hidden="1">
      <c r="A1200" s="227">
        <f t="shared" ref="A1200:A1231" si="182">IF(B1200="","",ROW()-2)</f>
        <v>1198</v>
      </c>
      <c r="B1200" s="286">
        <v>46116</v>
      </c>
      <c r="C1200" s="181" t="str">
        <f t="shared" si="179"/>
        <v>MP1198</v>
      </c>
      <c r="D1200" s="496" t="s">
        <v>2273</v>
      </c>
    </row>
    <row r="1201" spans="1:16" hidden="1">
      <c r="A1201" s="227">
        <f t="shared" si="182"/>
        <v>1199</v>
      </c>
      <c r="B1201" s="286">
        <v>46116</v>
      </c>
      <c r="C1201" s="181" t="str">
        <f t="shared" si="179"/>
        <v>MP1199</v>
      </c>
      <c r="D1201" s="245" t="s">
        <v>344</v>
      </c>
      <c r="E1201" s="289">
        <v>250</v>
      </c>
      <c r="F1201" s="289" t="s">
        <v>1695</v>
      </c>
      <c r="G1201" s="289">
        <v>150</v>
      </c>
      <c r="H1201" s="315">
        <f t="shared" ref="H1201" si="183">IF(G1201="","",E1201*G1201)</f>
        <v>37500</v>
      </c>
      <c r="I1201" s="245" t="s">
        <v>125</v>
      </c>
      <c r="J1201" s="245" t="s">
        <v>113</v>
      </c>
      <c r="K1201" s="245" t="s">
        <v>9</v>
      </c>
    </row>
    <row r="1202" spans="1:16" hidden="1">
      <c r="A1202" s="227">
        <f t="shared" si="182"/>
        <v>1200</v>
      </c>
      <c r="B1202" s="286">
        <v>46116</v>
      </c>
      <c r="C1202" s="181" t="str">
        <f t="shared" si="179"/>
        <v>MP1200</v>
      </c>
      <c r="D1202" s="496" t="s">
        <v>2274</v>
      </c>
    </row>
    <row r="1203" spans="1:16" s="210" customFormat="1" hidden="1">
      <c r="A1203" s="264">
        <f t="shared" si="182"/>
        <v>1201</v>
      </c>
      <c r="B1203" s="225">
        <v>46116</v>
      </c>
      <c r="C1203" s="210" t="str">
        <f t="shared" si="179"/>
        <v>MP1201</v>
      </c>
      <c r="D1203" s="209" t="s">
        <v>2275</v>
      </c>
      <c r="E1203" s="385">
        <v>200</v>
      </c>
      <c r="F1203" s="385" t="s">
        <v>1765</v>
      </c>
      <c r="G1203" s="414">
        <v>465</v>
      </c>
      <c r="H1203" s="209">
        <f t="shared" ref="H1203:H1206" si="184">IF(G1203="","",E1203*G1203)</f>
        <v>93000</v>
      </c>
      <c r="I1203" s="209" t="s">
        <v>531</v>
      </c>
      <c r="J1203" s="209" t="s">
        <v>609</v>
      </c>
      <c r="K1203" s="209" t="s">
        <v>4</v>
      </c>
      <c r="L1203" s="264"/>
      <c r="O1203" s="210" t="s">
        <v>135</v>
      </c>
      <c r="P1203" s="320">
        <v>46121</v>
      </c>
    </row>
    <row r="1204" spans="1:16" s="214" customFormat="1" hidden="1">
      <c r="A1204" s="282">
        <f t="shared" si="182"/>
        <v>1202</v>
      </c>
      <c r="B1204" s="286">
        <v>46116</v>
      </c>
      <c r="C1204" s="214" t="str">
        <f t="shared" si="179"/>
        <v>MP1202</v>
      </c>
      <c r="D1204" s="214" t="s">
        <v>1478</v>
      </c>
      <c r="E1204" s="282">
        <v>300</v>
      </c>
      <c r="F1204" s="282">
        <v>182</v>
      </c>
      <c r="G1204" s="282">
        <v>360</v>
      </c>
      <c r="H1204" s="335">
        <f t="shared" si="184"/>
        <v>108000</v>
      </c>
      <c r="I1204" s="214" t="s">
        <v>66</v>
      </c>
      <c r="J1204" s="214" t="s">
        <v>1092</v>
      </c>
      <c r="K1204" s="214" t="s">
        <v>1042</v>
      </c>
      <c r="L1204" s="282"/>
      <c r="O1204" s="214" t="s">
        <v>566</v>
      </c>
      <c r="P1204" s="307">
        <v>46122</v>
      </c>
    </row>
    <row r="1205" spans="1:16" s="214" customFormat="1" hidden="1">
      <c r="A1205" s="282">
        <f t="shared" si="182"/>
        <v>1203</v>
      </c>
      <c r="B1205" s="286">
        <v>46116</v>
      </c>
      <c r="C1205" s="214" t="str">
        <f t="shared" si="179"/>
        <v>MP1203</v>
      </c>
      <c r="D1205" s="214" t="s">
        <v>1549</v>
      </c>
      <c r="E1205" s="282">
        <v>1500</v>
      </c>
      <c r="F1205" s="282">
        <v>350</v>
      </c>
      <c r="G1205" s="282">
        <v>72</v>
      </c>
      <c r="H1205" s="335">
        <f t="shared" si="184"/>
        <v>108000</v>
      </c>
      <c r="I1205" s="214" t="s">
        <v>1550</v>
      </c>
      <c r="J1205" s="214" t="s">
        <v>628</v>
      </c>
      <c r="K1205" s="214" t="s">
        <v>1289</v>
      </c>
      <c r="L1205" s="282"/>
      <c r="N1205" s="214" t="s">
        <v>620</v>
      </c>
      <c r="O1205" s="214" t="s">
        <v>566</v>
      </c>
      <c r="P1205" s="307">
        <v>46119</v>
      </c>
    </row>
    <row r="1206" spans="1:16" s="210" customFormat="1" hidden="1">
      <c r="A1206" s="264">
        <f t="shared" si="182"/>
        <v>1204</v>
      </c>
      <c r="B1206" s="225">
        <v>46121</v>
      </c>
      <c r="C1206" s="210" t="str">
        <f t="shared" si="179"/>
        <v>MP1204</v>
      </c>
      <c r="D1206" s="210" t="s">
        <v>2276</v>
      </c>
      <c r="E1206" s="264">
        <v>200</v>
      </c>
      <c r="F1206" s="264" t="s">
        <v>2277</v>
      </c>
      <c r="G1206" s="264">
        <v>525</v>
      </c>
      <c r="H1206" s="235">
        <f t="shared" si="184"/>
        <v>105000</v>
      </c>
      <c r="I1206" s="210" t="s">
        <v>2278</v>
      </c>
      <c r="J1206" s="210" t="s">
        <v>1092</v>
      </c>
      <c r="K1206" s="210" t="s">
        <v>1442</v>
      </c>
      <c r="L1206" s="264"/>
      <c r="M1206" s="310" t="s">
        <v>2279</v>
      </c>
      <c r="N1206" s="210" t="s">
        <v>620</v>
      </c>
      <c r="O1206" s="210" t="s">
        <v>135</v>
      </c>
      <c r="P1206" s="320">
        <v>46121</v>
      </c>
    </row>
    <row r="1207" spans="1:16" hidden="1">
      <c r="A1207" s="227">
        <f t="shared" si="182"/>
        <v>1205</v>
      </c>
      <c r="B1207" s="285">
        <v>46121</v>
      </c>
      <c r="C1207" s="181" t="str">
        <f t="shared" si="179"/>
        <v>MP1205</v>
      </c>
      <c r="D1207" s="181" t="s">
        <v>2280</v>
      </c>
    </row>
    <row r="1208" spans="1:16" hidden="1">
      <c r="A1208" s="227">
        <f t="shared" si="182"/>
        <v>1206</v>
      </c>
      <c r="B1208" s="285">
        <v>46122</v>
      </c>
      <c r="C1208" s="181" t="str">
        <f t="shared" si="179"/>
        <v>MP1206</v>
      </c>
      <c r="D1208" s="181" t="s">
        <v>2281</v>
      </c>
      <c r="F1208" s="227" t="s">
        <v>2282</v>
      </c>
    </row>
    <row r="1209" spans="1:16" hidden="1">
      <c r="A1209" s="227" t="str">
        <f t="shared" si="182"/>
        <v/>
      </c>
      <c r="C1209" s="181" t="str">
        <f t="shared" si="179"/>
        <v/>
      </c>
    </row>
    <row r="1210" spans="1:16" hidden="1">
      <c r="A1210" s="227" t="str">
        <f t="shared" si="182"/>
        <v/>
      </c>
      <c r="C1210" s="181" t="str">
        <f t="shared" si="179"/>
        <v/>
      </c>
    </row>
    <row r="1211" spans="1:16" hidden="1">
      <c r="A1211" s="227" t="str">
        <f t="shared" si="182"/>
        <v/>
      </c>
      <c r="C1211" s="181" t="str">
        <f t="shared" si="179"/>
        <v/>
      </c>
    </row>
    <row r="1212" spans="1:16" hidden="1">
      <c r="A1212" s="227" t="str">
        <f t="shared" si="182"/>
        <v/>
      </c>
      <c r="C1212" s="181" t="str">
        <f t="shared" si="179"/>
        <v/>
      </c>
    </row>
    <row r="1213" spans="1:16" hidden="1">
      <c r="A1213" s="227" t="str">
        <f t="shared" si="182"/>
        <v/>
      </c>
      <c r="C1213" s="181" t="str">
        <f t="shared" si="179"/>
        <v/>
      </c>
    </row>
    <row r="1214" spans="1:16" hidden="1">
      <c r="A1214" s="227" t="str">
        <f t="shared" si="182"/>
        <v/>
      </c>
      <c r="C1214" s="181" t="str">
        <f t="shared" si="179"/>
        <v/>
      </c>
    </row>
    <row r="1215" spans="1:16" hidden="1">
      <c r="A1215" s="227" t="str">
        <f t="shared" si="182"/>
        <v/>
      </c>
      <c r="C1215" s="181" t="str">
        <f t="shared" si="179"/>
        <v/>
      </c>
    </row>
    <row r="1216" spans="1:16" hidden="1">
      <c r="A1216" s="227" t="str">
        <f t="shared" si="182"/>
        <v/>
      </c>
      <c r="C1216" s="181" t="str">
        <f t="shared" si="179"/>
        <v/>
      </c>
    </row>
    <row r="1217" spans="1:3" hidden="1">
      <c r="A1217" s="227" t="str">
        <f t="shared" si="182"/>
        <v/>
      </c>
      <c r="C1217" s="181" t="str">
        <f t="shared" si="179"/>
        <v/>
      </c>
    </row>
    <row r="1218" spans="1:3" hidden="1">
      <c r="A1218" s="227" t="str">
        <f t="shared" si="182"/>
        <v/>
      </c>
      <c r="C1218" s="181" t="str">
        <f t="shared" si="179"/>
        <v/>
      </c>
    </row>
    <row r="1219" spans="1:3" hidden="1">
      <c r="A1219" s="227" t="str">
        <f t="shared" si="182"/>
        <v/>
      </c>
      <c r="C1219" s="181" t="str">
        <f t="shared" si="179"/>
        <v/>
      </c>
    </row>
    <row r="1220" spans="1:3" hidden="1">
      <c r="A1220" s="227" t="str">
        <f t="shared" si="182"/>
        <v/>
      </c>
      <c r="C1220" s="181" t="str">
        <f t="shared" si="179"/>
        <v/>
      </c>
    </row>
    <row r="1221" spans="1:3" hidden="1">
      <c r="A1221" s="227" t="str">
        <f t="shared" si="182"/>
        <v/>
      </c>
      <c r="C1221" s="181" t="str">
        <f t="shared" si="179"/>
        <v/>
      </c>
    </row>
    <row r="1222" spans="1:3" hidden="1">
      <c r="A1222" s="227" t="str">
        <f t="shared" si="182"/>
        <v/>
      </c>
      <c r="C1222" s="181" t="str">
        <f t="shared" si="179"/>
        <v/>
      </c>
    </row>
    <row r="1223" spans="1:3" hidden="1">
      <c r="A1223" s="227" t="str">
        <f t="shared" si="182"/>
        <v/>
      </c>
      <c r="C1223" s="181" t="str">
        <f t="shared" si="179"/>
        <v/>
      </c>
    </row>
    <row r="1224" spans="1:3" hidden="1">
      <c r="A1224" s="227" t="str">
        <f t="shared" si="182"/>
        <v/>
      </c>
      <c r="C1224" s="181" t="str">
        <f t="shared" si="179"/>
        <v/>
      </c>
    </row>
    <row r="1225" spans="1:3" hidden="1">
      <c r="A1225" s="227" t="str">
        <f t="shared" si="182"/>
        <v/>
      </c>
      <c r="C1225" s="181" t="str">
        <f t="shared" si="179"/>
        <v/>
      </c>
    </row>
    <row r="1226" spans="1:3" hidden="1">
      <c r="A1226" s="227" t="str">
        <f t="shared" si="182"/>
        <v/>
      </c>
      <c r="C1226" s="181" t="str">
        <f t="shared" si="179"/>
        <v/>
      </c>
    </row>
    <row r="1227" spans="1:3" hidden="1">
      <c r="A1227" s="227" t="str">
        <f t="shared" si="182"/>
        <v/>
      </c>
      <c r="C1227" s="181" t="str">
        <f t="shared" si="179"/>
        <v/>
      </c>
    </row>
    <row r="1228" spans="1:3" hidden="1">
      <c r="A1228" s="227" t="str">
        <f t="shared" si="182"/>
        <v/>
      </c>
      <c r="C1228" s="181" t="str">
        <f t="shared" si="179"/>
        <v/>
      </c>
    </row>
    <row r="1229" spans="1:3" hidden="1">
      <c r="A1229" s="227" t="str">
        <f t="shared" si="182"/>
        <v/>
      </c>
      <c r="C1229" s="181" t="str">
        <f t="shared" si="179"/>
        <v/>
      </c>
    </row>
    <row r="1230" spans="1:3" hidden="1">
      <c r="A1230" s="227" t="str">
        <f t="shared" si="182"/>
        <v/>
      </c>
      <c r="C1230" s="181" t="str">
        <f t="shared" si="179"/>
        <v/>
      </c>
    </row>
    <row r="1231" spans="1:3" hidden="1">
      <c r="A1231" s="227" t="str">
        <f t="shared" si="182"/>
        <v/>
      </c>
      <c r="C1231" s="181" t="str">
        <f t="shared" si="179"/>
        <v/>
      </c>
    </row>
    <row r="1048554" spans="1:19" hidden="1">
      <c r="A1048554" s="395"/>
      <c r="B1048554" s="396"/>
      <c r="C1048554" s="397"/>
      <c r="D1048554" s="397"/>
      <c r="E1048554" s="398"/>
      <c r="F1048554" s="398"/>
      <c r="G1048554" s="398"/>
      <c r="H1048554" s="397"/>
      <c r="I1048554" s="397"/>
      <c r="J1048554" s="397"/>
      <c r="K1048554" s="397"/>
      <c r="L1048554" s="398"/>
      <c r="M1048554" s="397"/>
      <c r="N1048554" s="397"/>
      <c r="O1048554" s="397"/>
      <c r="P1048554" s="399"/>
      <c r="Q1048554" s="397"/>
      <c r="R1048554" s="400"/>
    </row>
    <row r="1048555" spans="1:19" hidden="1">
      <c r="A1048555" s="395"/>
      <c r="B1048555" s="396"/>
      <c r="C1048555" s="397"/>
      <c r="D1048555" s="397"/>
      <c r="E1048555" s="398"/>
      <c r="F1048555" s="398"/>
      <c r="G1048555" s="398"/>
      <c r="H1048555" s="397"/>
      <c r="I1048555" s="397"/>
      <c r="J1048555" s="397"/>
      <c r="K1048555" s="397"/>
      <c r="L1048555" s="398"/>
      <c r="M1048555" s="397"/>
      <c r="N1048555" s="397"/>
      <c r="O1048555" s="397"/>
      <c r="P1048555" s="399"/>
      <c r="Q1048555" s="397"/>
      <c r="R1048555" s="400"/>
    </row>
    <row r="1048556" spans="1:19" hidden="1">
      <c r="A1048556" s="395"/>
      <c r="B1048556" s="396"/>
      <c r="C1048556" s="397"/>
      <c r="D1048556" s="397"/>
      <c r="E1048556" s="398"/>
      <c r="F1048556" s="398"/>
      <c r="G1048556" s="398"/>
      <c r="H1048556" s="397"/>
      <c r="I1048556" s="397"/>
      <c r="J1048556" s="397"/>
      <c r="K1048556" s="397"/>
      <c r="L1048556" s="398"/>
      <c r="M1048556" s="397"/>
      <c r="N1048556" s="397"/>
      <c r="O1048556" s="397"/>
      <c r="P1048556" s="399"/>
      <c r="Q1048556" s="439"/>
      <c r="R1048556" s="400"/>
    </row>
    <row r="1048557" spans="1:19" hidden="1">
      <c r="A1048557" s="395"/>
      <c r="B1048557" s="396"/>
      <c r="C1048557" s="397"/>
      <c r="D1048557" s="397"/>
      <c r="E1048557" s="398"/>
      <c r="F1048557" s="398"/>
      <c r="G1048557" s="398"/>
      <c r="H1048557" s="397"/>
      <c r="I1048557" s="397"/>
      <c r="J1048557" s="397"/>
      <c r="K1048557" s="397"/>
      <c r="L1048557" s="398"/>
      <c r="M1048557" s="397"/>
      <c r="N1048557" s="397"/>
      <c r="O1048557" s="397"/>
      <c r="P1048557" s="399"/>
      <c r="Q1048557" s="439"/>
      <c r="R1048557" s="400"/>
      <c r="S1048557" s="397"/>
    </row>
    <row r="1048558" spans="1:19">
      <c r="B1048558" s="396"/>
      <c r="Q1048558" s="411"/>
    </row>
    <row r="1048559" spans="1:19">
      <c r="Q1048559" s="411"/>
    </row>
    <row r="1048560" spans="1:19">
      <c r="Q1048560" s="218"/>
    </row>
    <row r="1048561" spans="17:17">
      <c r="Q1048561" s="411"/>
    </row>
    <row r="1048562" spans="17:17">
      <c r="Q1048562" s="411"/>
    </row>
    <row r="1048563" spans="17:17">
      <c r="Q1048563" s="411"/>
    </row>
    <row r="1048564" spans="17:17">
      <c r="Q1048564" s="411"/>
    </row>
    <row r="1048565" spans="17:17">
      <c r="Q1048565" s="411"/>
    </row>
    <row r="1048566" spans="17:17">
      <c r="Q1048566" s="411"/>
    </row>
    <row r="1048567" spans="17:17">
      <c r="Q1048567" s="411"/>
    </row>
    <row r="1048568" spans="17:17">
      <c r="Q1048568" s="411"/>
    </row>
    <row r="1048569" spans="17:17">
      <c r="Q1048569" s="411"/>
    </row>
    <row r="1048570" spans="17:17">
      <c r="Q1048570" s="411"/>
    </row>
    <row r="1048571" spans="17:17">
      <c r="Q1048571" s="411"/>
    </row>
    <row r="1048572" spans="17:17">
      <c r="Q1048572" s="411"/>
    </row>
    <row r="1048573" spans="17:17">
      <c r="Q1048573" s="411"/>
    </row>
    <row r="1048574" spans="17:17"/>
    <row r="1048575" spans="17:17"/>
    <row r="1048576" spans="17:17"/>
  </sheetData>
  <phoneticPr fontId="2" type="noConversion"/>
  <hyperlinks>
    <hyperlink ref="L806" r:id="rId1" xr:uid="{D21A8A2D-8266-49BA-A54A-CC9308B708A8}"/>
  </hyperlinks>
  <pageMargins left="0.42" right="0.2" top="0.75" bottom="0.75" header="0.3" footer="0.3"/>
  <pageSetup scale="90" orientation="landscape"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667E9958-361B-4257-A0B4-9E4FF6399820}">
          <x14:formula1>
            <xm:f>List!$A$1:$A$20</xm:f>
          </x14:formula1>
          <xm:sqref>O301:O304 O307 O640:O663 O314:O318 O309:O310 O331 O625:O636 O364:O365 O393:O397 O734:O737 O399:O402 O299 O380:O387 O325:O329 O441:O446 O456 O459:O464 O476:O478 O473:O474 O482 O427 O503:O505 O374:O375 O794 O688:O690 O516:O521 O573:O598 O507:O514 O413:O425 O709:O715 O436:O437 O699:O701 O665:O679 O320:O323 O434 O695:O697 O919:O926 O523:O571 O333:O362 O1112:O1143 O811:O815 O600:O623 O974:O996 O1023:O1026 O720:O731 O817:O824 O486:O501 O858:O870 O739:O750 O850:O856 O773:O787 O796:O807 O917 O753:O771 O843:O848 O1035 O1175:O1181 O826:O841 O1028:O1031 O1037:O1058 O905:O915 O931:O972 O999:O1020 O873:O901 O1109:O1110 O1145:O1152 O1184:O1048576 O1060:O1107 O1154:O1173</xm:sqref>
        </x14:dataValidation>
        <x14:dataValidation type="list" allowBlank="1" showInputMessage="1" showErrorMessage="1" xr:uid="{532646EE-C7E5-4B87-A751-D8BAA1743E8A}">
          <x14:formula1>
            <xm:f>List!$D$2:$D$1048576</xm:f>
          </x14:formula1>
          <xm:sqref>K298:K312 K314:K318 K320:K327 K331:K365 K367:K368 K374 K376 K378:K379 K381:K387 K395:K402 K404 K413:K421 K423:K427 K429:K431 K433:K437 K441:K446 K448:K454 K507:K514 K466 K470 K476:K478 K473:K474 K481:K501 K503 K458:K464 K516:K523 K618:K636 K600:K606 K641:K651 K613:K616 K653:K663 K525:K569 K571 K573:K576 K665:K676 K578:K591 K593:K598 K608:K611 K678:K679 K682:K683 K685 K689 K701 K707 K709:K710 K705 K713:K715 K718 K720:K724 K726:K732 K734:K737 K796:K800 K755:K762 K764 K766:K771 K773:K775 K777:K778 K781:K787 K793:K794 K739:K753 K790:K791 K804:K807 K809:K815 K817:K824 K837 K839:K840 K826:K835 K842:K844 K850:K856 K858:K867 K869:K870 K873 K878:K884 K886:K901 K904:K910 K912:K915 K917 K919:K926 K931:K939 K942:K944 K946:K960 K963:K964 K968:K971 K973:K974 K977:K990 K992 K994:K995 K998 K1000:K1018 K1060:K1063 K1020 K1065:K1075 K1024:K1026 K1028:K1029 K1081:K1082 K1031 K1033:K1035 K1037:K1038 K1042:K1044 K1046:K1047 K699 K1056:K1058 K1085:K1086 K1088:K1090 K1078:K1079 K1115:K1116 K1093:K1094 K1096 K1100:K1103 K1106:K1107 K1110 K1112:K1113 K1118:K1142 K1145:K1147 K1149 K1151 K1189:K1202 K1154 K1050:K1053 K1175:K1181 K1156:K1158 K1184:K1185 K1204:K1048576 K1168:K1169 K1172:K1173 K1161:K1166</xm:sqref>
        </x14:dataValidation>
        <x14:dataValidation type="list" allowBlank="1" showInputMessage="1" showErrorMessage="1" xr:uid="{40116141-F1ED-4A3D-8232-7947A1033D0E}">
          <x14:formula1>
            <xm:f>List!$D$2:$D$280</xm:f>
          </x14:formula1>
          <xm:sqref>K3:K115 K117:K297 K313 K319 K328:K330 K366 K369:K373 K375 K377 K380 K388:K394 K403 K405:K412 K428 K432 K438:K440 K447 K455:K457 K465 K467:K469 K471:K472 K479:K480 K475 K502 K504:K506 K515 K524 K637:K640 K612 K652 K617 K664 K570 K572 K577 K677 K592 K599 K607 K680:K681 K684 K690:K694 K1054:K1055 K711:K712 K708 K686:K688 K702:K704 K706 K716:K717 K719 K725 K733 K738 K754 K763 K765 K772 K776 K795 K779:K780 K788:K789 K792:K793 K808 K816 K825 K838 K841 K836 K845:K849 K857 K868 K871:K872 K874:K877 K885 K902:K903 K911 K916 K918 K927:K930 K940:K941 K945 K961:K962 K965:K967 K972 K975:K976 K991 K993 K996:K997 K999 K1019 K1059 K1021:K1023 K1036:K1037 K1080 K1027 K1030 K1083:K1084 K1032 K1039:K1040 K1045 K1048:K1049 K696:K698 K700 K1087 K1091:K1092 K1076:K1077 K1117 K1095 K1097:K1099 K1104:K1105 K1108:K1109 K1111 K1114 K1143:K1144 K1148:K1150 K1152:K1153 K1203 K1155 K1174 K1182:K1183 K1159:K1160 K1186:K1188 K1167 K1170:K1171</xm:sqref>
        </x14:dataValidation>
        <x14:dataValidation type="list" allowBlank="1" showInputMessage="1" showErrorMessage="1" xr:uid="{ADFC824D-B8E9-43EF-9FDD-47D542FD5D12}">
          <x14:formula1>
            <xm:f>List!$A$1:$A$10</xm:f>
          </x14:formula1>
          <xm:sqref>O300 O332 O305:O306 O308 O319 O330 O3:O115 O366:O373 O376:O379 O403:O412 O398 O691:O694 O388:O392 O428:O433 O438:O440 O457:O458 O465:O472 O479:O481 O624 O475 O483:O485 O502 O515 O506 O637:O639 O664 O572 O599 O522 O447:O455 O927:O930 O698 O716:O719 O117:O298 O311:O313 O324 O435 O680:O687 O732:O733 O738 O363 O426 O772 O795 O808:O810 O788:O793 O816 O825 O849 O857 O751:O752 O871:O872 O902:O904 O916 O918 O702:O708 O997:O998 O1059 O1021:O1022 O842 O1027 O1032:O1034 O1036 O973 O1108 O1144 O1111 O1153 O1182:O1183 O1174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16DA1-CA3B-44F7-A420-485BB8A0A15D}">
  <dimension ref="A1:M117"/>
  <sheetViews>
    <sheetView workbookViewId="0">
      <pane xSplit="4" ySplit="1" topLeftCell="E92" activePane="bottomRight" state="frozen"/>
      <selection pane="bottomRight" activeCell="E112" sqref="E112"/>
      <selection pane="bottomLeft"/>
      <selection pane="topRight"/>
    </sheetView>
  </sheetViews>
  <sheetFormatPr defaultColWidth="15.5703125" defaultRowHeight="15"/>
  <cols>
    <col min="2" max="2" width="22.140625" bestFit="1" customWidth="1"/>
    <col min="3" max="3" width="19.42578125" bestFit="1" customWidth="1"/>
    <col min="6" max="6" width="89.5703125" style="430" bestFit="1" customWidth="1"/>
    <col min="9" max="9" width="27" customWidth="1"/>
  </cols>
  <sheetData>
    <row r="1" spans="1:13">
      <c r="A1" t="s">
        <v>2283</v>
      </c>
      <c r="B1" t="s">
        <v>2284</v>
      </c>
      <c r="C1" t="s">
        <v>2285</v>
      </c>
      <c r="D1" t="s">
        <v>2286</v>
      </c>
      <c r="E1" t="s">
        <v>2287</v>
      </c>
      <c r="F1" s="430" t="s">
        <v>2288</v>
      </c>
      <c r="G1" t="s">
        <v>2289</v>
      </c>
      <c r="H1" t="s">
        <v>2290</v>
      </c>
      <c r="I1" t="s">
        <v>40</v>
      </c>
      <c r="J1" t="s">
        <v>44</v>
      </c>
      <c r="K1" t="s">
        <v>2291</v>
      </c>
      <c r="L1" t="s">
        <v>2292</v>
      </c>
      <c r="M1" t="s">
        <v>2293</v>
      </c>
    </row>
    <row r="2" spans="1:13">
      <c r="A2">
        <f>ROW()-1</f>
        <v>1</v>
      </c>
      <c r="B2" s="354" t="str">
        <f>VLOOKUP(E2,Moulins!C:Q,2,FALSE)</f>
        <v>Respijack-L SYP. 60 ML</v>
      </c>
      <c r="C2" t="s">
        <v>2294</v>
      </c>
      <c r="D2">
        <v>12</v>
      </c>
      <c r="E2" t="s">
        <v>2295</v>
      </c>
      <c r="F2" s="430" t="str">
        <f>VLOOKUP(E2,Moulins!C:Q,7,FALSE)</f>
        <v>60mL with Carton, Composition Levocetrizine Dihydrochloride 2.5 mg + Montelukast 4mg/5ml</v>
      </c>
      <c r="G2">
        <f>VLOOKUP(E2,Moulins!C:Q,5,FALSE)</f>
        <v>10.5</v>
      </c>
      <c r="H2">
        <f>VLOOKUP(E2,Moulins!C:Q,3,FALSE)</f>
        <v>3000</v>
      </c>
      <c r="I2" t="str">
        <f>VLOOKUP(E2,Moulins!C:Q,9,FALSE)</f>
        <v>SHUBHAM HEALTHCARE</v>
      </c>
      <c r="J2" t="s">
        <v>55</v>
      </c>
      <c r="K2" s="354">
        <f>VLOOKUP(E2,Moulins!C:Q,14,FALSE)</f>
        <v>46109</v>
      </c>
      <c r="L2">
        <f ca="1">VLOOKUP(E2,Moulins!C:Q,15,FALSE)</f>
        <v>16</v>
      </c>
      <c r="M2">
        <f>VLOOKUP(E2,Moulins!C:Q,6,FALSE)</f>
        <v>31500</v>
      </c>
    </row>
    <row r="3" spans="1:13">
      <c r="A3">
        <f t="shared" ref="A3:A66" si="0">ROW()-1</f>
        <v>2</v>
      </c>
      <c r="B3" s="354" t="str">
        <f>VLOOKUP(E3,Moulins!C:Q,2,FALSE)</f>
        <v xml:space="preserve">PODOJIYO--50 DRY SYP </v>
      </c>
      <c r="C3" t="s">
        <v>2294</v>
      </c>
      <c r="D3">
        <v>15.5</v>
      </c>
      <c r="E3" t="s">
        <v>2296</v>
      </c>
      <c r="F3" s="430" t="str">
        <f>VLOOKUP(E3,Moulins!C:Q,7,FALSE)</f>
        <v>30ml with sterile water Composition Cefpodoxime (hdpe bottle + water)</v>
      </c>
      <c r="G3">
        <f>VLOOKUP(E3,Moulins!C:Q,5,FALSE)</f>
        <v>14</v>
      </c>
      <c r="H3">
        <f>VLOOKUP(E3,Moulins!C:Q,3,FALSE)</f>
        <v>2000</v>
      </c>
      <c r="I3" t="str">
        <f>VLOOKUP(E3,Moulins!C:Q,9,FALSE)</f>
        <v>SHUBHAM HEALTHCARE</v>
      </c>
      <c r="J3" t="str">
        <f>VLOOKUP(E3,Moulins!C:Q,13,FALSE)</f>
        <v>Received</v>
      </c>
      <c r="K3" s="354">
        <f>VLOOKUP(E3,Moulins!C:Q,14,FALSE)</f>
        <v>46088</v>
      </c>
      <c r="L3">
        <f ca="1">VLOOKUP(E3,Moulins!C:Q,15,FALSE)</f>
        <v>37</v>
      </c>
      <c r="M3">
        <f>VLOOKUP(E3,Moulins!C:Q,6,FALSE)</f>
        <v>28000</v>
      </c>
    </row>
    <row r="4" spans="1:13" ht="30">
      <c r="A4">
        <f t="shared" si="0"/>
        <v>3</v>
      </c>
      <c r="B4" s="354" t="str">
        <f>VLOOKUP(E4,Moulins!C:Q,2,FALSE)</f>
        <v>Kufjao Junior</v>
      </c>
      <c r="C4" t="s">
        <v>2294</v>
      </c>
      <c r="D4">
        <v>11.25</v>
      </c>
      <c r="E4" t="s">
        <v>2297</v>
      </c>
      <c r="F4" s="430" t="str">
        <f>VLOOKUP(E4,Moulins!C:Q,7,FALSE)</f>
        <v xml:space="preserve">(60ml with carton) Composition: Ambroxol HCL 15 mg + Guaiphenesin 50 mg &amp; Levosalbutamol Sulphate 0.5 mg </v>
      </c>
      <c r="G4">
        <f>VLOOKUP(E4,Moulins!C:Q,5,FALSE)</f>
        <v>9.75</v>
      </c>
      <c r="H4">
        <f>VLOOKUP(E4,Moulins!C:Q,3,FALSE)</f>
        <v>3000</v>
      </c>
      <c r="I4" t="str">
        <f>VLOOKUP(E4,Moulins!C:Q,9,FALSE)</f>
        <v>SHUBHAM HEALTHCARE</v>
      </c>
      <c r="J4" t="str">
        <f>VLOOKUP(E4,Moulins!C:Q,13,FALSE)</f>
        <v>Received</v>
      </c>
      <c r="K4" s="354">
        <f>VLOOKUP(E4,Moulins!C:Q,14,FALSE)</f>
        <v>46088</v>
      </c>
      <c r="L4">
        <f ca="1">VLOOKUP(E4,Moulins!C:Q,15,FALSE)</f>
        <v>37</v>
      </c>
      <c r="M4">
        <f>VLOOKUP(E4,Moulins!C:Q,6,FALSE)</f>
        <v>29250</v>
      </c>
    </row>
    <row r="5" spans="1:13" ht="30">
      <c r="A5">
        <f t="shared" si="0"/>
        <v>4</v>
      </c>
      <c r="B5" s="354" t="str">
        <f>VLOOKUP(E5,Moulins!C:Q,2,FALSE)</f>
        <v>JiyoFolic-FZ</v>
      </c>
      <c r="C5" t="s">
        <v>2294</v>
      </c>
      <c r="D5">
        <v>17.5</v>
      </c>
      <c r="E5" t="s">
        <v>2298</v>
      </c>
      <c r="F5" s="430" t="str">
        <f>VLOOKUP(E5,Moulins!C:Q,7,FALSE)</f>
        <v>200mL with carton Composition: Ferrous Ascorbate 100 mg + Folic Acid 1.5 mg + Cyanocobalamin 15 mcg + Zinc Sulphate 22.5 mg</v>
      </c>
      <c r="G5">
        <f>VLOOKUP(E5,Moulins!C:Q,5,FALSE)</f>
        <v>16</v>
      </c>
      <c r="H5">
        <f>VLOOKUP(E5,Moulins!C:Q,3,FALSE)</f>
        <v>1200</v>
      </c>
      <c r="I5" t="str">
        <f>VLOOKUP(E5,Moulins!C:Q,9,FALSE)</f>
        <v>RUZETTE ORGANICS</v>
      </c>
      <c r="J5" t="str">
        <f>VLOOKUP(E5,Moulins!C:Q,13,FALSE)</f>
        <v>Received</v>
      </c>
      <c r="K5" s="354">
        <f>VLOOKUP(E5,Moulins!C:Q,14,FALSE)</f>
        <v>46088</v>
      </c>
      <c r="L5">
        <f ca="1">VLOOKUP(E5,Moulins!C:Q,15,FALSE)</f>
        <v>37</v>
      </c>
      <c r="M5">
        <f>VLOOKUP(E5,Moulins!C:Q,6,FALSE)</f>
        <v>19200</v>
      </c>
    </row>
    <row r="6" spans="1:13">
      <c r="A6">
        <f t="shared" si="0"/>
        <v>5</v>
      </c>
      <c r="B6" s="354" t="str">
        <f>VLOOKUP(E6,Moulins!C:Q,2,FALSE)</f>
        <v>AMOXCET CV DRY SYP</v>
      </c>
      <c r="C6" t="s">
        <v>2294</v>
      </c>
      <c r="D6">
        <v>19</v>
      </c>
      <c r="E6" t="s">
        <v>2299</v>
      </c>
      <c r="F6" s="430" t="str">
        <f>VLOOKUP(E6,Moulins!C:Q,7,FALSE)</f>
        <v xml:space="preserve">30ml with sterile water (HDPE) Composition: Amoxycillin Clavulanate Syrup </v>
      </c>
      <c r="G6">
        <f>VLOOKUP(E6,Moulins!C:Q,5,FALSE)</f>
        <v>16.5</v>
      </c>
      <c r="H6">
        <f>VLOOKUP(E6,Moulins!C:Q,3,FALSE)</f>
        <v>3000</v>
      </c>
      <c r="I6" t="str">
        <f>VLOOKUP(E6,Moulins!C:Q,9,FALSE)</f>
        <v>POLESTAR</v>
      </c>
      <c r="J6" t="str">
        <f>VLOOKUP(E6,Moulins!C:Q,13,FALSE)</f>
        <v>Received</v>
      </c>
      <c r="K6" s="354">
        <f>VLOOKUP(E6,Moulins!C:Q,14,FALSE)</f>
        <v>46088</v>
      </c>
      <c r="L6">
        <f ca="1">VLOOKUP(E6,Moulins!C:Q,15,FALSE)</f>
        <v>37</v>
      </c>
      <c r="M6">
        <f>VLOOKUP(E6,Moulins!C:Q,6,FALSE)</f>
        <v>49500</v>
      </c>
    </row>
    <row r="7" spans="1:13">
      <c r="A7">
        <f t="shared" si="0"/>
        <v>6</v>
      </c>
      <c r="B7" s="354" t="str">
        <f>VLOOKUP(E7,Moulins!C:Q,2,FALSE)</f>
        <v>Jiyomik-250</v>
      </c>
      <c r="C7" t="s">
        <v>2294</v>
      </c>
      <c r="D7">
        <v>10.25</v>
      </c>
      <c r="E7" t="s">
        <v>2300</v>
      </c>
      <c r="F7" s="430" t="str">
        <f>VLOOKUP(E7,Moulins!C:Q,7,FALSE)</f>
        <v>2mL Composition: Amikacin 250 mg</v>
      </c>
      <c r="G7">
        <f>VLOOKUP(E7,Moulins!C:Q,5,FALSE)</f>
        <v>9</v>
      </c>
      <c r="H7">
        <f>VLOOKUP(E7,Moulins!C:Q,3,FALSE)</f>
        <v>5000</v>
      </c>
      <c r="I7" t="str">
        <f>VLOOKUP(E7,Moulins!C:Q,9,FALSE)</f>
        <v>Smayan</v>
      </c>
      <c r="J7" t="str">
        <f>VLOOKUP(E7,Moulins!C:Q,13,FALSE)</f>
        <v>Received</v>
      </c>
      <c r="K7" s="354">
        <f>VLOOKUP(E7,Moulins!C:Q,14,FALSE)</f>
        <v>46118</v>
      </c>
      <c r="L7">
        <f ca="1">VLOOKUP(E7,Moulins!C:Q,15,FALSE)</f>
        <v>7</v>
      </c>
      <c r="M7">
        <f>VLOOKUP(E7,Moulins!C:Q,6,FALSE)</f>
        <v>45000</v>
      </c>
    </row>
    <row r="8" spans="1:13" ht="30">
      <c r="A8">
        <f t="shared" si="0"/>
        <v>7</v>
      </c>
      <c r="B8" s="354" t="str">
        <f>VLOOKUP(E8,Moulins!C:Q,2,FALSE)</f>
        <v>Kufjao-AL Drops</v>
      </c>
      <c r="C8" t="s">
        <v>2294</v>
      </c>
      <c r="D8">
        <v>12</v>
      </c>
      <c r="E8" t="s">
        <v>2301</v>
      </c>
      <c r="F8" s="430" t="str">
        <f>VLOOKUP(E8,Moulins!C:Q,7,FALSE)</f>
        <v>30mL with Carton, Composition: Ambroxol Hydrochloride 7.5 mg, Levosalbutamol Sulphate 0.25 mg &amp; Guaiphenesin 12.5 mg Drops</v>
      </c>
      <c r="G8">
        <f>VLOOKUP(E8,Moulins!C:Q,5,FALSE)</f>
        <v>9.5</v>
      </c>
      <c r="H8">
        <f>VLOOKUP(E8,Moulins!C:Q,3,FALSE)</f>
        <v>2000</v>
      </c>
      <c r="I8" t="str">
        <f>VLOOKUP(E8,Moulins!C:Q,9,FALSE)</f>
        <v>RUZETTE ORGANICS</v>
      </c>
      <c r="J8" t="s">
        <v>55</v>
      </c>
      <c r="K8" s="354">
        <f>VLOOKUP(E8,Moulins!C:Q,14,FALSE)</f>
        <v>46096</v>
      </c>
      <c r="L8">
        <f ca="1">VLOOKUP(E8,Moulins!C:Q,15,FALSE)</f>
        <v>29</v>
      </c>
      <c r="M8">
        <f>VLOOKUP(E8,Moulins!C:Q,6,FALSE)</f>
        <v>19000</v>
      </c>
    </row>
    <row r="9" spans="1:13">
      <c r="A9">
        <f t="shared" si="0"/>
        <v>8</v>
      </c>
      <c r="B9" s="354" t="str">
        <f>VLOOKUP(E9,Moulins!C:Q,2,FALSE)</f>
        <v>JiyoRelief-L</v>
      </c>
      <c r="C9" t="s">
        <v>2294</v>
      </c>
      <c r="D9">
        <v>8</v>
      </c>
      <c r="E9" t="s">
        <v>2302</v>
      </c>
      <c r="F9" s="430" t="str">
        <f>VLOOKUP(E9,Moulins!C:Q,7,FALSE)</f>
        <v>5mL, Composition: Clotrimazole 1% + Lignocaine HCL 2%</v>
      </c>
      <c r="G9">
        <f>VLOOKUP(E9,Moulins!C:Q,5,FALSE)</f>
        <v>6.5</v>
      </c>
      <c r="H9">
        <f>VLOOKUP(E9,Moulins!C:Q,3,FALSE)</f>
        <v>3000</v>
      </c>
      <c r="I9" t="str">
        <f>VLOOKUP(E9,Moulins!C:Q,9,FALSE)</f>
        <v>Vellinton Healthcare</v>
      </c>
      <c r="J9" t="str">
        <f>VLOOKUP(E9,Moulins!C:Q,13,FALSE)</f>
        <v>Received</v>
      </c>
      <c r="K9" s="354">
        <f>VLOOKUP(E9,Moulins!C:Q,14,FALSE)</f>
        <v>46094</v>
      </c>
      <c r="L9">
        <f ca="1">VLOOKUP(E9,Moulins!C:Q,15,FALSE)</f>
        <v>31</v>
      </c>
      <c r="M9">
        <f>VLOOKUP(E9,Moulins!C:Q,6,FALSE)</f>
        <v>19500</v>
      </c>
    </row>
    <row r="10" spans="1:13">
      <c r="A10">
        <f t="shared" si="0"/>
        <v>9</v>
      </c>
      <c r="B10" s="354" t="str">
        <f>VLOOKUP(E10,Moulins!C:Q,2,FALSE)</f>
        <v>PODOJIYO-100</v>
      </c>
      <c r="C10" t="s">
        <v>2294</v>
      </c>
      <c r="D10">
        <v>19.8</v>
      </c>
      <c r="E10" t="s">
        <v>2303</v>
      </c>
      <c r="F10" s="430" t="str">
        <f>VLOOKUP(E10,Moulins!C:Q,7,FALSE)</f>
        <v xml:space="preserve">30ml with sterile water (HDPE Bottle, Composiiton: Cefpodoxime Proxetil 100 mg/5ml  </v>
      </c>
      <c r="G10">
        <f>VLOOKUP(E10,Moulins!C:Q,5,FALSE)</f>
        <v>18</v>
      </c>
      <c r="H10">
        <f>VLOOKUP(E10,Moulins!C:Q,3,FALSE)</f>
        <v>2000</v>
      </c>
      <c r="I10" t="str">
        <f>VLOOKUP(E10,Moulins!C:Q,9,FALSE)</f>
        <v>SHUBHAM HEALTHCARE</v>
      </c>
      <c r="J10" t="str">
        <f>VLOOKUP(E10,Moulins!C:Q,13,FALSE)</f>
        <v>Received</v>
      </c>
      <c r="K10" s="354">
        <f>VLOOKUP(E10,Moulins!C:Q,14,FALSE)</f>
        <v>46088</v>
      </c>
      <c r="L10">
        <f ca="1">VLOOKUP(E10,Moulins!C:Q,15,FALSE)</f>
        <v>37</v>
      </c>
      <c r="M10">
        <f>VLOOKUP(E10,Moulins!C:Q,6,FALSE)</f>
        <v>36000</v>
      </c>
    </row>
    <row r="11" spans="1:13">
      <c r="A11">
        <f t="shared" si="0"/>
        <v>10</v>
      </c>
      <c r="B11" s="354" t="str">
        <f>VLOOKUP(E11,Moulins!C:Q,2,FALSE)</f>
        <v>Flujiyo-LC</v>
      </c>
      <c r="C11" t="s">
        <v>2294</v>
      </c>
      <c r="D11">
        <v>11.5</v>
      </c>
      <c r="E11" t="s">
        <v>2304</v>
      </c>
      <c r="F11" s="430" t="str">
        <f>VLOOKUP(E11,Moulins!C:Q,7,FALSE)</f>
        <v>60mL with carton, Composition: PARACETAMOL 250MG + PPH 5MG + CPM 2MG</v>
      </c>
      <c r="G11">
        <f>VLOOKUP(E11,Moulins!C:Q,5,FALSE)</f>
        <v>9</v>
      </c>
      <c r="H11">
        <f>VLOOKUP(E11,Moulins!C:Q,3,FALSE)</f>
        <v>3000</v>
      </c>
      <c r="I11" t="str">
        <f>VLOOKUP(E11,Moulins!C:Q,9,FALSE)</f>
        <v>SHUBHAM HEALTHCARE</v>
      </c>
      <c r="J11" t="s">
        <v>55</v>
      </c>
      <c r="K11" s="354">
        <f>VLOOKUP(E11,Moulins!C:Q,14,FALSE)</f>
        <v>46109</v>
      </c>
      <c r="L11">
        <f ca="1">VLOOKUP(E11,Moulins!C:Q,15,FALSE)</f>
        <v>16</v>
      </c>
      <c r="M11">
        <f>VLOOKUP(E11,Moulins!C:Q,6,FALSE)</f>
        <v>27000</v>
      </c>
    </row>
    <row r="12" spans="1:13">
      <c r="A12">
        <f t="shared" si="0"/>
        <v>11</v>
      </c>
      <c r="B12" s="354" t="str">
        <f>VLOOKUP(E12,Moulins!C:Q,2,FALSE)</f>
        <v>NimJiyo-P</v>
      </c>
      <c r="C12" t="s">
        <v>2294</v>
      </c>
      <c r="D12">
        <v>85</v>
      </c>
      <c r="E12" t="s">
        <v>2305</v>
      </c>
      <c r="F12" s="430" t="str">
        <f>VLOOKUP(E12,Moulins!C:Q,7,FALSE)</f>
        <v xml:space="preserve">(20*10 blister) Composition: Nimesulide 100 mg + Paracetamol 325 mg </v>
      </c>
      <c r="G12">
        <f>VLOOKUP(E12,Moulins!C:Q,5,FALSE)</f>
        <v>58</v>
      </c>
      <c r="H12">
        <f>VLOOKUP(E12,Moulins!C:Q,3,FALSE)</f>
        <v>500</v>
      </c>
      <c r="I12" t="str">
        <f>VLOOKUP(E12,Moulins!C:Q,9,FALSE)</f>
        <v>Altar Sri</v>
      </c>
      <c r="J12" t="str">
        <f>VLOOKUP(E12,Moulins!C:Q,13,FALSE)</f>
        <v>Received</v>
      </c>
      <c r="K12" s="354">
        <f>VLOOKUP(E12,Moulins!C:Q,14,FALSE)</f>
        <v>46082</v>
      </c>
      <c r="L12">
        <f ca="1">VLOOKUP(E12,Moulins!C:Q,15,FALSE)</f>
        <v>43</v>
      </c>
      <c r="M12">
        <f>VLOOKUP(E12,Moulins!C:Q,6,FALSE)</f>
        <v>29000</v>
      </c>
    </row>
    <row r="13" spans="1:13">
      <c r="A13">
        <f t="shared" si="0"/>
        <v>12</v>
      </c>
      <c r="B13" s="354" t="str">
        <f>VLOOKUP(E13,Moulins!C:Q,2,FALSE)</f>
        <v>DefJay-6</v>
      </c>
      <c r="C13" t="s">
        <v>2294</v>
      </c>
      <c r="D13">
        <v>85</v>
      </c>
      <c r="E13" t="s">
        <v>2306</v>
      </c>
      <c r="F13" s="430" t="str">
        <f>VLOOKUP(E13,Moulins!C:Q,7,FALSE)</f>
        <v xml:space="preserve">(10*10 ALU-ALU) Composition: Deflazacort 6 mg </v>
      </c>
      <c r="G13">
        <f>VLOOKUP(E13,Moulins!C:Q,5,FALSE)</f>
        <v>75</v>
      </c>
      <c r="H13">
        <f>VLOOKUP(E13,Moulins!C:Q,3,FALSE)</f>
        <v>500</v>
      </c>
      <c r="I13" t="str">
        <f>VLOOKUP(E13,Moulins!C:Q,9,FALSE)</f>
        <v>SHUBHAM HEALTHCARE</v>
      </c>
      <c r="J13" t="s">
        <v>55</v>
      </c>
      <c r="K13" s="354">
        <f>VLOOKUP(E13,Moulins!C:Q,14,FALSE)</f>
        <v>46109</v>
      </c>
      <c r="L13">
        <f ca="1">VLOOKUP(E13,Moulins!C:Q,15,FALSE)</f>
        <v>16</v>
      </c>
      <c r="M13">
        <f>VLOOKUP(E13,Moulins!C:Q,6,FALSE)</f>
        <v>37500</v>
      </c>
    </row>
    <row r="14" spans="1:13" ht="30">
      <c r="A14">
        <f t="shared" si="0"/>
        <v>13</v>
      </c>
      <c r="B14" s="354" t="str">
        <f>VLOOKUP(E14,Moulins!C:Q,2,FALSE)</f>
        <v>COMPHORT</v>
      </c>
      <c r="C14" t="s">
        <v>2307</v>
      </c>
      <c r="D14">
        <v>82</v>
      </c>
      <c r="E14" t="s">
        <v>2308</v>
      </c>
      <c r="F14" s="430" t="str">
        <f>VLOOKUP(E14,Moulins!C:Q,7,FALSE)</f>
        <v>10*10 ALU ALU Composition: "ACECLOFENAC 100MG Paracetamol 325 mg 
serratiopeptidase 15 mg (EC)"</v>
      </c>
      <c r="G14">
        <f>VLOOKUP(E14,Moulins!C:Q,5,FALSE)</f>
        <v>76</v>
      </c>
      <c r="H14">
        <f>VLOOKUP(E14,Moulins!C:Q,3,FALSE)</f>
        <v>500</v>
      </c>
      <c r="I14" t="str">
        <f>VLOOKUP(E14,Moulins!C:Q,9,FALSE)</f>
        <v>SHUBHAM HEALTHCARE</v>
      </c>
      <c r="J14" t="str">
        <f>VLOOKUP(E14,Moulins!C:Q,13,FALSE)</f>
        <v>Received</v>
      </c>
      <c r="K14" s="354">
        <f>VLOOKUP(E14,Moulins!C:Q,14,FALSE)</f>
        <v>46076</v>
      </c>
      <c r="L14">
        <f ca="1">VLOOKUP(E14,Moulins!C:Q,15,FALSE)</f>
        <v>49</v>
      </c>
      <c r="M14">
        <f>VLOOKUP(E14,Moulins!C:Q,6,FALSE)</f>
        <v>38000</v>
      </c>
    </row>
    <row r="15" spans="1:13">
      <c r="A15">
        <f t="shared" si="0"/>
        <v>14</v>
      </c>
      <c r="B15" s="354" t="str">
        <f>VLOOKUP(E15,Moulins!C:Q,2,FALSE)</f>
        <v>NAXOLITE D</v>
      </c>
      <c r="C15" t="s">
        <v>2307</v>
      </c>
      <c r="D15">
        <v>225</v>
      </c>
      <c r="E15" t="s">
        <v>2309</v>
      </c>
      <c r="F15" s="430" t="str">
        <f>VLOOKUP(E15,Moulins!C:Q,7,FALSE)</f>
        <v>10*10 BLISTER Composition: NAPROXEN 500 DOMPERIDONE 10 MG</v>
      </c>
      <c r="G15">
        <f>VLOOKUP(E15,Moulins!C:Q,5,FALSE)</f>
        <v>200</v>
      </c>
      <c r="H15">
        <f>VLOOKUP(E15,Moulins!C:Q,3,FALSE)</f>
        <v>300</v>
      </c>
      <c r="I15" t="str">
        <f>VLOOKUP(E15,Moulins!C:Q,9,FALSE)</f>
        <v>Cent Cure</v>
      </c>
      <c r="J15" t="str">
        <f>VLOOKUP(E15,Moulins!C:Q,13,FALSE)</f>
        <v>Received</v>
      </c>
      <c r="K15" s="354">
        <f>VLOOKUP(E15,Moulins!C:Q,14,FALSE)</f>
        <v>46118</v>
      </c>
      <c r="L15">
        <f ca="1">VLOOKUP(E15,Moulins!C:Q,15,FALSE)</f>
        <v>7</v>
      </c>
      <c r="M15">
        <f>VLOOKUP(E15,Moulins!C:Q,6,FALSE)</f>
        <v>60000</v>
      </c>
    </row>
    <row r="16" spans="1:13">
      <c r="A16">
        <f t="shared" si="0"/>
        <v>15</v>
      </c>
      <c r="B16" s="354" t="str">
        <f>VLOOKUP(E16,Moulins!C:Q,2,FALSE)</f>
        <v>Shivoxim-500</v>
      </c>
      <c r="C16" t="s">
        <v>2310</v>
      </c>
      <c r="D16">
        <v>192</v>
      </c>
      <c r="E16" t="s">
        <v>2311</v>
      </c>
      <c r="F16" s="430" t="str">
        <f>VLOOKUP(E16,Moulins!C:Q,7,FALSE)</f>
        <v>3*10 ALU ALU</v>
      </c>
      <c r="G16">
        <f>VLOOKUP(E16,Moulins!C:Q,5,FALSE)</f>
        <v>180</v>
      </c>
      <c r="H16">
        <f>VLOOKUP(E16,Moulins!C:Q,3,FALSE)</f>
        <v>400</v>
      </c>
      <c r="I16" t="str">
        <f>VLOOKUP(E16,Moulins!C:Q,9,FALSE)</f>
        <v>ALPEX PHARMACEUTICALS</v>
      </c>
      <c r="J16" t="str">
        <f>VLOOKUP(E16,Moulins!C:Q,13,FALSE)</f>
        <v>Received</v>
      </c>
      <c r="K16" s="354">
        <f>VLOOKUP(E16,Moulins!C:Q,14,FALSE)</f>
        <v>46060</v>
      </c>
      <c r="L16">
        <f ca="1">VLOOKUP(E16,Moulins!C:Q,15,FALSE)</f>
        <v>65</v>
      </c>
      <c r="M16">
        <f>VLOOKUP(E16,Moulins!C:Q,6,FALSE)</f>
        <v>72000</v>
      </c>
    </row>
    <row r="17" spans="1:13">
      <c r="A17">
        <f t="shared" si="0"/>
        <v>16</v>
      </c>
      <c r="B17" s="354" t="str">
        <f>VLOOKUP(E17,Moulins!C:Q,2,FALSE)</f>
        <v>Lesowak 25</v>
      </c>
      <c r="C17" t="s">
        <v>1810</v>
      </c>
      <c r="D17">
        <v>80</v>
      </c>
      <c r="E17" t="s">
        <v>2312</v>
      </c>
      <c r="F17" s="430" t="str">
        <f>VLOOKUP(E17,Moulins!C:Q,7,FALSE)</f>
        <v xml:space="preserve"> "10*15 ALU ALU" compositionLevosulpride 25 mg Tab</v>
      </c>
      <c r="G17">
        <f>VLOOKUP(E17,Moulins!C:Q,5,FALSE)</f>
        <v>68</v>
      </c>
      <c r="H17">
        <f>VLOOKUP(E17,Moulins!C:Q,3,FALSE)</f>
        <v>300</v>
      </c>
      <c r="I17" t="str">
        <f>VLOOKUP(E17,Moulins!C:Q,9,FALSE)</f>
        <v>ALPEX PHARMACEUTICALS</v>
      </c>
      <c r="J17" t="str">
        <f>VLOOKUP(E17,Moulins!C:Q,13,FALSE)</f>
        <v>Received</v>
      </c>
      <c r="K17" s="354">
        <f>VLOOKUP(E17,Moulins!C:Q,14,FALSE)</f>
        <v>46088</v>
      </c>
      <c r="L17">
        <f ca="1">VLOOKUP(E17,Moulins!C:Q,15,FALSE)</f>
        <v>37</v>
      </c>
      <c r="M17">
        <f>VLOOKUP(E17,Moulins!C:Q,6,FALSE)</f>
        <v>20400</v>
      </c>
    </row>
    <row r="18" spans="1:13" ht="30">
      <c r="A18">
        <f t="shared" si="0"/>
        <v>17</v>
      </c>
      <c r="B18" s="354" t="str">
        <f>VLOOKUP(E18,Moulins!C:Q,2,FALSE)</f>
        <v>Zymocod-C</v>
      </c>
      <c r="C18" t="s">
        <v>2313</v>
      </c>
      <c r="D18">
        <v>16</v>
      </c>
      <c r="E18" t="s">
        <v>2314</v>
      </c>
      <c r="F18" s="430" t="str">
        <f>VLOOKUP(E18,Moulins!C:Q,7,FALSE)</f>
        <v>200mL "Diastase (1:2000) IP – 50 mg Cinnamon Oil BP – 0.2 mg
Caraway Oil IP – 0.4 mg Cardamom Oil IP – 0.4 mg"</v>
      </c>
      <c r="G18">
        <f>VLOOKUP(E18,Moulins!C:Q,5,FALSE)</f>
        <v>12.5</v>
      </c>
      <c r="H18">
        <f>VLOOKUP(E18,Moulins!C:Q,3,FALSE)</f>
        <v>1200</v>
      </c>
      <c r="I18" t="str">
        <f>VLOOKUP(E18,Moulins!C:Q,9,FALSE)</f>
        <v>Raizel Healthcare</v>
      </c>
      <c r="J18" t="str">
        <f>VLOOKUP(E18,Moulins!C:Q,13,FALSE)</f>
        <v>Received</v>
      </c>
      <c r="K18" s="354">
        <f>VLOOKUP(E18,Moulins!C:Q,14,FALSE)</f>
        <v>46076</v>
      </c>
      <c r="L18">
        <f ca="1">VLOOKUP(E18,Moulins!C:Q,15,FALSE)</f>
        <v>49</v>
      </c>
      <c r="M18">
        <f>VLOOKUP(E18,Moulins!C:Q,6,FALSE)</f>
        <v>15000</v>
      </c>
    </row>
    <row r="19" spans="1:13" ht="30">
      <c r="A19">
        <f t="shared" si="0"/>
        <v>18</v>
      </c>
      <c r="B19" s="354" t="str">
        <f>VLOOKUP(E19,Moulins!C:Q,2,FALSE)</f>
        <v>Esomel-L</v>
      </c>
      <c r="C19" t="s">
        <v>1069</v>
      </c>
      <c r="D19">
        <v>240</v>
      </c>
      <c r="E19" t="s">
        <v>2315</v>
      </c>
      <c r="F19" s="430" t="str">
        <f>VLOOKUP(E19,Moulins!C:Q,7,FALSE)</f>
        <v xml:space="preserve">10*15 aluminum composition Esomeprazole 40 mg Levosulpride 75 mg SR
</v>
      </c>
      <c r="G19">
        <f>VLOOKUP(E19,Moulins!C:Q,5,FALSE)</f>
        <v>190</v>
      </c>
      <c r="H19">
        <f>VLOOKUP(E19,Moulins!C:Q,3,FALSE)</f>
        <v>250</v>
      </c>
      <c r="I19" t="str">
        <f>VLOOKUP(E19,Moulins!C:Q,9,FALSE)</f>
        <v>ALPEX PHARMACEUTICALS</v>
      </c>
      <c r="J19" t="str">
        <f>VLOOKUP(E19,Moulins!C:Q,13,FALSE)</f>
        <v>Received</v>
      </c>
      <c r="K19" s="354">
        <f>VLOOKUP(E19,Moulins!C:Q,14,FALSE)</f>
        <v>46078</v>
      </c>
      <c r="L19">
        <f ca="1">VLOOKUP(E19,Moulins!C:Q,15,FALSE)</f>
        <v>47</v>
      </c>
      <c r="M19">
        <f>VLOOKUP(E19,Moulins!C:Q,6,FALSE)</f>
        <v>47500</v>
      </c>
    </row>
    <row r="20" spans="1:13">
      <c r="A20">
        <f t="shared" si="0"/>
        <v>19</v>
      </c>
      <c r="B20" s="354" t="str">
        <f>VLOOKUP(E20,Moulins!C:Q,2,FALSE)</f>
        <v>Verymox CV 625</v>
      </c>
      <c r="C20" t="s">
        <v>1069</v>
      </c>
      <c r="D20">
        <v>450</v>
      </c>
      <c r="E20" t="s">
        <v>2316</v>
      </c>
      <c r="F20" s="430" t="str">
        <f>VLOOKUP(E20,Moulins!C:Q,7,FALSE)</f>
        <v>Packing "10*1*10 aluminum strip" Amoxycillin + Clavulanic acid 625 mg</v>
      </c>
      <c r="G20">
        <f>VLOOKUP(E20,Moulins!C:Q,5,FALSE)</f>
        <v>422</v>
      </c>
      <c r="H20">
        <f>VLOOKUP(E20,Moulins!C:Q,3,FALSE)</f>
        <v>500</v>
      </c>
      <c r="I20" t="str">
        <f>VLOOKUP(E20,Moulins!C:Q,9,FALSE)</f>
        <v>ASSOCIATED BIOTECH</v>
      </c>
      <c r="J20" t="str">
        <f>VLOOKUP(E20,Moulins!C:Q,13,FALSE)</f>
        <v>Cancelled</v>
      </c>
      <c r="K20" s="354">
        <f>VLOOKUP(E20,Moulins!C:Q,14,FALSE)</f>
        <v>0</v>
      </c>
      <c r="L20">
        <f ca="1">VLOOKUP(E20,Moulins!C:Q,15,FALSE)</f>
        <v>46125</v>
      </c>
      <c r="M20">
        <f>VLOOKUP(E20,Moulins!C:Q,6,FALSE)</f>
        <v>0</v>
      </c>
    </row>
    <row r="21" spans="1:13">
      <c r="A21">
        <f t="shared" si="0"/>
        <v>20</v>
      </c>
      <c r="B21" s="354" t="str">
        <f>VLOOKUP(E21,Moulins!C:Q,2,FALSE)</f>
        <v>TRYPNIC</v>
      </c>
      <c r="C21" t="s">
        <v>2317</v>
      </c>
      <c r="D21">
        <v>160</v>
      </c>
      <c r="E21" t="s">
        <v>2318</v>
      </c>
      <c r="F21" s="430" t="str">
        <f>VLOOKUP(E21,Moulins!C:Q,7,FALSE)</f>
        <v>20x10 Blister Composition TRYPSIN-CHYMOTRYPSIN 100000 AU TABLET</v>
      </c>
      <c r="G21">
        <f>VLOOKUP(E21,Moulins!C:Q,5,FALSE)</f>
        <v>140</v>
      </c>
      <c r="H21">
        <f>VLOOKUP(E21,Moulins!C:Q,3,FALSE)</f>
        <v>250</v>
      </c>
      <c r="I21" t="str">
        <f>VLOOKUP(E21,Moulins!C:Q,9,FALSE)</f>
        <v>Cent Cure</v>
      </c>
      <c r="J21" t="str">
        <f>VLOOKUP(E21,Moulins!C:Q,13,FALSE)</f>
        <v>Received</v>
      </c>
      <c r="K21" s="354">
        <f>VLOOKUP(E21,Moulins!C:Q,14,FALSE)</f>
        <v>46082</v>
      </c>
      <c r="L21">
        <f ca="1">VLOOKUP(E21,Moulins!C:Q,15,FALSE)</f>
        <v>43</v>
      </c>
      <c r="M21">
        <f>VLOOKUP(E21,Moulins!C:Q,6,FALSE)</f>
        <v>35000</v>
      </c>
    </row>
    <row r="22" spans="1:13">
      <c r="A22">
        <f t="shared" si="0"/>
        <v>21</v>
      </c>
      <c r="B22" s="354" t="str">
        <f>VLOOKUP(E22,Moulins!C:Q,2,FALSE)</f>
        <v>Rezal</v>
      </c>
      <c r="C22" t="s">
        <v>2319</v>
      </c>
      <c r="E22" t="s">
        <v>2320</v>
      </c>
      <c r="F22" s="430" t="str">
        <f>VLOOKUP(E22,Moulins!C:Q,7,FALSE)</f>
        <v>Packing 14 gm</v>
      </c>
      <c r="G22">
        <f>VLOOKUP(E22,Moulins!C:Q,5,FALSE)</f>
        <v>7.5</v>
      </c>
      <c r="H22">
        <f>VLOOKUP(E22,Moulins!C:Q,3,FALSE)</f>
        <v>10000</v>
      </c>
      <c r="I22" t="str">
        <f>VLOOKUP(E22,Moulins!C:Q,9,FALSE)</f>
        <v>MPC Pharmaceuticals</v>
      </c>
      <c r="J22" t="str">
        <f>VLOOKUP(E22,Moulins!C:Q,13,FALSE)</f>
        <v>Design OK</v>
      </c>
      <c r="K22" s="354">
        <f>VLOOKUP(E22,Moulins!C:Q,14,FALSE)</f>
        <v>46031</v>
      </c>
      <c r="L22">
        <f ca="1">VLOOKUP(E22,Moulins!C:Q,15,FALSE)</f>
        <v>94</v>
      </c>
      <c r="M22">
        <f>VLOOKUP(E22,Moulins!C:Q,6,FALSE)</f>
        <v>75000</v>
      </c>
    </row>
    <row r="23" spans="1:13">
      <c r="A23">
        <f t="shared" si="0"/>
        <v>22</v>
      </c>
      <c r="B23" s="354" t="str">
        <f>VLOOKUP(E23,Moulins!C:Q,2,FALSE)</f>
        <v>Vicks Vaporub</v>
      </c>
      <c r="C23" t="s">
        <v>2319</v>
      </c>
      <c r="E23" t="s">
        <v>2321</v>
      </c>
      <c r="F23" s="430">
        <f>VLOOKUP(E23,Moulins!C:Q,7,FALSE)</f>
        <v>0</v>
      </c>
      <c r="G23">
        <f>VLOOKUP(E23,Moulins!C:Q,5,FALSE)</f>
        <v>0</v>
      </c>
      <c r="H23">
        <f>VLOOKUP(E23,Moulins!C:Q,3,FALSE)</f>
        <v>0</v>
      </c>
      <c r="I23">
        <f>VLOOKUP(E23,Moulins!C:Q,9,FALSE)</f>
        <v>0</v>
      </c>
      <c r="J23" t="str">
        <f>VLOOKUP(E23,Moulins!C:Q,13,FALSE)</f>
        <v>Cancelled</v>
      </c>
      <c r="K23" s="354">
        <f>VLOOKUP(E23,Moulins!C:Q,14,FALSE)</f>
        <v>0</v>
      </c>
      <c r="L23">
        <f ca="1">VLOOKUP(E23,Moulins!C:Q,15,FALSE)</f>
        <v>46125</v>
      </c>
      <c r="M23" t="str">
        <f>VLOOKUP(E23,Moulins!C:Q,6,FALSE)</f>
        <v/>
      </c>
    </row>
    <row r="24" spans="1:13">
      <c r="A24" s="181">
        <f t="shared" si="0"/>
        <v>23</v>
      </c>
      <c r="B24" s="354" t="str">
        <f>VLOOKUP(E24,Moulins!C:Q,2,FALSE)</f>
        <v>Calcikot Max</v>
      </c>
      <c r="C24" t="s">
        <v>2322</v>
      </c>
      <c r="E24" t="s">
        <v>2323</v>
      </c>
      <c r="F24" s="430" t="str">
        <f>VLOOKUP(E24,Moulins!C:Q,7,FALSE)</f>
        <v>10×1×10 ALU ALU</v>
      </c>
      <c r="G24">
        <f>VLOOKUP(E24,Moulins!C:Q,5,FALSE)</f>
        <v>155</v>
      </c>
      <c r="H24">
        <f>VLOOKUP(E24,Moulins!C:Q,3,FALSE)</f>
        <v>500</v>
      </c>
      <c r="I24" t="str">
        <f>VLOOKUP(E24,Moulins!C:Q,9,FALSE)</f>
        <v>Sigma Softgel</v>
      </c>
      <c r="J24" t="str">
        <f>VLOOKUP(E24,Moulins!C:Q,13,FALSE)</f>
        <v>Received</v>
      </c>
      <c r="K24" s="354">
        <f>VLOOKUP(E24,Moulins!C:Q,14,FALSE)</f>
        <v>46062</v>
      </c>
      <c r="L24">
        <f ca="1">VLOOKUP(E24,Moulins!C:Q,15,FALSE)</f>
        <v>63</v>
      </c>
      <c r="M24">
        <f>VLOOKUP(E24,Moulins!C:Q,6,FALSE)</f>
        <v>77500</v>
      </c>
    </row>
    <row r="25" spans="1:13">
      <c r="A25" s="181">
        <f t="shared" si="0"/>
        <v>24</v>
      </c>
      <c r="B25" s="354" t="str">
        <f>VLOOKUP(E25,Moulins!C:Q,2,FALSE)</f>
        <v>Azikot-250</v>
      </c>
      <c r="C25" t="s">
        <v>2322</v>
      </c>
      <c r="E25" t="s">
        <v>2324</v>
      </c>
      <c r="F25" s="430" t="str">
        <f>VLOOKUP(E25,Moulins!C:Q,7,FALSE)</f>
        <v>10×6 Blister</v>
      </c>
      <c r="G25">
        <f>VLOOKUP(E25,Moulins!C:Q,5,FALSE)</f>
        <v>237</v>
      </c>
      <c r="H25">
        <f>VLOOKUP(E25,Moulins!C:Q,3,FALSE)</f>
        <v>500</v>
      </c>
      <c r="I25" t="str">
        <f>VLOOKUP(E25,Moulins!C:Q,9,FALSE)</f>
        <v>Altar Sri</v>
      </c>
      <c r="J25" t="s">
        <v>55</v>
      </c>
      <c r="K25" s="354">
        <f>VLOOKUP(E25,Moulins!C:Q,14,FALSE)</f>
        <v>46030</v>
      </c>
      <c r="L25">
        <f ca="1">VLOOKUP(E25,Moulins!C:Q,15,FALSE)</f>
        <v>95</v>
      </c>
      <c r="M25">
        <f>VLOOKUP(E25,Moulins!C:Q,6,FALSE)</f>
        <v>118500</v>
      </c>
    </row>
    <row r="26" spans="1:13">
      <c r="A26" s="181">
        <f t="shared" si="0"/>
        <v>25</v>
      </c>
      <c r="B26" s="354" t="str">
        <f>VLOOKUP(E26,Moulins!C:Q,2,FALSE)</f>
        <v>NAPIUM 750 SR</v>
      </c>
      <c r="C26" t="s">
        <v>2322</v>
      </c>
      <c r="E26" t="s">
        <v>2325</v>
      </c>
      <c r="F26" s="430" t="str">
        <f>VLOOKUP(E26,Moulins!C:Q,7,FALSE)</f>
        <v>10 Tablets / Strip</v>
      </c>
      <c r="G26">
        <f>VLOOKUP(E26,Moulins!C:Q,5,FALSE)</f>
        <v>325</v>
      </c>
      <c r="H26">
        <f>VLOOKUP(E26,Moulins!C:Q,3,FALSE)</f>
        <v>500</v>
      </c>
      <c r="I26" t="str">
        <f>VLOOKUP(E26,Moulins!C:Q,9,FALSE)</f>
        <v>MPC Pharmaceuticals</v>
      </c>
      <c r="J26" t="str">
        <f>VLOOKUP(E26,Moulins!C:Q,13,FALSE)</f>
        <v>Design OK</v>
      </c>
      <c r="K26" s="354">
        <f>VLOOKUP(E26,Moulins!C:Q,14,FALSE)</f>
        <v>45969</v>
      </c>
      <c r="L26">
        <f ca="1">VLOOKUP(E26,Moulins!C:Q,15,FALSE)</f>
        <v>156</v>
      </c>
      <c r="M26">
        <f>VLOOKUP(E26,Moulins!C:Q,6,FALSE)</f>
        <v>162500</v>
      </c>
    </row>
    <row r="27" spans="1:13">
      <c r="A27" s="181">
        <f t="shared" si="0"/>
        <v>26</v>
      </c>
      <c r="B27" s="354" t="str">
        <f>VLOOKUP(E27,Moulins!C:Q,2,FALSE)</f>
        <v>Farokot CV 325</v>
      </c>
      <c r="C27" t="s">
        <v>2322</v>
      </c>
      <c r="E27" t="s">
        <v>2326</v>
      </c>
      <c r="F27" s="430" t="str">
        <f>VLOOKUP(E27,Moulins!C:Q,7,FALSE)</f>
        <v>10*1*6</v>
      </c>
      <c r="G27">
        <f>VLOOKUP(E27,Moulins!C:Q,5,FALSE)</f>
        <v>1110</v>
      </c>
      <c r="H27">
        <f>VLOOKUP(E27,Moulins!C:Q,3,FALSE)</f>
        <v>150</v>
      </c>
      <c r="I27" t="str">
        <f>VLOOKUP(E27,Moulins!C:Q,9,FALSE)</f>
        <v>Alps Communications</v>
      </c>
      <c r="J27" t="str">
        <f>VLOOKUP(E27,Moulins!C:Q,13,FALSE)</f>
        <v>Received</v>
      </c>
      <c r="K27" s="354">
        <f>VLOOKUP(E27,Moulins!C:Q,14,FALSE)</f>
        <v>46001</v>
      </c>
      <c r="L27">
        <f ca="1">VLOOKUP(E27,Moulins!C:Q,15,FALSE)</f>
        <v>124</v>
      </c>
      <c r="M27">
        <f>VLOOKUP(E27,Moulins!C:Q,6,FALSE)</f>
        <v>166500</v>
      </c>
    </row>
    <row r="28" spans="1:13">
      <c r="A28" s="181">
        <f t="shared" si="0"/>
        <v>27</v>
      </c>
      <c r="B28" s="354" t="str">
        <f>VLOOKUP(E28,Moulins!C:Q,2,FALSE)</f>
        <v>IROKOT SYRUP</v>
      </c>
      <c r="C28" t="s">
        <v>2322</v>
      </c>
      <c r="E28" t="s">
        <v>2327</v>
      </c>
      <c r="F28" s="430" t="str">
        <f>VLOOKUP(E28,Moulins!C:Q,7,FALSE)</f>
        <v>200 ml with measuring cap and carton</v>
      </c>
      <c r="G28">
        <f>VLOOKUP(E28,Moulins!C:Q,5,FALSE)</f>
        <v>16</v>
      </c>
      <c r="H28">
        <f>VLOOKUP(E28,Moulins!C:Q,3,FALSE)</f>
        <v>3000</v>
      </c>
      <c r="I28" t="str">
        <f>VLOOKUP(E28,Moulins!C:Q,9,FALSE)</f>
        <v>RUZETTE ORGANICS</v>
      </c>
      <c r="J28" t="str">
        <f>VLOOKUP(E28,Moulins!C:Q,13,FALSE)</f>
        <v>Received</v>
      </c>
      <c r="K28" s="354">
        <f>VLOOKUP(E28,Moulins!C:Q,14,FALSE)</f>
        <v>46076</v>
      </c>
      <c r="L28">
        <f ca="1">VLOOKUP(E28,Moulins!C:Q,15,FALSE)</f>
        <v>49</v>
      </c>
      <c r="M28">
        <f>VLOOKUP(E28,Moulins!C:Q,6,FALSE)</f>
        <v>48000</v>
      </c>
    </row>
    <row r="29" spans="1:13">
      <c r="A29" s="181">
        <f t="shared" si="0"/>
        <v>28</v>
      </c>
      <c r="B29" s="354" t="str">
        <f>VLOOKUP(E29,Moulins!C:Q,2,FALSE)</f>
        <v>AP KOT Plus</v>
      </c>
      <c r="C29" t="s">
        <v>2322</v>
      </c>
      <c r="E29" t="s">
        <v>2328</v>
      </c>
      <c r="F29" s="430" t="str">
        <f>VLOOKUP(E29,Moulins!C:Q,7,FALSE)</f>
        <v>10*10 alu alu Composition aceclofenac 100 mg Paracetamol 325 serratio peptidase 15 mg</v>
      </c>
      <c r="G29">
        <f>VLOOKUP(E29,Moulins!C:Q,5,FALSE)</f>
        <v>78</v>
      </c>
      <c r="H29">
        <f>VLOOKUP(E29,Moulins!C:Q,3,FALSE)</f>
        <v>500</v>
      </c>
      <c r="I29" t="str">
        <f>VLOOKUP(E29,Moulins!C:Q,9,FALSE)</f>
        <v>SHUBHAM HEALTHCARE</v>
      </c>
      <c r="J29" t="str">
        <f>VLOOKUP(E29,Moulins!C:Q,13,FALSE)</f>
        <v>Received</v>
      </c>
      <c r="K29" s="354">
        <f>VLOOKUP(E29,Moulins!C:Q,14,FALSE)</f>
        <v>46057</v>
      </c>
      <c r="L29">
        <f ca="1">VLOOKUP(E29,Moulins!C:Q,15,FALSE)</f>
        <v>68</v>
      </c>
      <c r="M29">
        <f>VLOOKUP(E29,Moulins!C:Q,6,FALSE)</f>
        <v>39000</v>
      </c>
    </row>
    <row r="30" spans="1:13">
      <c r="A30" s="181">
        <f t="shared" si="0"/>
        <v>29</v>
      </c>
      <c r="B30" s="354" t="str">
        <f>VLOOKUP(E30,Moulins!C:Q,2,FALSE)</f>
        <v>O Twins</v>
      </c>
      <c r="C30" t="s">
        <v>2322</v>
      </c>
      <c r="E30" t="s">
        <v>2329</v>
      </c>
      <c r="F30" s="430" t="str">
        <f>VLOOKUP(E30,Moulins!C:Q,7,FALSE)</f>
        <v>10*10 (BLISTER), Composition Ofloxacin 200 mg + Ornidazole 500 mg</v>
      </c>
      <c r="G30">
        <f>VLOOKUP(E30,Moulins!C:Q,5,FALSE)</f>
        <v>135</v>
      </c>
      <c r="H30">
        <f>VLOOKUP(E30,Moulins!C:Q,3,FALSE)</f>
        <v>500</v>
      </c>
      <c r="I30" t="str">
        <f>VLOOKUP(E30,Moulins!C:Q,9,FALSE)</f>
        <v>VRINDAVAN GLOBAL</v>
      </c>
      <c r="J30" t="str">
        <f>VLOOKUP(E30,Moulins!C:Q,13,FALSE)</f>
        <v>Received</v>
      </c>
      <c r="K30" s="354">
        <f>VLOOKUP(E30,Moulins!C:Q,14,FALSE)</f>
        <v>46057</v>
      </c>
      <c r="L30">
        <f ca="1">VLOOKUP(E30,Moulins!C:Q,15,FALSE)</f>
        <v>68</v>
      </c>
      <c r="M30">
        <f>VLOOKUP(E30,Moulins!C:Q,6,FALSE)</f>
        <v>67500</v>
      </c>
    </row>
    <row r="31" spans="1:13">
      <c r="A31" s="181">
        <f t="shared" si="0"/>
        <v>30</v>
      </c>
      <c r="B31" s="354" t="str">
        <f>VLOOKUP(E31,Moulins!C:Q,2,FALSE)</f>
        <v>Farokot 100</v>
      </c>
      <c r="C31" t="s">
        <v>2322</v>
      </c>
      <c r="E31" t="s">
        <v>2330</v>
      </c>
      <c r="F31" s="430" t="str">
        <f>VLOOKUP(E31,Moulins!C:Q,7,FALSE)</f>
        <v>30 mL Pack with Carton and Sterile Water composition :Faropenem 100 mg / 5 mL Suspension</v>
      </c>
      <c r="G31">
        <f>VLOOKUP(E31,Moulins!C:Q,5,FALSE)</f>
        <v>60</v>
      </c>
      <c r="H31">
        <f>VLOOKUP(E31,Moulins!C:Q,3,FALSE)</f>
        <v>1000</v>
      </c>
      <c r="I31" t="str">
        <f>VLOOKUP(E31,Moulins!C:Q,9,FALSE)</f>
        <v>Alps Communications</v>
      </c>
      <c r="J31" t="str">
        <f>VLOOKUP(E31,Moulins!C:Q,13,FALSE)</f>
        <v>Received</v>
      </c>
      <c r="K31" s="354">
        <f>VLOOKUP(E31,Moulins!C:Q,14,FALSE)</f>
        <v>46090</v>
      </c>
      <c r="L31">
        <f ca="1">VLOOKUP(E31,Moulins!C:Q,15,FALSE)</f>
        <v>35</v>
      </c>
      <c r="M31">
        <f>VLOOKUP(E31,Moulins!C:Q,6,FALSE)</f>
        <v>60000</v>
      </c>
    </row>
    <row r="32" spans="1:13">
      <c r="A32" s="181">
        <f t="shared" si="0"/>
        <v>31</v>
      </c>
      <c r="B32" s="354" t="str">
        <f>VLOOKUP(E32,Moulins!C:Q,2,FALSE)</f>
        <v>Linokot 600</v>
      </c>
      <c r="C32" t="s">
        <v>2322</v>
      </c>
      <c r="E32" t="s">
        <v>2331</v>
      </c>
      <c r="F32" s="430" t="str">
        <f>VLOOKUP(E32,Moulins!C:Q,7,FALSE)</f>
        <v>composition: Linezolid 600 mg Tablet  Packing: 10*1*10 Alu-Alu</v>
      </c>
      <c r="G32">
        <f>VLOOKUP(E32,Moulins!C:Q,5,FALSE)</f>
        <v>430</v>
      </c>
      <c r="H32">
        <f>VLOOKUP(E32,Moulins!C:Q,3,FALSE)</f>
        <v>500</v>
      </c>
      <c r="I32" t="str">
        <f>VLOOKUP(E32,Moulins!C:Q,9,FALSE)</f>
        <v>Logos Pharma</v>
      </c>
      <c r="J32" t="str">
        <f>VLOOKUP(E32,Moulins!C:Q,13,FALSE)</f>
        <v>Received</v>
      </c>
      <c r="K32" s="354">
        <f>VLOOKUP(E32,Moulins!C:Q,14,FALSE)</f>
        <v>46090</v>
      </c>
      <c r="L32">
        <f ca="1">VLOOKUP(E32,Moulins!C:Q,15,FALSE)</f>
        <v>35</v>
      </c>
      <c r="M32">
        <f>VLOOKUP(E32,Moulins!C:Q,6,FALSE)</f>
        <v>215000</v>
      </c>
    </row>
    <row r="33" spans="1:13">
      <c r="A33" s="181">
        <f t="shared" si="0"/>
        <v>32</v>
      </c>
      <c r="B33" s="354" t="str">
        <f>VLOOKUP(E33,Moulins!C:Q,2,FALSE)</f>
        <v>Ursokot 300</v>
      </c>
      <c r="C33" t="s">
        <v>2322</v>
      </c>
      <c r="E33" t="s">
        <v>2332</v>
      </c>
      <c r="F33" s="430" t="str">
        <f>VLOOKUP(E33,Moulins!C:Q,7,FALSE)</f>
        <v>Composition: Ursodiol 300 mg Tablet Packing: 10*1*10 Alu Alu</v>
      </c>
      <c r="G33">
        <f>VLOOKUP(E33,Moulins!C:Q,5,FALSE)</f>
        <v>445</v>
      </c>
      <c r="H33">
        <f>VLOOKUP(E33,Moulins!C:Q,3,FALSE)</f>
        <v>500</v>
      </c>
      <c r="I33" t="str">
        <f>VLOOKUP(E33,Moulins!C:Q,9,FALSE)</f>
        <v>Cent Cure</v>
      </c>
      <c r="J33" t="s">
        <v>55</v>
      </c>
      <c r="K33" s="354">
        <f>VLOOKUP(E33,Moulins!C:Q,14,FALSE)</f>
        <v>46109</v>
      </c>
      <c r="L33">
        <f ca="1">VLOOKUP(E33,Moulins!C:Q,15,FALSE)</f>
        <v>16</v>
      </c>
      <c r="M33">
        <f>VLOOKUP(E33,Moulins!C:Q,6,FALSE)</f>
        <v>222500</v>
      </c>
    </row>
    <row r="34" spans="1:13" ht="30">
      <c r="A34" s="181">
        <f t="shared" si="0"/>
        <v>33</v>
      </c>
      <c r="B34" s="354" t="str">
        <f>VLOOKUP(E34,Moulins!C:Q,2,FALSE)</f>
        <v>Kotler's D3 Nano Shots</v>
      </c>
      <c r="C34" t="s">
        <v>2322</v>
      </c>
      <c r="E34" t="s">
        <v>2333</v>
      </c>
      <c r="F34" s="430" t="str">
        <f>VLOOKUP(E34,Moulins!C:Q,7,FALSE)</f>
        <v>Cholecalciferol Suspension 60000 IU / 5 ml (Butterscotch Flavour) Packing: Pack of 4 bottles (4*5 ml)</v>
      </c>
      <c r="G34">
        <f>VLOOKUP(E34,Moulins!C:Q,5,FALSE)</f>
        <v>29</v>
      </c>
      <c r="H34">
        <f>VLOOKUP(E34,Moulins!C:Q,3,FALSE)</f>
        <v>1000</v>
      </c>
      <c r="I34" t="str">
        <f>VLOOKUP(E34,Moulins!C:Q,9,FALSE)</f>
        <v>Smayan</v>
      </c>
      <c r="J34" t="str">
        <f>VLOOKUP(E34,Moulins!C:Q,13,FALSE)</f>
        <v>Received</v>
      </c>
      <c r="K34" s="354">
        <f>VLOOKUP(E34,Moulins!C:Q,14,FALSE)</f>
        <v>46086</v>
      </c>
      <c r="L34">
        <f ca="1">VLOOKUP(E34,Moulins!C:Q,15,FALSE)</f>
        <v>39</v>
      </c>
      <c r="M34">
        <f>VLOOKUP(E34,Moulins!C:Q,6,FALSE)</f>
        <v>29000</v>
      </c>
    </row>
    <row r="35" spans="1:13" ht="30">
      <c r="A35" s="181">
        <f t="shared" si="0"/>
        <v>34</v>
      </c>
      <c r="B35" s="354" t="str">
        <f>VLOOKUP(E35,Moulins!C:Q,2,FALSE)</f>
        <v>Nurokot Gold</v>
      </c>
      <c r="C35" t="s">
        <v>2322</v>
      </c>
      <c r="E35" t="s">
        <v>2334</v>
      </c>
      <c r="F35" s="430" t="str">
        <f>VLOOKUP(E35,Moulins!C:Q,7,FALSE)</f>
        <v>Packing: 10*10 Alu-Alu Methylcobalamin  + Alpha Lipoic Acid  + Folic Acid +  Pyridoxine Hydrochloride + Vitamin D3 .</v>
      </c>
      <c r="G35">
        <f>VLOOKUP(E35,Moulins!C:Q,5,FALSE)</f>
        <v>145</v>
      </c>
      <c r="H35">
        <f>VLOOKUP(E35,Moulins!C:Q,3,FALSE)</f>
        <v>500</v>
      </c>
      <c r="I35" t="str">
        <f>VLOOKUP(E35,Moulins!C:Q,9,FALSE)</f>
        <v>ALPEX PHARMACEUTICALS</v>
      </c>
      <c r="J35" t="str">
        <f>VLOOKUP(E35,Moulins!C:Q,13,FALSE)</f>
        <v>Rate OK</v>
      </c>
      <c r="K35" s="354">
        <f>VLOOKUP(E35,Moulins!C:Q,14,FALSE)</f>
        <v>46101</v>
      </c>
      <c r="L35">
        <f>VLOOKUP(E35,Moulins!C:Q,15,FALSE)</f>
        <v>0</v>
      </c>
      <c r="M35">
        <f>VLOOKUP(E35,Moulins!C:Q,6,FALSE)</f>
        <v>72500</v>
      </c>
    </row>
    <row r="36" spans="1:13">
      <c r="A36">
        <f t="shared" si="0"/>
        <v>35</v>
      </c>
      <c r="B36" s="354" t="str">
        <f>VLOOKUP(E36,Moulins!C:Q,2,FALSE)</f>
        <v xml:space="preserve">Pentapra-DSR </v>
      </c>
      <c r="C36" t="s">
        <v>2322</v>
      </c>
      <c r="E36" t="s">
        <v>2335</v>
      </c>
      <c r="F36" s="430" t="str">
        <f>VLOOKUP(E36,Moulins!C:Q,7,FALSE)</f>
        <v>10*15  alu alu "Pantoprazole 40 mg (EC) Domperidone 30 mg (SR) cap"</v>
      </c>
      <c r="G36">
        <f>VLOOKUP(E36,Moulins!C:Q,5,FALSE)</f>
        <v>125</v>
      </c>
      <c r="H36">
        <f>VLOOKUP(E36,Moulins!C:Q,3,FALSE)</f>
        <v>500</v>
      </c>
      <c r="I36" t="str">
        <f>VLOOKUP(E36,Moulins!C:Q,9,FALSE)</f>
        <v>ALPEX PHARMACEUTICALS</v>
      </c>
      <c r="J36" t="str">
        <f>VLOOKUP(E36,Moulins!C:Q,13,FALSE)</f>
        <v>Received</v>
      </c>
      <c r="K36" s="354">
        <f>VLOOKUP(E36,Moulins!C:Q,14,FALSE)</f>
        <v>46049</v>
      </c>
      <c r="L36">
        <f ca="1">VLOOKUP(E36,Moulins!C:Q,15,FALSE)</f>
        <v>76</v>
      </c>
      <c r="M36">
        <f>VLOOKUP(E36,Moulins!C:Q,6,FALSE)</f>
        <v>62500</v>
      </c>
    </row>
    <row r="37" spans="1:13">
      <c r="A37">
        <f t="shared" si="0"/>
        <v>36</v>
      </c>
      <c r="B37" s="354" t="str">
        <f>VLOOKUP(E37,Moulins!C:Q,2,FALSE)</f>
        <v>ASTOWAC-SF</v>
      </c>
      <c r="C37" t="s">
        <v>2336</v>
      </c>
      <c r="E37" t="s">
        <v>2337</v>
      </c>
      <c r="F37" s="430" t="str">
        <f>VLOOKUP(E37,Moulins!C:Q,7,FALSE)</f>
        <v>150 GM</v>
      </c>
      <c r="G37">
        <f>VLOOKUP(E37,Moulins!C:Q,5,FALSE)</f>
        <v>48</v>
      </c>
      <c r="H37">
        <f>VLOOKUP(E37,Moulins!C:Q,3,FALSE)</f>
        <v>600</v>
      </c>
      <c r="I37" t="str">
        <f>VLOOKUP(E37,Moulins!C:Q,9,FALSE)</f>
        <v>MEDICANT NUTRIENTS</v>
      </c>
      <c r="J37" t="str">
        <f>VLOOKUP(E37,Moulins!C:Q,13,FALSE)</f>
        <v>Received</v>
      </c>
      <c r="K37" s="354">
        <f>VLOOKUP(E37,Moulins!C:Q,14,FALSE)</f>
        <v>46053</v>
      </c>
      <c r="L37">
        <f ca="1">VLOOKUP(E37,Moulins!C:Q,15,FALSE)</f>
        <v>72</v>
      </c>
      <c r="M37">
        <f>VLOOKUP(E37,Moulins!C:Q,6,FALSE)</f>
        <v>28800</v>
      </c>
    </row>
    <row r="38" spans="1:13">
      <c r="A38">
        <f t="shared" si="0"/>
        <v>37</v>
      </c>
      <c r="B38" s="354" t="str">
        <f>VLOOKUP(E38,Moulins!C:Q,2,FALSE)</f>
        <v>ASTOWAC-SF</v>
      </c>
      <c r="C38" t="s">
        <v>2336</v>
      </c>
      <c r="E38" t="s">
        <v>2338</v>
      </c>
      <c r="F38" s="430" t="str">
        <f>VLOOKUP(E38,Moulins!C:Q,7,FALSE)</f>
        <v>150 GM</v>
      </c>
      <c r="G38">
        <f>VLOOKUP(E38,Moulins!C:Q,5,FALSE)</f>
        <v>48</v>
      </c>
      <c r="H38">
        <f>VLOOKUP(E38,Moulins!C:Q,3,FALSE)</f>
        <v>600</v>
      </c>
      <c r="I38" t="str">
        <f>VLOOKUP(E38,Moulins!C:Q,9,FALSE)</f>
        <v>MEDICANT NUTRIENTS</v>
      </c>
      <c r="J38" t="str">
        <f>VLOOKUP(E38,Moulins!C:Q,13,FALSE)</f>
        <v>Received</v>
      </c>
      <c r="K38" s="354">
        <f>VLOOKUP(E38,Moulins!C:Q,14,FALSE)</f>
        <v>46053</v>
      </c>
      <c r="L38">
        <f ca="1">VLOOKUP(E38,Moulins!C:Q,15,FALSE)</f>
        <v>72</v>
      </c>
      <c r="M38">
        <f>VLOOKUP(E38,Moulins!C:Q,6,FALSE)</f>
        <v>28800</v>
      </c>
    </row>
    <row r="39" spans="1:13">
      <c r="A39">
        <f t="shared" si="0"/>
        <v>38</v>
      </c>
      <c r="B39" s="354" t="str">
        <f>VLOOKUP(E39,Moulins!C:Q,2,FALSE)</f>
        <v xml:space="preserve">Cerebeut 60 </v>
      </c>
      <c r="C39" t="s">
        <v>2339</v>
      </c>
      <c r="D39">
        <v>94</v>
      </c>
      <c r="E39" t="s">
        <v>2340</v>
      </c>
      <c r="F39" s="430" t="str">
        <f>VLOOKUP(E39,Moulins!C:Q,7,FALSE)</f>
        <v>Cerebroprotein Hydrolysate Injection 60 mg/Vial</v>
      </c>
      <c r="G39">
        <f>VLOOKUP(E39,Moulins!C:Q,5,FALSE)</f>
        <v>83</v>
      </c>
      <c r="H39">
        <f>VLOOKUP(E39,Moulins!C:Q,3,FALSE)</f>
        <v>2000</v>
      </c>
      <c r="I39" t="str">
        <f>VLOOKUP(E39,Moulins!C:Q,9,FALSE)</f>
        <v>MMG</v>
      </c>
      <c r="J39" t="str">
        <f>VLOOKUP(E39,Moulins!C:Q,13,FALSE)</f>
        <v>Design OK</v>
      </c>
      <c r="K39" s="354">
        <f>VLOOKUP(E39,Moulins!C:Q,14,FALSE)</f>
        <v>46039</v>
      </c>
      <c r="L39">
        <f ca="1">VLOOKUP(E39,Moulins!C:Q,15,FALSE)</f>
        <v>86</v>
      </c>
      <c r="M39">
        <f>VLOOKUP(E39,Moulins!C:Q,6,FALSE)</f>
        <v>166000</v>
      </c>
    </row>
    <row r="40" spans="1:13" ht="30">
      <c r="A40">
        <f t="shared" si="0"/>
        <v>39</v>
      </c>
      <c r="B40" s="354" t="str">
        <f>VLOOKUP(E40,Moulins!C:Q,2,FALSE)</f>
        <v>Anthena</v>
      </c>
      <c r="C40" t="s">
        <v>1069</v>
      </c>
      <c r="D40">
        <v>285</v>
      </c>
      <c r="E40" t="s">
        <v>2341</v>
      </c>
      <c r="F40" s="430" t="str">
        <f>VLOOKUP(E40,Moulins!C:Q,7,FALSE)</f>
        <v>10*1*10 ALU ALU Composition: "Mecobalamin,ALA, Benfotiamine Pyridoxine  calcium pantothenate Folic acid chromium picolinate  Inositol &amp; Lutein soft gel caps</v>
      </c>
      <c r="G40">
        <f>VLOOKUP(E40,Moulins!C:Q,5,FALSE)</f>
        <v>220</v>
      </c>
      <c r="H40">
        <f>VLOOKUP(E40,Moulins!C:Q,3,FALSE)</f>
        <v>300</v>
      </c>
      <c r="I40" t="str">
        <f>VLOOKUP(E40,Moulins!C:Q,9,FALSE)</f>
        <v>BIONEXY</v>
      </c>
      <c r="J40" t="str">
        <f>VLOOKUP(E40,Moulins!C:Q,13,FALSE)</f>
        <v>Received</v>
      </c>
      <c r="K40" s="354">
        <f>VLOOKUP(E40,Moulins!C:Q,14,FALSE)</f>
        <v>46088</v>
      </c>
      <c r="L40">
        <f ca="1">VLOOKUP(E40,Moulins!C:Q,15,FALSE)</f>
        <v>37</v>
      </c>
      <c r="M40">
        <f>VLOOKUP(E40,Moulins!C:Q,6,FALSE)</f>
        <v>66000</v>
      </c>
    </row>
    <row r="41" spans="1:13">
      <c r="A41">
        <f t="shared" si="0"/>
        <v>40</v>
      </c>
      <c r="B41" s="354" t="str">
        <f>VLOOKUP(E41,Moulins!C:Q,2,FALSE)</f>
        <v>ROO2 PLUS</v>
      </c>
      <c r="C41" t="s">
        <v>2322</v>
      </c>
      <c r="D41">
        <v>19</v>
      </c>
      <c r="E41" t="s">
        <v>2342</v>
      </c>
      <c r="F41" s="430" t="str">
        <f>VLOOKUP(E41,Moulins!C:Q,7,FALSE)</f>
        <v>60mL with carton composition: "Ofloxacin 100 mg Metronidazole 200 mg"</v>
      </c>
      <c r="G41">
        <f>VLOOKUP(E41,Moulins!C:Q,5,FALSE)</f>
        <v>17</v>
      </c>
      <c r="H41">
        <f>VLOOKUP(E41,Moulins!C:Q,3,FALSE)</f>
        <v>5000</v>
      </c>
      <c r="I41" t="str">
        <f>VLOOKUP(E41,Moulins!C:Q,9,FALSE)</f>
        <v>Saar Biotech</v>
      </c>
      <c r="J41" t="s">
        <v>55</v>
      </c>
      <c r="K41" s="354">
        <f>VLOOKUP(E41,Moulins!C:Q,14,FALSE)</f>
        <v>46109</v>
      </c>
      <c r="L41">
        <f ca="1">VLOOKUP(E41,Moulins!C:Q,15,FALSE)</f>
        <v>16</v>
      </c>
      <c r="M41">
        <f>VLOOKUP(E41,Moulins!C:Q,6,FALSE)</f>
        <v>85000</v>
      </c>
    </row>
    <row r="42" spans="1:13">
      <c r="A42">
        <f t="shared" si="0"/>
        <v>41</v>
      </c>
      <c r="B42" s="354" t="str">
        <f>VLOOKUP(E42,Moulins!C:Q,2,FALSE)</f>
        <v>Shivoxim-500</v>
      </c>
      <c r="C42" t="s">
        <v>2310</v>
      </c>
      <c r="E42" t="s">
        <v>2311</v>
      </c>
      <c r="F42" s="430" t="str">
        <f>VLOOKUP(E42,Moulins!C:Q,7,FALSE)</f>
        <v>3*10 ALU ALU</v>
      </c>
      <c r="G42">
        <f>VLOOKUP(E42,Moulins!C:Q,5,FALSE)</f>
        <v>180</v>
      </c>
      <c r="H42">
        <f>VLOOKUP(E42,Moulins!C:Q,3,FALSE)</f>
        <v>400</v>
      </c>
      <c r="I42" t="str">
        <f>VLOOKUP(E42,Moulins!C:Q,9,FALSE)</f>
        <v>ALPEX PHARMACEUTICALS</v>
      </c>
      <c r="J42" t="str">
        <f>VLOOKUP(E42,Moulins!C:Q,13,FALSE)</f>
        <v>Received</v>
      </c>
      <c r="K42" s="354">
        <f>VLOOKUP(E42,Moulins!C:Q,14,FALSE)</f>
        <v>46060</v>
      </c>
      <c r="L42">
        <f ca="1">VLOOKUP(E42,Moulins!C:Q,15,FALSE)</f>
        <v>65</v>
      </c>
      <c r="M42">
        <f>VLOOKUP(E42,Moulins!C:Q,6,FALSE)</f>
        <v>72000</v>
      </c>
    </row>
    <row r="43" spans="1:13">
      <c r="A43">
        <f t="shared" si="0"/>
        <v>42</v>
      </c>
      <c r="B43" s="354" t="str">
        <f>VLOOKUP(E43,Moulins!C:Q,2,FALSE)</f>
        <v>Kashzee 500</v>
      </c>
      <c r="C43" t="s">
        <v>2343</v>
      </c>
      <c r="E43" t="s">
        <v>2344</v>
      </c>
      <c r="F43" s="430" t="str">
        <f>VLOOKUP(E43,Moulins!C:Q,7,FALSE)</f>
        <v>10*5 Blister</v>
      </c>
      <c r="G43">
        <f>VLOOKUP(E43,Moulins!C:Q,5,FALSE)</f>
        <v>390</v>
      </c>
      <c r="H43">
        <f>VLOOKUP(E43,Moulins!C:Q,3,FALSE)</f>
        <v>300</v>
      </c>
      <c r="I43" t="str">
        <f>VLOOKUP(E43,Moulins!C:Q,9,FALSE)</f>
        <v>ALPEX PHARMACEUTICALS</v>
      </c>
      <c r="J43" t="str">
        <f>VLOOKUP(E43,Moulins!C:Q,13,FALSE)</f>
        <v>Received</v>
      </c>
      <c r="K43" s="354">
        <f>VLOOKUP(E43,Moulins!C:Q,14,FALSE)</f>
        <v>46386</v>
      </c>
      <c r="L43">
        <f ca="1">VLOOKUP(E43,Moulins!C:Q,15,FALSE)</f>
        <v>-261</v>
      </c>
      <c r="M43">
        <f>VLOOKUP(E43,Moulins!C:Q,6,FALSE)</f>
        <v>117000</v>
      </c>
    </row>
    <row r="44" spans="1:13">
      <c r="A44">
        <f t="shared" si="0"/>
        <v>43</v>
      </c>
      <c r="B44" s="354" t="str">
        <f>VLOOKUP(E44,Moulins!C:Q,2,FALSE)</f>
        <v>KashAir M</v>
      </c>
      <c r="C44" t="s">
        <v>2343</v>
      </c>
      <c r="D44">
        <v>76</v>
      </c>
      <c r="E44" t="s">
        <v>2345</v>
      </c>
      <c r="F44" s="430" t="str">
        <f>VLOOKUP(E44,Moulins!C:Q,7,FALSE)</f>
        <v>10*10 Alu Alu</v>
      </c>
      <c r="G44">
        <f>VLOOKUP(E44,Moulins!C:Q,5,FALSE)</f>
        <v>73</v>
      </c>
      <c r="H44">
        <f>VLOOKUP(E44,Moulins!C:Q,3,FALSE)</f>
        <v>500</v>
      </c>
      <c r="I44" t="str">
        <f>VLOOKUP(E44,Moulins!C:Q,9,FALSE)</f>
        <v>VRINDAVAN GLOBAL</v>
      </c>
      <c r="J44" t="str">
        <f>VLOOKUP(E44,Moulins!C:Q,13,FALSE)</f>
        <v>Received</v>
      </c>
      <c r="K44" s="354">
        <f>VLOOKUP(E44,Moulins!C:Q,14,FALSE)</f>
        <v>46038</v>
      </c>
      <c r="L44">
        <f ca="1">VLOOKUP(E44,Moulins!C:Q,15,FALSE)</f>
        <v>87</v>
      </c>
      <c r="M44">
        <f>VLOOKUP(E44,Moulins!C:Q,6,FALSE)</f>
        <v>36500</v>
      </c>
    </row>
    <row r="45" spans="1:13">
      <c r="A45">
        <f t="shared" si="0"/>
        <v>44</v>
      </c>
      <c r="B45" s="354" t="str">
        <f>VLOOKUP(E45,Moulins!C:Q,2,FALSE)</f>
        <v>Onzora Drops</v>
      </c>
      <c r="C45" t="s">
        <v>2346</v>
      </c>
      <c r="D45">
        <v>8.5</v>
      </c>
      <c r="E45" t="s">
        <v>2347</v>
      </c>
      <c r="F45" s="430" t="str">
        <f>VLOOKUP(E45,Moulins!C:Q,7,FALSE)</f>
        <v>30 ml bottle with Carton, Measuring Cap &amp; Dropper</v>
      </c>
      <c r="G45">
        <f>VLOOKUP(E45,Moulins!C:Q,5,FALSE)</f>
        <v>7.5</v>
      </c>
      <c r="H45">
        <f>VLOOKUP(E45,Moulins!C:Q,3,FALSE)</f>
        <v>3000</v>
      </c>
      <c r="I45" t="str">
        <f>VLOOKUP(E45,Moulins!C:Q,9,FALSE)</f>
        <v>RUZETTE ORGANICS</v>
      </c>
      <c r="J45" t="str">
        <f>VLOOKUP(E45,Moulins!C:Q,13,FALSE)</f>
        <v>Design OK</v>
      </c>
      <c r="K45" s="354">
        <f>VLOOKUP(E45,Moulins!C:Q,14,FALSE)</f>
        <v>46051</v>
      </c>
      <c r="L45">
        <f ca="1">VLOOKUP(E45,Moulins!C:Q,15,FALSE)</f>
        <v>74</v>
      </c>
      <c r="M45">
        <f>VLOOKUP(E45,Moulins!C:Q,6,FALSE)</f>
        <v>22500</v>
      </c>
    </row>
    <row r="46" spans="1:13" ht="45">
      <c r="A46">
        <f t="shared" si="0"/>
        <v>45</v>
      </c>
      <c r="B46" t="s">
        <v>1963</v>
      </c>
      <c r="C46" t="s">
        <v>2348</v>
      </c>
      <c r="D46">
        <v>155</v>
      </c>
      <c r="E46" t="s">
        <v>2349</v>
      </c>
      <c r="F46" s="430" t="str">
        <f>VLOOKUP(E46,Moulins!C:Q,7,FALSE)</f>
        <v>10 *10 SOFTGEL (RED CAP  ) Composition: Calcitriol 0.25 mcg, Calcium Citrate Maleate 500 mg, Vitamin K2-7 45 mcg, Methylcobalamin 1500 mcg, Zinc Oxide 7.5 mg, Magnesium Oxide 20 mg, L-Methyl Folate 800 mcg</v>
      </c>
      <c r="G46">
        <f>VLOOKUP(E46,Moulins!C:Q,5,FALSE)</f>
        <v>140</v>
      </c>
      <c r="H46">
        <f>VLOOKUP(E46,Moulins!C:Q,3,FALSE)</f>
        <v>1000</v>
      </c>
      <c r="I46" t="str">
        <f>VLOOKUP(E46,Moulins!C:Q,9,FALSE)</f>
        <v>Sigma Softgel</v>
      </c>
      <c r="J46" t="str">
        <f>VLOOKUP(E46,Moulins!C:Q,13,FALSE)</f>
        <v>Received</v>
      </c>
      <c r="K46" s="354">
        <f>VLOOKUP(E46,Moulins!C:Q,14,FALSE)</f>
        <v>46071</v>
      </c>
      <c r="L46">
        <f ca="1">VLOOKUP(E46,Moulins!C:Q,15,FALSE)</f>
        <v>54</v>
      </c>
      <c r="M46">
        <f>VLOOKUP(E46,Moulins!C:Q,6,FALSE)</f>
        <v>140000</v>
      </c>
    </row>
    <row r="47" spans="1:13" ht="30">
      <c r="A47">
        <f t="shared" si="0"/>
        <v>46</v>
      </c>
      <c r="B47" t="s">
        <v>1965</v>
      </c>
      <c r="C47" t="s">
        <v>2294</v>
      </c>
      <c r="D47">
        <v>13.75</v>
      </c>
      <c r="E47" t="s">
        <v>2350</v>
      </c>
      <c r="F47" s="430" t="str">
        <f>VLOOKUP(E47,Moulins!C:Q,7,FALSE)</f>
        <v>Packing: 100ML(WITH CARTON)
 Composition: Ambroxol HCL 30 mg + Guaiphenesin 50 mg &amp; Levosalbutamol Sulphate 1 mg</v>
      </c>
      <c r="G47">
        <f>VLOOKUP(E47,Moulins!C:Q,5,FALSE)</f>
        <v>11.8</v>
      </c>
      <c r="H47">
        <f>VLOOKUP(E47,Moulins!C:Q,3,FALSE)</f>
        <v>2000</v>
      </c>
      <c r="I47" t="str">
        <f>VLOOKUP(E47,Moulins!C:Q,9,FALSE)</f>
        <v>SHUBHAM HEALTHCARE</v>
      </c>
      <c r="J47" t="str">
        <f>VLOOKUP(E47,Moulins!C:Q,13,FALSE)</f>
        <v>Cancelled</v>
      </c>
      <c r="K47" s="354">
        <f>VLOOKUP(E47,Moulins!C:Q,14,FALSE)</f>
        <v>46043</v>
      </c>
      <c r="L47">
        <f ca="1">VLOOKUP(E47,Moulins!C:Q,15,FALSE)</f>
        <v>82</v>
      </c>
      <c r="M47">
        <f>VLOOKUP(E47,Moulins!C:Q,6,FALSE)</f>
        <v>0</v>
      </c>
    </row>
    <row r="48" spans="1:13" ht="30">
      <c r="A48">
        <f t="shared" si="0"/>
        <v>47</v>
      </c>
      <c r="B48" t="s">
        <v>1968</v>
      </c>
      <c r="C48" t="s">
        <v>2351</v>
      </c>
      <c r="E48" t="s">
        <v>2352</v>
      </c>
      <c r="F48" s="430" t="str">
        <f>VLOOKUP(E48,Moulins!C:Q,7,FALSE)</f>
        <v>Packing: 100ML
 Composition: Ambroxol HCL 30 mg + Guaiphenesin 50 mg &amp; Levosalbutamol Sulphate 1 mg</v>
      </c>
      <c r="G48">
        <f>VLOOKUP(E48,Moulins!C:Q,5,FALSE)</f>
        <v>10.8</v>
      </c>
      <c r="H48">
        <f>VLOOKUP(E48,Moulins!C:Q,3,FALSE)</f>
        <v>2000</v>
      </c>
      <c r="I48" t="str">
        <f>VLOOKUP(E48,Moulins!C:Q,9,FALSE)</f>
        <v>SHUBHAM HEALTHCARE</v>
      </c>
      <c r="J48" t="s">
        <v>55</v>
      </c>
      <c r="K48" s="354">
        <f>VLOOKUP(E48,Moulins!C:Q,14,FALSE)</f>
        <v>46109</v>
      </c>
      <c r="L48">
        <f ca="1">VLOOKUP(E48,Moulins!C:Q,15,FALSE)</f>
        <v>16</v>
      </c>
      <c r="M48">
        <f>VLOOKUP(E48,Moulins!C:Q,6,FALSE)</f>
        <v>21600</v>
      </c>
    </row>
    <row r="49" spans="1:13">
      <c r="A49">
        <f t="shared" si="0"/>
        <v>48</v>
      </c>
      <c r="B49" t="s">
        <v>1985</v>
      </c>
      <c r="C49" t="s">
        <v>1069</v>
      </c>
      <c r="E49" t="s">
        <v>2353</v>
      </c>
      <c r="F49" s="430" t="str">
        <f>VLOOKUP(E49,Moulins!C:Q,7,FALSE)</f>
        <v>Escitalopram 10mg Packing: 10x10 alu alu</v>
      </c>
      <c r="G49">
        <f>VLOOKUP(E49,Moulins!C:Q,5,FALSE)</f>
        <v>58</v>
      </c>
      <c r="H49">
        <f>VLOOKUP(E49,Moulins!C:Q,3,FALSE)</f>
        <v>1000</v>
      </c>
      <c r="I49" t="str">
        <f>VLOOKUP(E49,Moulins!C:Q,9,FALSE)</f>
        <v>ALPEX PHARMACEUTICALS</v>
      </c>
      <c r="J49" t="str">
        <f>VLOOKUP(E49,Moulins!C:Q,13,FALSE)</f>
        <v>Received</v>
      </c>
      <c r="K49" s="354">
        <f>VLOOKUP(E49,Moulins!C:Q,14,FALSE)</f>
        <v>46057</v>
      </c>
      <c r="L49">
        <f ca="1">VLOOKUP(E49,Moulins!C:Q,15,FALSE)</f>
        <v>68</v>
      </c>
      <c r="M49">
        <f>VLOOKUP(E49,Moulins!C:Q,6,FALSE)</f>
        <v>58000</v>
      </c>
    </row>
    <row r="50" spans="1:13">
      <c r="A50">
        <f t="shared" si="0"/>
        <v>49</v>
      </c>
      <c r="B50" t="s">
        <v>2354</v>
      </c>
      <c r="C50" t="s">
        <v>1069</v>
      </c>
      <c r="E50" t="s">
        <v>2355</v>
      </c>
      <c r="F50" s="430" t="str">
        <f>VLOOKUP(E50,Moulins!C:Q,7,FALSE)</f>
        <v>Glimepiride 2 mg + Metformin 500 mg SR Packing: 10x15 Blister</v>
      </c>
      <c r="G50">
        <f>VLOOKUP(E50,Moulins!C:Q,5,FALSE)</f>
        <v>100</v>
      </c>
      <c r="H50">
        <f>VLOOKUP(E50,Moulins!C:Q,3,FALSE)</f>
        <v>300</v>
      </c>
      <c r="I50" t="str">
        <f>VLOOKUP(E50,Moulins!C:Q,9,FALSE)</f>
        <v>ALPEX PHARMACEUTICALS</v>
      </c>
      <c r="J50" t="str">
        <f>VLOOKUP(E50,Moulins!C:Q,13,FALSE)</f>
        <v>Received</v>
      </c>
      <c r="K50" s="354">
        <f>VLOOKUP(E50,Moulins!C:Q,14,FALSE)</f>
        <v>46109</v>
      </c>
      <c r="L50">
        <f ca="1">VLOOKUP(E50,Moulins!C:Q,15,FALSE)</f>
        <v>16</v>
      </c>
      <c r="M50">
        <f>VLOOKUP(E50,Moulins!C:Q,6,FALSE)</f>
        <v>30000</v>
      </c>
    </row>
    <row r="51" spans="1:13">
      <c r="A51">
        <f t="shared" si="0"/>
        <v>50</v>
      </c>
      <c r="B51" t="s">
        <v>1209</v>
      </c>
      <c r="C51" t="s">
        <v>2356</v>
      </c>
      <c r="D51">
        <v>85</v>
      </c>
      <c r="E51" t="s">
        <v>2357</v>
      </c>
      <c r="F51" s="430" t="str">
        <f>VLOOKUP(E51,Moulins!C:Q,7,FALSE)</f>
        <v>10 x 10 ALU ALU</v>
      </c>
      <c r="G51">
        <f>VLOOKUP(E51,Moulins!C:Q,5,FALSE)</f>
        <v>78</v>
      </c>
      <c r="H51">
        <f>VLOOKUP(E51,Moulins!C:Q,3,FALSE)</f>
        <v>500</v>
      </c>
      <c r="I51" t="str">
        <f>VLOOKUP(E51,Moulins!C:Q,9,FALSE)</f>
        <v>Altar Sri</v>
      </c>
      <c r="J51" t="str">
        <f>VLOOKUP(E51,Moulins!C:Q,13,FALSE)</f>
        <v>Received</v>
      </c>
      <c r="K51" s="354">
        <f>VLOOKUP(E51,Moulins!C:Q,14,FALSE)</f>
        <v>46076</v>
      </c>
      <c r="L51">
        <f ca="1">VLOOKUP(E51,Moulins!C:Q,15,FALSE)</f>
        <v>49</v>
      </c>
      <c r="M51">
        <f>VLOOKUP(E51,Moulins!C:Q,6,FALSE)</f>
        <v>39000</v>
      </c>
    </row>
    <row r="52" spans="1:13">
      <c r="A52">
        <f t="shared" si="0"/>
        <v>51</v>
      </c>
      <c r="B52" t="s">
        <v>1991</v>
      </c>
      <c r="C52" t="s">
        <v>2319</v>
      </c>
      <c r="D52">
        <v>5</v>
      </c>
      <c r="E52" t="s">
        <v>2358</v>
      </c>
      <c r="F52" s="430" t="str">
        <f>VLOOKUP(E52,Moulins!C:Q,7,FALSE)</f>
        <v>Packing 5g, composition: Vicks balm</v>
      </c>
      <c r="G52">
        <f>VLOOKUP(E52,Moulins!C:Q,5,FALSE)</f>
        <v>4.5999999999999996</v>
      </c>
      <c r="H52">
        <f>VLOOKUP(E52,Moulins!C:Q,3,FALSE)</f>
        <v>5000</v>
      </c>
      <c r="I52" t="str">
        <f>VLOOKUP(E52,Moulins!C:Q,9,FALSE)</f>
        <v>Yaxon Biocare</v>
      </c>
      <c r="J52" t="str">
        <f>VLOOKUP(E52,Moulins!C:Q,13,FALSE)</f>
        <v>Cancelled</v>
      </c>
      <c r="K52" s="354">
        <f>VLOOKUP(E52,Moulins!C:Q,14,FALSE)</f>
        <v>46046</v>
      </c>
      <c r="L52">
        <f ca="1">VLOOKUP(E52,Moulins!C:Q,15,FALSE)</f>
        <v>79</v>
      </c>
      <c r="M52">
        <f>VLOOKUP(E52,Moulins!C:Q,6,FALSE)</f>
        <v>0</v>
      </c>
    </row>
    <row r="53" spans="1:13">
      <c r="A53">
        <f t="shared" si="0"/>
        <v>52</v>
      </c>
      <c r="B53" t="s">
        <v>1994</v>
      </c>
      <c r="C53" t="s">
        <v>2319</v>
      </c>
      <c r="D53">
        <v>6.75</v>
      </c>
      <c r="E53" t="s">
        <v>2359</v>
      </c>
      <c r="F53" s="430" t="str">
        <f>VLOOKUP(E53,Moulins!C:Q,7,FALSE)</f>
        <v>Packing 10g, composition: Vicks balm</v>
      </c>
      <c r="G53">
        <f>VLOOKUP(E53,Moulins!C:Q,5,FALSE)</f>
        <v>6.25</v>
      </c>
      <c r="H53">
        <f>VLOOKUP(E53,Moulins!C:Q,3,FALSE)</f>
        <v>5000</v>
      </c>
      <c r="I53" t="str">
        <f>VLOOKUP(E53,Moulins!C:Q,9,FALSE)</f>
        <v>Yaxon Biocare</v>
      </c>
      <c r="J53" t="str">
        <f>VLOOKUP(E53,Moulins!C:Q,13,FALSE)</f>
        <v>Cancelled</v>
      </c>
      <c r="K53" s="354">
        <f>VLOOKUP(E53,Moulins!C:Q,14,FALSE)</f>
        <v>46046</v>
      </c>
      <c r="L53">
        <f ca="1">VLOOKUP(E53,Moulins!C:Q,15,FALSE)</f>
        <v>79</v>
      </c>
      <c r="M53">
        <f>VLOOKUP(E53,Moulins!C:Q,6,FALSE)</f>
        <v>0</v>
      </c>
    </row>
    <row r="54" spans="1:13" ht="30">
      <c r="A54">
        <f t="shared" si="0"/>
        <v>53</v>
      </c>
      <c r="B54" s="181" t="s">
        <v>2012</v>
      </c>
      <c r="C54" t="s">
        <v>213</v>
      </c>
      <c r="D54">
        <v>55</v>
      </c>
      <c r="E54" t="s">
        <v>2360</v>
      </c>
      <c r="F54" s="430" t="str">
        <f>VLOOKUP(E54,Moulins!C:Q,7,FALSE)</f>
        <v>100ML(WITH CARTON)
COMPOSITOIN: Ursodiol suspension 125 mg/5 ml</v>
      </c>
      <c r="G54">
        <f>VLOOKUP(E54,Moulins!C:Q,5,FALSE)</f>
        <v>50</v>
      </c>
      <c r="H54">
        <f>VLOOKUP(E54,Moulins!C:Q,3,FALSE)</f>
        <v>1500</v>
      </c>
      <c r="I54" t="str">
        <f>VLOOKUP(E54,Moulins!C:Q,9,FALSE)</f>
        <v>SAPHNIX PHARMACEUTICALS</v>
      </c>
      <c r="J54" t="str">
        <f>VLOOKUP(E54,Moulins!C:Q,13,FALSE)</f>
        <v>Cancelled</v>
      </c>
      <c r="K54" s="354">
        <f>VLOOKUP(E54,Moulins!C:Q,14,FALSE)</f>
        <v>46051</v>
      </c>
      <c r="L54">
        <f ca="1">VLOOKUP(E54,Moulins!C:Q,15,FALSE)</f>
        <v>74</v>
      </c>
      <c r="M54">
        <f>VLOOKUP(E54,Moulins!C:Q,6,FALSE)</f>
        <v>0</v>
      </c>
    </row>
    <row r="55" spans="1:13">
      <c r="A55">
        <f t="shared" si="0"/>
        <v>54</v>
      </c>
      <c r="B55" s="181" t="s">
        <v>2361</v>
      </c>
      <c r="C55" t="s">
        <v>2322</v>
      </c>
      <c r="D55">
        <v>650</v>
      </c>
      <c r="E55" t="s">
        <v>2362</v>
      </c>
      <c r="F55" s="430" t="str">
        <f>VLOOKUP(E55,Moulins!C:Q,7,FALSE)</f>
        <v xml:space="preserve">Packing: 10*1*10 Alu Alu Composition: Citicoline 500 mg + Piracetam 800 mg Tablet  </v>
      </c>
      <c r="G55">
        <f>VLOOKUP(E55,Moulins!C:Q,5,FALSE)</f>
        <v>610</v>
      </c>
      <c r="H55">
        <f>VLOOKUP(E55,Moulins!C:Q,3,FALSE)</f>
        <v>200</v>
      </c>
      <c r="I55" t="str">
        <f>VLOOKUP(E55,Moulins!C:Q,9,FALSE)</f>
        <v>ALPEX PHARMACEUTICALS</v>
      </c>
      <c r="J55" t="str">
        <f>VLOOKUP(E55,Moulins!C:Q,13,FALSE)</f>
        <v>Design OK</v>
      </c>
      <c r="K55" s="354">
        <f>VLOOKUP(E55,Moulins!C:Q,14,FALSE)</f>
        <v>46070</v>
      </c>
      <c r="L55">
        <f>VLOOKUP(E55,Moulins!C:Q,15,FALSE)</f>
        <v>0</v>
      </c>
      <c r="M55">
        <f>VLOOKUP(E55,Moulins!C:Q,6,FALSE)</f>
        <v>122000</v>
      </c>
    </row>
    <row r="56" spans="1:13">
      <c r="A56">
        <f t="shared" si="0"/>
        <v>55</v>
      </c>
      <c r="B56" s="181" t="s">
        <v>2019</v>
      </c>
      <c r="C56" t="s">
        <v>2322</v>
      </c>
      <c r="D56">
        <v>145</v>
      </c>
      <c r="E56" t="s">
        <v>2363</v>
      </c>
      <c r="F56" s="430" t="str">
        <f>VLOOKUP(E56,Moulins!C:Q,7,FALSE)</f>
        <v>10*1*10 Alu-Alu Composition: Vildagliptin 50 mg + Metformin 1000 mg Tablet</v>
      </c>
      <c r="G56">
        <f>VLOOKUP(E56,Moulins!C:Q,5,FALSE)</f>
        <v>120</v>
      </c>
      <c r="H56">
        <f>VLOOKUP(E56,Moulins!C:Q,3,FALSE)</f>
        <v>300</v>
      </c>
      <c r="I56" t="str">
        <f>VLOOKUP(E56,Moulins!C:Q,9,FALSE)</f>
        <v>Cent Cure</v>
      </c>
      <c r="J56" t="str">
        <f>VLOOKUP(E56,Moulins!C:Q,13,FALSE)</f>
        <v>Design OK</v>
      </c>
      <c r="K56" s="354">
        <f>VLOOKUP(E56,Moulins!C:Q,14,FALSE)</f>
        <v>46076</v>
      </c>
      <c r="L56">
        <f>VLOOKUP(E56,Moulins!C:Q,15,FALSE)</f>
        <v>0</v>
      </c>
      <c r="M56">
        <f>VLOOKUP(E56,Moulins!C:Q,6,FALSE)</f>
        <v>36000</v>
      </c>
    </row>
    <row r="57" spans="1:13">
      <c r="A57">
        <f t="shared" si="0"/>
        <v>56</v>
      </c>
      <c r="B57" s="181" t="s">
        <v>2021</v>
      </c>
      <c r="C57" t="s">
        <v>2322</v>
      </c>
      <c r="D57">
        <v>125</v>
      </c>
      <c r="E57" t="s">
        <v>2364</v>
      </c>
      <c r="F57" s="430" t="str">
        <f>VLOOKUP(E57,Moulins!C:Q,7,FALSE)</f>
        <v>10*1*10 Alu-Alu Composition: Vildagliptin 50 mg + Metformin 500 mg Tablet</v>
      </c>
      <c r="G57">
        <f>VLOOKUP(E57,Moulins!C:Q,5,FALSE)</f>
        <v>105</v>
      </c>
      <c r="H57">
        <f>VLOOKUP(E57,Moulins!C:Q,3,FALSE)</f>
        <v>300</v>
      </c>
      <c r="I57" t="str">
        <f>VLOOKUP(E57,Moulins!C:Q,9,FALSE)</f>
        <v>Cent Cure</v>
      </c>
      <c r="J57" t="str">
        <f>VLOOKUP(E57,Moulins!C:Q,13,FALSE)</f>
        <v>Design OK</v>
      </c>
      <c r="K57" s="354">
        <f>VLOOKUP(E57,Moulins!C:Q,14,FALSE)</f>
        <v>46076</v>
      </c>
      <c r="L57">
        <f>VLOOKUP(E57,Moulins!C:Q,15,FALSE)</f>
        <v>0</v>
      </c>
      <c r="M57">
        <f>VLOOKUP(E57,Moulins!C:Q,6,FALSE)</f>
        <v>31500</v>
      </c>
    </row>
    <row r="58" spans="1:13">
      <c r="A58">
        <f t="shared" si="0"/>
        <v>57</v>
      </c>
      <c r="B58" t="s">
        <v>925</v>
      </c>
      <c r="C58" t="s">
        <v>2294</v>
      </c>
      <c r="E58" t="s">
        <v>2365</v>
      </c>
      <c r="F58" s="430" t="str">
        <f>VLOOKUP(E58,Moulins!C:Q,7,FALSE)</f>
        <v>30 GM</v>
      </c>
      <c r="G58">
        <f>VLOOKUP(E58,Moulins!C:Q,5,FALSE)</f>
        <v>9.4</v>
      </c>
      <c r="H58">
        <f>VLOOKUP(E58,Moulins!C:Q,3,FALSE)</f>
        <v>3000</v>
      </c>
      <c r="I58" t="str">
        <f>VLOOKUP(E58,Moulins!C:Q,9,FALSE)</f>
        <v>SHUBHAM HEALTHCARE</v>
      </c>
      <c r="J58" t="str">
        <f>VLOOKUP(E58,Moulins!C:Q,13,FALSE)</f>
        <v>Received</v>
      </c>
      <c r="K58" s="354">
        <f>VLOOKUP(E58,Moulins!C:Q,14,FALSE)</f>
        <v>46109</v>
      </c>
      <c r="L58">
        <f>VLOOKUP(E58,Moulins!C:Q,15,FALSE)</f>
        <v>0</v>
      </c>
      <c r="M58">
        <f>VLOOKUP(E58,Moulins!C:Q,6,FALSE)</f>
        <v>28200</v>
      </c>
    </row>
    <row r="59" spans="1:13">
      <c r="A59">
        <f t="shared" si="0"/>
        <v>58</v>
      </c>
      <c r="B59" s="181" t="s">
        <v>2035</v>
      </c>
      <c r="C59" t="s">
        <v>2366</v>
      </c>
      <c r="D59">
        <v>83</v>
      </c>
      <c r="E59" t="s">
        <v>2367</v>
      </c>
      <c r="F59" s="430" t="str">
        <f>VLOOKUP(E59,Moulins!C:Q,7,FALSE)</f>
        <v>Meropenem 1000 mg + Sulbactam 500 mg</v>
      </c>
      <c r="G59">
        <f>VLOOKUP(E59,Moulins!C:Q,5,FALSE)</f>
        <v>77</v>
      </c>
      <c r="H59">
        <f>VLOOKUP(E59,Moulins!C:Q,3,FALSE)</f>
        <v>1000</v>
      </c>
      <c r="I59" t="str">
        <f>VLOOKUP(E59,Moulins!C:Q,9,FALSE)</f>
        <v>MMG</v>
      </c>
      <c r="J59" t="str">
        <f>VLOOKUP(E59,Moulins!C:Q,13,FALSE)</f>
        <v>Received</v>
      </c>
      <c r="K59" s="354">
        <f>VLOOKUP(E59,Moulins!C:Q,14,FALSE)</f>
        <v>46090</v>
      </c>
      <c r="L59">
        <f>VLOOKUP(E59,Moulins!C:Q,15,FALSE)</f>
        <v>0</v>
      </c>
      <c r="M59">
        <f>VLOOKUP(E59,Moulins!C:Q,6,FALSE)</f>
        <v>77000</v>
      </c>
    </row>
    <row r="60" spans="1:13">
      <c r="A60">
        <f t="shared" si="0"/>
        <v>59</v>
      </c>
      <c r="B60" s="181" t="s">
        <v>2368</v>
      </c>
      <c r="C60" t="s">
        <v>2366</v>
      </c>
      <c r="D60">
        <v>55</v>
      </c>
      <c r="E60" t="s">
        <v>2369</v>
      </c>
      <c r="F60" s="430" t="str">
        <f>VLOOKUP(E60,Moulins!C:Q,7,FALSE)</f>
        <v>Piperacillin Sodium 4 g + Tazobactam Sodium 0.5 g</v>
      </c>
      <c r="G60">
        <f>VLOOKUP(E60,Moulins!C:Q,5,FALSE)</f>
        <v>49</v>
      </c>
      <c r="H60">
        <f>VLOOKUP(E60,Moulins!C:Q,3,FALSE)</f>
        <v>1000</v>
      </c>
      <c r="I60" t="str">
        <f>VLOOKUP(E60,Moulins!C:Q,9,FALSE)</f>
        <v>ASSOCIATED BIOTECH</v>
      </c>
      <c r="J60" t="str">
        <f>VLOOKUP(E60,Moulins!C:Q,13,FALSE)</f>
        <v>Received</v>
      </c>
      <c r="K60" s="354">
        <f>VLOOKUP(E60,Moulins!C:Q,14,FALSE)</f>
        <v>46109</v>
      </c>
      <c r="L60">
        <f>VLOOKUP(E60,Moulins!C:Q,15,FALSE)</f>
        <v>0</v>
      </c>
      <c r="M60">
        <f>VLOOKUP(E60,Moulins!C:Q,6,FALSE)</f>
        <v>49000</v>
      </c>
    </row>
    <row r="61" spans="1:13">
      <c r="A61">
        <f t="shared" si="0"/>
        <v>60</v>
      </c>
      <c r="B61" s="181" t="s">
        <v>2045</v>
      </c>
      <c r="D61">
        <v>14.5</v>
      </c>
      <c r="E61" t="s">
        <v>2370</v>
      </c>
      <c r="F61" s="430" t="str">
        <f>VLOOKUP(E61,Moulins!C:Q,7,FALSE)</f>
        <v>200mL with carton and Label</v>
      </c>
      <c r="G61">
        <f>VLOOKUP(E61,Moulins!C:Q,5,FALSE)</f>
        <v>12.5</v>
      </c>
      <c r="H61">
        <f>VLOOKUP(E61,Moulins!C:Q,3,FALSE)</f>
        <v>2000</v>
      </c>
      <c r="I61" t="str">
        <f>VLOOKUP(E61,Moulins!C:Q,9,FALSE)</f>
        <v>Raizel Healthcare</v>
      </c>
      <c r="J61" t="str">
        <f>VLOOKUP(E61,Moulins!C:Q,13,FALSE)</f>
        <v>Received</v>
      </c>
      <c r="K61" s="354">
        <f>VLOOKUP(E61,Moulins!C:Q,14,FALSE)</f>
        <v>46109</v>
      </c>
      <c r="L61">
        <f>VLOOKUP(E61,Moulins!C:Q,15,FALSE)</f>
        <v>0</v>
      </c>
      <c r="M61">
        <f>VLOOKUP(E61,Moulins!C:Q,6,FALSE)</f>
        <v>25000</v>
      </c>
    </row>
    <row r="62" spans="1:13">
      <c r="A62">
        <f t="shared" si="0"/>
        <v>61</v>
      </c>
      <c r="B62" s="181" t="s">
        <v>2371</v>
      </c>
      <c r="C62" t="s">
        <v>2372</v>
      </c>
      <c r="E62" t="s">
        <v>2373</v>
      </c>
      <c r="F62" s="430" t="str">
        <f>VLOOKUP(E62,Moulins!C:Q,7,FALSE)</f>
        <v>60 ml with carton and M Cap  (Mango Flavour)</v>
      </c>
      <c r="G62">
        <f>VLOOKUP(E62,Moulins!C:Q,5,FALSE)</f>
        <v>9.8000000000000007</v>
      </c>
      <c r="H62">
        <f>VLOOKUP(E62,Moulins!C:Q,3,FALSE)</f>
        <v>3000</v>
      </c>
      <c r="I62" t="str">
        <f>VLOOKUP(E62,Moulins!C:Q,9,FALSE)</f>
        <v>SHUBHAM HEALTHCARE</v>
      </c>
      <c r="J62" t="str">
        <f>VLOOKUP(E62,Moulins!C:Q,13,FALSE)</f>
        <v>Design OK</v>
      </c>
      <c r="K62" s="354">
        <f>VLOOKUP(E62,Moulins!C:Q,14,FALSE)</f>
        <v>46107</v>
      </c>
      <c r="L62">
        <f>VLOOKUP(E62,Moulins!C:Q,15,FALSE)</f>
        <v>0</v>
      </c>
      <c r="M62">
        <f>VLOOKUP(E62,Moulins!C:Q,6,FALSE)</f>
        <v>29400.000000000004</v>
      </c>
    </row>
    <row r="63" spans="1:13">
      <c r="A63">
        <f t="shared" si="0"/>
        <v>62</v>
      </c>
      <c r="B63" s="214" t="s">
        <v>1565</v>
      </c>
      <c r="E63" t="s">
        <v>2374</v>
      </c>
      <c r="F63" s="430" t="str">
        <f>VLOOKUP(E63,Moulins!C:Q,7,FALSE)</f>
        <v>30s Pack with Container and Shrink, same as old design</v>
      </c>
      <c r="G63">
        <f>VLOOKUP(E63,Moulins!C:Q,5,FALSE)</f>
        <v>36.5</v>
      </c>
      <c r="H63">
        <f>VLOOKUP(E63,Moulins!C:Q,3,FALSE)</f>
        <v>1000</v>
      </c>
      <c r="I63" t="str">
        <f>VLOOKUP(E63,Moulins!C:Q,9,FALSE)</f>
        <v>Yaxon Biocare</v>
      </c>
      <c r="J63" t="str">
        <f>VLOOKUP(E63,Moulins!C:Q,13,FALSE)</f>
        <v>Repeat</v>
      </c>
      <c r="K63" s="354">
        <f>VLOOKUP(E63,Moulins!C:Q,14,FALSE)</f>
        <v>46069</v>
      </c>
      <c r="L63">
        <f>VLOOKUP(E63,Moulins!C:Q,15,FALSE)</f>
        <v>0</v>
      </c>
      <c r="M63">
        <f>VLOOKUP(E63,Moulins!C:Q,6,FALSE)</f>
        <v>36500</v>
      </c>
    </row>
    <row r="64" spans="1:13">
      <c r="A64">
        <f t="shared" si="0"/>
        <v>63</v>
      </c>
      <c r="B64" s="210" t="s">
        <v>2062</v>
      </c>
      <c r="E64" t="s">
        <v>2375</v>
      </c>
      <c r="F64" s="430" t="str">
        <f>VLOOKUP(E64,Moulins!C:Q,7,FALSE)</f>
        <v>Packing: 10*15 ALU ALU Composition: Levocetirizine 5 mg + Montelukast 10 mg</v>
      </c>
      <c r="G64">
        <f>VLOOKUP(E64,Moulins!C:Q,5,FALSE)</f>
        <v>106</v>
      </c>
      <c r="H64">
        <f>VLOOKUP(E64,Moulins!C:Q,3,FALSE)</f>
        <v>300</v>
      </c>
      <c r="I64" t="str">
        <f>VLOOKUP(E64,Moulins!C:Q,9,FALSE)</f>
        <v>SHUBHAM HEALTHCARE</v>
      </c>
      <c r="J64" t="str">
        <f>VLOOKUP(E64,Moulins!C:Q,13,FALSE)</f>
        <v>Design OK</v>
      </c>
      <c r="K64" s="354">
        <f>VLOOKUP(E64,Moulins!C:Q,14,FALSE)</f>
        <v>46073</v>
      </c>
      <c r="L64">
        <f>VLOOKUP(E64,Moulins!C:Q,15,FALSE)</f>
        <v>0</v>
      </c>
      <c r="M64">
        <f>VLOOKUP(E64,Moulins!C:Q,6,FALSE)</f>
        <v>31800</v>
      </c>
    </row>
    <row r="65" spans="1:13" ht="30">
      <c r="A65">
        <f t="shared" si="0"/>
        <v>64</v>
      </c>
      <c r="B65" s="181" t="s">
        <v>2069</v>
      </c>
      <c r="C65" t="s">
        <v>2336</v>
      </c>
      <c r="D65">
        <v>34</v>
      </c>
      <c r="E65" t="s">
        <v>2068</v>
      </c>
      <c r="F65" s="430" t="str">
        <f>VLOOKUP(E65,Moulins!C:Q,7,FALSE)</f>
        <v>Packing 150mL Pet Bottle and Label with Leafing, composition: Sodium Alginate 250 mg + Sodium Bicarbonate 133.5  mg + Calcium Carbonate 80 mg  Suspension (Flavour Mint)</v>
      </c>
      <c r="G65">
        <f>VLOOKUP(E65,Moulins!C:Q,5,FALSE)</f>
        <v>31</v>
      </c>
      <c r="H65">
        <f>VLOOKUP(E65,Moulins!C:Q,3,FALSE)</f>
        <v>10000</v>
      </c>
      <c r="I65" t="str">
        <f>VLOOKUP(E65,Moulins!C:Q,9,FALSE)</f>
        <v>UNISPEED PHARMACEUTICALS</v>
      </c>
      <c r="J65" t="str">
        <f>VLOOKUP(E65,Moulins!C:Q,13,FALSE)</f>
        <v>Design OK</v>
      </c>
      <c r="K65" s="354">
        <f>VLOOKUP(E65,Moulins!C:Q,14,FALSE)</f>
        <v>46077</v>
      </c>
      <c r="L65">
        <f>VLOOKUP(E65,Moulins!C:Q,15,FALSE)</f>
        <v>0</v>
      </c>
      <c r="M65">
        <f>VLOOKUP(E65,Moulins!C:Q,6,FALSE)</f>
        <v>310000</v>
      </c>
    </row>
    <row r="66" spans="1:13">
      <c r="A66">
        <f t="shared" si="0"/>
        <v>65</v>
      </c>
      <c r="B66" s="446" t="s">
        <v>2376</v>
      </c>
      <c r="C66" t="s">
        <v>2377</v>
      </c>
      <c r="D66" s="446">
        <v>575</v>
      </c>
      <c r="E66" t="s">
        <v>2378</v>
      </c>
      <c r="F66" s="430" t="str">
        <f>VLOOKUP(E66,Moulins!C:Q,7,FALSE)</f>
        <v>10*1*10 ALU+ALU Base foil Printed COMPOSITION: Ursodeoxycholic Acid 300 mg</v>
      </c>
      <c r="G66">
        <f>VLOOKUP(E66,Moulins!C:Q,5,FALSE)</f>
        <v>545</v>
      </c>
      <c r="H66">
        <f>VLOOKUP(E66,Moulins!C:Q,3,FALSE)</f>
        <v>300</v>
      </c>
      <c r="I66" t="str">
        <f>VLOOKUP(E66,Moulins!C:Q,9,FALSE)</f>
        <v>ALPEX PHARMACEUTICALS</v>
      </c>
      <c r="J66" t="str">
        <f>VLOOKUP(E66,Moulins!C:Q,13,FALSE)</f>
        <v>Design OK</v>
      </c>
      <c r="K66" s="354">
        <f>VLOOKUP(E66,Moulins!C:Q,14,FALSE)</f>
        <v>46112</v>
      </c>
      <c r="L66">
        <f>VLOOKUP(E66,Moulins!C:Q,15,FALSE)</f>
        <v>0</v>
      </c>
      <c r="M66">
        <f>VLOOKUP(E66,Moulins!C:Q,6,FALSE)</f>
        <v>163500</v>
      </c>
    </row>
    <row r="67" spans="1:13" ht="30">
      <c r="A67">
        <f t="shared" ref="A67:A117" si="1">ROW()-1</f>
        <v>66</v>
      </c>
      <c r="B67" s="447" t="s">
        <v>2379</v>
      </c>
      <c r="C67" t="s">
        <v>2377</v>
      </c>
      <c r="D67" s="447">
        <v>29</v>
      </c>
      <c r="E67" t="s">
        <v>2380</v>
      </c>
      <c r="F67" s="430" t="str">
        <f>VLOOKUP(E67,Moulins!C:Q,7,FALSE)</f>
        <v xml:space="preserve">200 ML PET BOTTLE WITH BOX EMBOSS (SUGAR FREE)  Composition: Potassium Citrate 1100 mg + Magnesium Citrate 375 mg + Pyridoxine 20 mg / 5 mL </v>
      </c>
      <c r="G67">
        <f>VLOOKUP(E67,Moulins!C:Q,5,FALSE)</f>
        <v>26</v>
      </c>
      <c r="H67">
        <f>VLOOKUP(E67,Moulins!C:Q,3,FALSE)</f>
        <v>2500</v>
      </c>
      <c r="I67" t="str">
        <f>VLOOKUP(E67,Moulins!C:Q,9,FALSE)</f>
        <v>RUZETTE ORGANICS</v>
      </c>
      <c r="J67" t="str">
        <f>VLOOKUP(E67,Moulins!C:Q,13,FALSE)</f>
        <v>Design OK</v>
      </c>
      <c r="K67" s="354">
        <f>VLOOKUP(E67,Moulins!C:Q,14,FALSE)</f>
        <v>46085</v>
      </c>
      <c r="L67">
        <f>VLOOKUP(E67,Moulins!C:Q,15,FALSE)</f>
        <v>0</v>
      </c>
      <c r="M67">
        <f>VLOOKUP(E67,Moulins!C:Q,6,FALSE)</f>
        <v>65000</v>
      </c>
    </row>
    <row r="68" spans="1:13" ht="90">
      <c r="A68">
        <f t="shared" si="1"/>
        <v>67</v>
      </c>
      <c r="B68" s="447" t="s">
        <v>2381</v>
      </c>
      <c r="C68" t="s">
        <v>2377</v>
      </c>
      <c r="D68" s="447">
        <v>18</v>
      </c>
      <c r="E68" t="s">
        <v>2382</v>
      </c>
      <c r="F68" s="430" t="str">
        <f>VLOOKUP(E68,Moulins!C:Q,7,FALSE)</f>
        <v xml:space="preserve">150 ML PET BOTTLE WITH BOX EMBOSS (SUGAR FREE) composition: Each 15 ml contains: 
- Cranberry Extract – 200 mg 
- D Mannose – 300 mg 
- Potassium Magnesium Citrate – 978 mg 
  • Potassium Citrate Anhydrous – 714.9 mg 
  • Magnesium Citrate Anhydrous – 263.10 mg </v>
      </c>
      <c r="G68">
        <f>VLOOKUP(E68,Moulins!C:Q,5,FALSE)</f>
        <v>13.75</v>
      </c>
      <c r="H68">
        <f>VLOOKUP(E68,Moulins!C:Q,3,FALSE)</f>
        <v>2500</v>
      </c>
      <c r="I68" t="str">
        <f>VLOOKUP(E68,Moulins!C:Q,9,FALSE)</f>
        <v>RUZETTE ORGANICS</v>
      </c>
      <c r="J68" t="str">
        <f>VLOOKUP(E68,Moulins!C:Q,13,FALSE)</f>
        <v>Design OK</v>
      </c>
      <c r="K68" s="354">
        <f>VLOOKUP(E68,Moulins!C:Q,14,FALSE)</f>
        <v>46118</v>
      </c>
      <c r="L68">
        <f>VLOOKUP(E68,Moulins!C:Q,15,FALSE)</f>
        <v>0</v>
      </c>
      <c r="M68">
        <f>VLOOKUP(E68,Moulins!C:Q,6,FALSE)</f>
        <v>34375</v>
      </c>
    </row>
    <row r="69" spans="1:13">
      <c r="A69">
        <f t="shared" si="1"/>
        <v>68</v>
      </c>
      <c r="B69" s="448" t="s">
        <v>2383</v>
      </c>
      <c r="C69" t="s">
        <v>2377</v>
      </c>
      <c r="D69" s="448">
        <v>90</v>
      </c>
      <c r="E69" t="s">
        <v>2384</v>
      </c>
      <c r="F69" s="430" t="str">
        <f>VLOOKUP(E69,Moulins!C:Q,7,FALSE)</f>
        <v>10*10 ALU+ALU Base foil Printed (SMALL ROUND) Composition: RABEPRAZOLE 20 MG TAB</v>
      </c>
      <c r="G69">
        <f>VLOOKUP(E69,Moulins!C:Q,5,FALSE)</f>
        <v>58</v>
      </c>
      <c r="H69">
        <f>VLOOKUP(E69,Moulins!C:Q,3,FALSE)</f>
        <v>500</v>
      </c>
      <c r="I69" t="str">
        <f>VLOOKUP(E69,Moulins!C:Q,9,FALSE)</f>
        <v>HAUSTUS BIOTECH PVT LTD</v>
      </c>
      <c r="J69" t="str">
        <f>VLOOKUP(E69,Moulins!C:Q,13,FALSE)</f>
        <v>Design OK</v>
      </c>
      <c r="K69" s="354">
        <f>VLOOKUP(E69,Moulins!C:Q,14,FALSE)</f>
        <v>46112</v>
      </c>
      <c r="L69">
        <f>VLOOKUP(E69,Moulins!C:Q,15,FALSE)</f>
        <v>0</v>
      </c>
      <c r="M69">
        <f>VLOOKUP(E69,Moulins!C:Q,6,FALSE)</f>
        <v>29000</v>
      </c>
    </row>
    <row r="70" spans="1:13">
      <c r="A70">
        <f t="shared" si="1"/>
        <v>69</v>
      </c>
      <c r="B70" s="448" t="s">
        <v>2385</v>
      </c>
      <c r="C70" t="s">
        <v>2377</v>
      </c>
      <c r="D70" s="448">
        <v>112</v>
      </c>
      <c r="E70" t="s">
        <v>2386</v>
      </c>
      <c r="F70" s="430" t="str">
        <f>VLOOKUP(E70,Moulins!C:Q,7,FALSE)</f>
        <v>10*15 ALU+ALU Base foil Printed Composition: RABEPRAZOLE + DOMPE SR CAP</v>
      </c>
      <c r="G70">
        <f>VLOOKUP(E70,Moulins!C:Q,5,FALSE)</f>
        <v>102</v>
      </c>
      <c r="H70">
        <f>VLOOKUP(E70,Moulins!C:Q,3,FALSE)</f>
        <v>500</v>
      </c>
      <c r="I70" t="str">
        <f>VLOOKUP(E70,Moulins!C:Q,9,FALSE)</f>
        <v>ALPEX PHARMACEUTICALS</v>
      </c>
      <c r="J70" t="str">
        <f>VLOOKUP(E70,Moulins!C:Q,13,FALSE)</f>
        <v>Design OK</v>
      </c>
      <c r="K70" s="354">
        <f>VLOOKUP(E70,Moulins!C:Q,14,FALSE)</f>
        <v>46114</v>
      </c>
      <c r="L70">
        <f>VLOOKUP(E70,Moulins!C:Q,15,FALSE)</f>
        <v>0</v>
      </c>
      <c r="M70">
        <f>VLOOKUP(E70,Moulins!C:Q,6,FALSE)</f>
        <v>51000</v>
      </c>
    </row>
    <row r="71" spans="1:13">
      <c r="A71">
        <f t="shared" si="1"/>
        <v>70</v>
      </c>
      <c r="B71" s="448" t="s">
        <v>2387</v>
      </c>
      <c r="C71" t="s">
        <v>2377</v>
      </c>
      <c r="D71" s="448">
        <v>95</v>
      </c>
      <c r="E71" t="s">
        <v>2388</v>
      </c>
      <c r="F71" s="430" t="str">
        <f>VLOOKUP(E71,Moulins!C:Q,7,FALSE)</f>
        <v>10*15 ALU+ALU Base foil Printed Composition: PANTAPRAZOLE 40 TAB</v>
      </c>
      <c r="G71">
        <f>VLOOKUP(E71,Moulins!C:Q,5,FALSE)</f>
        <v>80</v>
      </c>
      <c r="H71">
        <f>VLOOKUP(E71,Moulins!C:Q,3,FALSE)</f>
        <v>500</v>
      </c>
      <c r="I71" t="str">
        <f>VLOOKUP(E71,Moulins!C:Q,9,FALSE)</f>
        <v>SHUBHAM HEALTHCARE</v>
      </c>
      <c r="J71" t="str">
        <f>VLOOKUP(E71,Moulins!C:Q,13,FALSE)</f>
        <v>Design OK</v>
      </c>
      <c r="K71" s="354">
        <f>VLOOKUP(E71,Moulins!C:Q,14,FALSE)</f>
        <v>46116</v>
      </c>
      <c r="L71">
        <f>VLOOKUP(E71,Moulins!C:Q,15,FALSE)</f>
        <v>0</v>
      </c>
      <c r="M71">
        <f>VLOOKUP(E71,Moulins!C:Q,6,FALSE)</f>
        <v>40000</v>
      </c>
    </row>
    <row r="72" spans="1:13" ht="30">
      <c r="A72">
        <f t="shared" si="1"/>
        <v>71</v>
      </c>
      <c r="B72" s="446" t="s">
        <v>2389</v>
      </c>
      <c r="C72" t="s">
        <v>2377</v>
      </c>
      <c r="D72" s="446">
        <v>245</v>
      </c>
      <c r="E72" t="s">
        <v>2390</v>
      </c>
      <c r="F72" s="430" t="str">
        <f>VLOOKUP(E72,Moulins!C:Q,7,FALSE)</f>
        <v>10*15 ALU+ALU  SMALL ROUND Composition: Methylcobalamin 1500mg  + Alpha Lipoic Acid  100mg+ Folic Acid + Pyridoxine Hydrochloride + Vitamin D3 .</v>
      </c>
      <c r="G72">
        <f>VLOOKUP(E72,Moulins!C:Q,5,FALSE)</f>
        <v>215</v>
      </c>
      <c r="H72">
        <f>VLOOKUP(E72,Moulins!C:Q,3,FALSE)</f>
        <v>300</v>
      </c>
      <c r="I72" t="str">
        <f>VLOOKUP(E72,Moulins!C:Q,9,FALSE)</f>
        <v>ALPEX PHARMACEUTICALS</v>
      </c>
      <c r="J72" t="str">
        <f>VLOOKUP(E72,Moulins!C:Q,13,FALSE)</f>
        <v>Design OK</v>
      </c>
      <c r="K72" s="354">
        <f>VLOOKUP(E72,Moulins!C:Q,14,FALSE)</f>
        <v>46116</v>
      </c>
      <c r="L72">
        <f>VLOOKUP(E72,Moulins!C:Q,15,FALSE)</f>
        <v>0</v>
      </c>
      <c r="M72">
        <f>VLOOKUP(E72,Moulins!C:Q,6,FALSE)</f>
        <v>64500</v>
      </c>
    </row>
    <row r="73" spans="1:13" ht="30">
      <c r="A73">
        <f t="shared" si="1"/>
        <v>72</v>
      </c>
      <c r="B73" s="447" t="s">
        <v>2126</v>
      </c>
      <c r="C73" t="s">
        <v>2377</v>
      </c>
      <c r="D73" s="447">
        <v>165</v>
      </c>
      <c r="E73" t="s">
        <v>2391</v>
      </c>
      <c r="F73" s="430" t="str">
        <f>VLOOKUP(E73,Moulins!C:Q,7,FALSE)</f>
        <v>10*10 ALU+ALU Basefoil Printed SMALL ROUND Composition: Pregabalin 75 mg (SR), Methylcobalamin 1500 mcg &amp; Nortriptyline 10 mg Film coated SR Tablets</v>
      </c>
      <c r="G73">
        <f>VLOOKUP(E73,Moulins!C:Q,5,FALSE)</f>
        <v>128</v>
      </c>
      <c r="H73">
        <f>VLOOKUP(E73,Moulins!C:Q,3,FALSE)</f>
        <v>300</v>
      </c>
      <c r="I73" t="str">
        <f>VLOOKUP(E73,Moulins!C:Q,9,FALSE)</f>
        <v>VRINDAVAN GLOBAL</v>
      </c>
      <c r="J73" t="str">
        <f>VLOOKUP(E73,Moulins!C:Q,13,FALSE)</f>
        <v>Design OK</v>
      </c>
      <c r="K73" s="354">
        <f>VLOOKUP(E73,Moulins!C:Q,14,FALSE)</f>
        <v>46111</v>
      </c>
      <c r="L73">
        <f>VLOOKUP(E73,Moulins!C:Q,15,FALSE)</f>
        <v>0</v>
      </c>
      <c r="M73">
        <f>VLOOKUP(E73,Moulins!C:Q,6,FALSE)</f>
        <v>38400</v>
      </c>
    </row>
    <row r="74" spans="1:13" ht="210">
      <c r="A74">
        <f t="shared" si="1"/>
        <v>73</v>
      </c>
      <c r="B74" s="447" t="s">
        <v>2392</v>
      </c>
      <c r="C74" t="s">
        <v>2377</v>
      </c>
      <c r="D74" s="447">
        <v>85</v>
      </c>
      <c r="E74" t="s">
        <v>2393</v>
      </c>
      <c r="F74" s="430" t="str">
        <f>VLOOKUP(E74,Moulins!C:Q,7,FALSE)</f>
        <v>10*1*15 Blister  SMALL LONG Composition: Each film-coated tablet contains:
Calcium Carbonate – 1250 mg
(Equivalent to Elemental Calcium 500 mg)
Vitamin D3 (Cholecalciferol) – 2000 IU
Methylcobalamin – 1500 mcg
L-Methylfolate Calcium – 1 mg
Pyridoxal-5-Phosphate – 0.5 mg
Excipients – q.s. (quantity sufficient)</v>
      </c>
      <c r="G74">
        <f>VLOOKUP(E74,Moulins!C:Q,5,FALSE)</f>
        <v>215</v>
      </c>
      <c r="H74">
        <f>VLOOKUP(E74,Moulins!C:Q,3,FALSE)</f>
        <v>300</v>
      </c>
      <c r="I74" t="str">
        <f>VLOOKUP(E74,Moulins!C:Q,9,FALSE)</f>
        <v>Cent Cure</v>
      </c>
      <c r="J74" t="str">
        <f>VLOOKUP(E74,Moulins!C:Q,13,FALSE)</f>
        <v>Rate OK</v>
      </c>
      <c r="K74" s="354">
        <f>VLOOKUP(E74,Moulins!C:Q,14,FALSE)</f>
        <v>46085</v>
      </c>
      <c r="L74">
        <f>VLOOKUP(E74,Moulins!C:Q,15,FALSE)</f>
        <v>0</v>
      </c>
      <c r="M74">
        <f>VLOOKUP(E74,Moulins!C:Q,6,FALSE)</f>
        <v>64500</v>
      </c>
    </row>
    <row r="75" spans="1:13" ht="30">
      <c r="A75">
        <f t="shared" si="1"/>
        <v>74</v>
      </c>
      <c r="B75" s="447" t="s">
        <v>2394</v>
      </c>
      <c r="C75" t="s">
        <v>2377</v>
      </c>
      <c r="D75" s="447">
        <v>95</v>
      </c>
      <c r="E75" t="s">
        <v>2395</v>
      </c>
      <c r="F75" s="430" t="str">
        <f>VLOOKUP(E75,Moulins!C:Q,7,FALSE)</f>
        <v xml:space="preserve">10*1*15 Blister  SMALL LONG Compsition: Calcium Citrate 1000 mg + Vit D3 200 IU + Zinc Sulphate 4 mg + Magnesium Hydroxide 100 mg </v>
      </c>
      <c r="G75">
        <f>VLOOKUP(E75,Moulins!C:Q,5,FALSE)</f>
        <v>84</v>
      </c>
      <c r="H75">
        <f>VLOOKUP(E75,Moulins!C:Q,3,FALSE)</f>
        <v>500</v>
      </c>
      <c r="I75" t="str">
        <f>VLOOKUP(E75,Moulins!C:Q,9,FALSE)</f>
        <v>SHUBHAM HEALTHCARE</v>
      </c>
      <c r="J75" t="str">
        <f>VLOOKUP(E75,Moulins!C:Q,13,FALSE)</f>
        <v>Design OK</v>
      </c>
      <c r="K75" s="354">
        <f>VLOOKUP(E75,Moulins!C:Q,14,FALSE)</f>
        <v>46118</v>
      </c>
      <c r="L75">
        <f>VLOOKUP(E75,Moulins!C:Q,15,FALSE)</f>
        <v>0</v>
      </c>
      <c r="M75">
        <f>VLOOKUP(E75,Moulins!C:Q,6,FALSE)</f>
        <v>42000</v>
      </c>
    </row>
    <row r="76" spans="1:13" ht="30">
      <c r="A76">
        <f t="shared" si="1"/>
        <v>75</v>
      </c>
      <c r="B76" s="469" t="s">
        <v>2396</v>
      </c>
      <c r="C76" t="s">
        <v>2377</v>
      </c>
      <c r="D76" s="447">
        <v>18</v>
      </c>
      <c r="E76" t="s">
        <v>2397</v>
      </c>
      <c r="F76" s="430" t="str">
        <f>VLOOKUP(E76,Moulins!C:Q,7,FALSE)</f>
        <v xml:space="preserve">200 ML PET BOTTLE WITH BOX EMBOSS+ UV SUGAR FREE/ TASTY Composition: Ferrous Ascorbate 30 mg Folic acid 550 mcg </v>
      </c>
      <c r="G76">
        <f>VLOOKUP(E76,Moulins!C:Q,5,FALSE)</f>
        <v>16.5</v>
      </c>
      <c r="H76">
        <f>VLOOKUP(E76,Moulins!C:Q,3,FALSE)</f>
        <v>2500</v>
      </c>
      <c r="I76" t="str">
        <f>VLOOKUP(E76,Moulins!C:Q,9,FALSE)</f>
        <v>SHUBHAM HEALTHCARE</v>
      </c>
      <c r="J76" t="str">
        <f>VLOOKUP(E76,Moulins!C:Q,13,FALSE)</f>
        <v>Rate OK</v>
      </c>
      <c r="K76" s="354">
        <f>VLOOKUP(E76,Moulins!C:Q,14,FALSE)</f>
        <v>46084</v>
      </c>
      <c r="L76">
        <f>VLOOKUP(E76,Moulins!C:Q,15,FALSE)</f>
        <v>0</v>
      </c>
      <c r="M76">
        <f>VLOOKUP(E76,Moulins!C:Q,6,FALSE)</f>
        <v>41250</v>
      </c>
    </row>
    <row r="77" spans="1:13" ht="105">
      <c r="A77">
        <f t="shared" si="1"/>
        <v>76</v>
      </c>
      <c r="B77" s="447" t="s">
        <v>2398</v>
      </c>
      <c r="C77" t="s">
        <v>2377</v>
      </c>
      <c r="D77" s="447">
        <v>140</v>
      </c>
      <c r="E77" t="s">
        <v>2399</v>
      </c>
      <c r="F77" s="430" t="str">
        <f>VLOOKUP(E77,Moulins!C:Q,7,FALSE)</f>
        <v>5*2*10 ALU+ALU Basefoil Printed SMALL LONG 	
Ferrous Ascorbate (eq. to elemental Iron): 100 mg
Folic Acid IP: 1.5 mg
Zinc Sulphate Monohydrate (eq. to elemental Zinc): 22.5 mg
Excipients: q.s. (quantity sufficient)
 Colour: Red Oxide of Iron</v>
      </c>
      <c r="G77">
        <f>VLOOKUP(E77,Moulins!C:Q,5,FALSE)</f>
        <v>82</v>
      </c>
      <c r="H77">
        <f>VLOOKUP(E77,Moulins!C:Q,3,FALSE)</f>
        <v>300</v>
      </c>
      <c r="I77" t="str">
        <f>VLOOKUP(E77,Moulins!C:Q,9,FALSE)</f>
        <v>SHUBHAM HEALTHCARE</v>
      </c>
      <c r="J77" t="str">
        <f>VLOOKUP(E77,Moulins!C:Q,13,FALSE)</f>
        <v>Design OK</v>
      </c>
      <c r="K77" s="354">
        <f>VLOOKUP(E77,Moulins!C:Q,14,FALSE)</f>
        <v>46116</v>
      </c>
      <c r="L77">
        <f>VLOOKUP(E77,Moulins!C:Q,15,FALSE)</f>
        <v>0</v>
      </c>
      <c r="M77">
        <f>VLOOKUP(E77,Moulins!C:Q,6,FALSE)</f>
        <v>24600</v>
      </c>
    </row>
    <row r="78" spans="1:13">
      <c r="A78">
        <f t="shared" si="1"/>
        <v>77</v>
      </c>
      <c r="B78" s="446" t="s">
        <v>2400</v>
      </c>
      <c r="C78" t="s">
        <v>2377</v>
      </c>
      <c r="D78" s="447">
        <v>470</v>
      </c>
      <c r="E78" t="s">
        <v>2401</v>
      </c>
      <c r="F78" s="430" t="str">
        <f>VLOOKUP(E78,Moulins!C:Q,7,FALSE)</f>
        <v>10*10 ALU+ALU Basefoil Printed SMALL ROUND CEFIXIME400 MG TAB</v>
      </c>
      <c r="G78">
        <f>VLOOKUP(E78,Moulins!C:Q,5,FALSE)</f>
        <v>515</v>
      </c>
      <c r="H78">
        <f>VLOOKUP(E78,Moulins!C:Q,3,FALSE)</f>
        <v>200</v>
      </c>
      <c r="I78" t="str">
        <f>VLOOKUP(E78,Moulins!C:Q,9,FALSE)</f>
        <v>ALPEX PHARMACEUTICALS</v>
      </c>
      <c r="J78" t="str">
        <f>VLOOKUP(E78,Moulins!C:Q,13,FALSE)</f>
        <v>Design OK</v>
      </c>
      <c r="K78" s="354">
        <f>VLOOKUP(E78,Moulins!C:Q,14,FALSE)</f>
        <v>46112</v>
      </c>
      <c r="L78">
        <f>VLOOKUP(E78,Moulins!C:Q,15,FALSE)</f>
        <v>0</v>
      </c>
      <c r="M78">
        <f>VLOOKUP(E78,Moulins!C:Q,6,FALSE)</f>
        <v>103000</v>
      </c>
    </row>
    <row r="79" spans="1:13" ht="30">
      <c r="A79">
        <f t="shared" si="1"/>
        <v>78</v>
      </c>
      <c r="B79" s="447" t="s">
        <v>2147</v>
      </c>
      <c r="C79" t="s">
        <v>2377</v>
      </c>
      <c r="D79" s="447">
        <v>210</v>
      </c>
      <c r="E79" t="s">
        <v>2402</v>
      </c>
      <c r="F79" s="430" t="str">
        <f>VLOOKUP(E79,Moulins!C:Q,7,FALSE)</f>
        <v>10*10 ALU+ALU Basefoil Printed SMALL LONG Composition: Acebrophylline 200 mg + Montelukast 10 mg + Desloratadine 5 mg</v>
      </c>
      <c r="G79">
        <f>VLOOKUP(E79,Moulins!C:Q,5,FALSE)</f>
        <v>187</v>
      </c>
      <c r="H79">
        <f>VLOOKUP(E79,Moulins!C:Q,3,FALSE)</f>
        <v>300</v>
      </c>
      <c r="I79" t="str">
        <f>VLOOKUP(E79,Moulins!C:Q,9,FALSE)</f>
        <v>VRINDAVAN GLOBAL</v>
      </c>
      <c r="J79" t="str">
        <f>VLOOKUP(E79,Moulins!C:Q,13,FALSE)</f>
        <v>Design OK</v>
      </c>
      <c r="K79" s="354">
        <f>VLOOKUP(E79,Moulins!C:Q,14,FALSE)</f>
        <v>46114</v>
      </c>
      <c r="L79">
        <f>VLOOKUP(E79,Moulins!C:Q,15,FALSE)</f>
        <v>0</v>
      </c>
      <c r="M79">
        <f>VLOOKUP(E79,Moulins!C:Q,6,FALSE)</f>
        <v>56100</v>
      </c>
    </row>
    <row r="80" spans="1:13">
      <c r="A80">
        <f t="shared" si="1"/>
        <v>79</v>
      </c>
      <c r="B80" s="447" t="s">
        <v>2403</v>
      </c>
      <c r="C80" t="s">
        <v>2377</v>
      </c>
      <c r="D80" s="447">
        <v>150</v>
      </c>
      <c r="E80" t="s">
        <v>2404</v>
      </c>
      <c r="F80" s="430" t="str">
        <f>VLOOKUP(E80,Moulins!C:Q,7,FALSE)</f>
        <v>10*1*8 BLISTER  SOFTGEL Composition: Cholecalciferol 60000 I.U Softgel Capsules</v>
      </c>
      <c r="G80">
        <f>VLOOKUP(E80,Moulins!C:Q,5,FALSE)</f>
        <v>135</v>
      </c>
      <c r="H80">
        <f>VLOOKUP(E80,Moulins!C:Q,3,FALSE)</f>
        <v>300</v>
      </c>
      <c r="I80" t="str">
        <f>VLOOKUP(E80,Moulins!C:Q,9,FALSE)</f>
        <v>Smayan</v>
      </c>
      <c r="J80" t="str">
        <f>VLOOKUP(E80,Moulins!C:Q,13,FALSE)</f>
        <v>Design OK</v>
      </c>
      <c r="K80" s="354">
        <f>VLOOKUP(E80,Moulins!C:Q,14,FALSE)</f>
        <v>46112</v>
      </c>
      <c r="L80">
        <f>VLOOKUP(E80,Moulins!C:Q,15,FALSE)</f>
        <v>0</v>
      </c>
      <c r="M80">
        <f>VLOOKUP(E80,Moulins!C:Q,6,FALSE)</f>
        <v>40500</v>
      </c>
    </row>
    <row r="81" spans="1:13" ht="30">
      <c r="A81">
        <f t="shared" si="1"/>
        <v>80</v>
      </c>
      <c r="B81" s="447" t="s">
        <v>2405</v>
      </c>
      <c r="C81" t="s">
        <v>2377</v>
      </c>
      <c r="D81" s="447">
        <v>9</v>
      </c>
      <c r="E81" t="s">
        <v>2406</v>
      </c>
      <c r="F81" s="430" t="str">
        <f>VLOOKUP(E81,Moulins!C:Q,7,FALSE)</f>
        <v>WITH SYRING COMBIPACK OUTER BOX+ Dispo Pack Composition: 	
Methylcobalamin 1500 mcg + Pyridoxine 100 mg + Niacinamide 100 mg</v>
      </c>
      <c r="G81">
        <f>VLOOKUP(E81,Moulins!C:Q,5,FALSE)</f>
        <v>7.5</v>
      </c>
      <c r="H81">
        <f>VLOOKUP(E81,Moulins!C:Q,3,FALSE)</f>
        <v>5000</v>
      </c>
      <c r="I81" t="str">
        <f>VLOOKUP(E81,Moulins!C:Q,9,FALSE)</f>
        <v>MMG</v>
      </c>
      <c r="J81" t="str">
        <f>VLOOKUP(E81,Moulins!C:Q,13,FALSE)</f>
        <v>Design OK</v>
      </c>
      <c r="K81" s="354">
        <f>VLOOKUP(E81,Moulins!C:Q,14,FALSE)</f>
        <v>46115</v>
      </c>
      <c r="L81">
        <f>VLOOKUP(E81,Moulins!C:Q,15,FALSE)</f>
        <v>0</v>
      </c>
      <c r="M81">
        <f>VLOOKUP(E81,Moulins!C:Q,6,FALSE)</f>
        <v>37500</v>
      </c>
    </row>
    <row r="82" spans="1:13" ht="30">
      <c r="A82">
        <f t="shared" si="1"/>
        <v>81</v>
      </c>
      <c r="B82" s="447" t="s">
        <v>2407</v>
      </c>
      <c r="C82" t="s">
        <v>2377</v>
      </c>
      <c r="D82" s="447">
        <v>140</v>
      </c>
      <c r="E82" t="s">
        <v>2408</v>
      </c>
      <c r="F82" s="430" t="str">
        <f>VLOOKUP(E82,Moulins!C:Q,7,FALSE)</f>
        <v>10*15 ALU+ALU Basefoil Printed Composition: Pantoprazole 40 mg (EC) + Domperidone 30 mg (SR) Capsules</v>
      </c>
      <c r="G82">
        <f>VLOOKUP(E82,Moulins!C:Q,5,FALSE)</f>
        <v>125</v>
      </c>
      <c r="H82">
        <f>VLOOKUP(E82,Moulins!C:Q,3,FALSE)</f>
        <v>500</v>
      </c>
      <c r="I82" t="str">
        <f>VLOOKUP(E82,Moulins!C:Q,9,FALSE)</f>
        <v>ALPEX PHARMACEUTICALS</v>
      </c>
      <c r="J82" t="str">
        <f>VLOOKUP(E82,Moulins!C:Q,13,FALSE)</f>
        <v>Design OK</v>
      </c>
      <c r="K82" s="354">
        <f>VLOOKUP(E82,Moulins!C:Q,14,FALSE)</f>
        <v>46112</v>
      </c>
      <c r="L82">
        <f>VLOOKUP(E82,Moulins!C:Q,15,FALSE)</f>
        <v>0</v>
      </c>
      <c r="M82">
        <f>VLOOKUP(E82,Moulins!C:Q,6,FALSE)</f>
        <v>62500</v>
      </c>
    </row>
    <row r="83" spans="1:13">
      <c r="A83">
        <f t="shared" si="1"/>
        <v>82</v>
      </c>
      <c r="B83" s="181" t="s">
        <v>2409</v>
      </c>
      <c r="E83" t="s">
        <v>2410</v>
      </c>
      <c r="F83" s="430" t="str">
        <f>VLOOKUP(E83,Moulins!C:Q,7,FALSE)</f>
        <v>10x10 Alu Alu</v>
      </c>
      <c r="G83">
        <f>VLOOKUP(E83,Moulins!C:Q,5,FALSE)</f>
        <v>50</v>
      </c>
      <c r="H83">
        <f>VLOOKUP(E83,Moulins!C:Q,3,FALSE)</f>
        <v>2000</v>
      </c>
      <c r="I83" t="str">
        <f>VLOOKUP(E83,Moulins!C:Q,9,FALSE)</f>
        <v>JAMKAS</v>
      </c>
      <c r="J83" t="str">
        <f>VLOOKUP(E83,Moulins!C:Q,13,FALSE)</f>
        <v>Design OK</v>
      </c>
      <c r="K83" s="354">
        <f>VLOOKUP(E83,Moulins!C:Q,14,FALSE)</f>
        <v>46096</v>
      </c>
      <c r="L83">
        <f>VLOOKUP(E83,Moulins!C:Q,15,FALSE)</f>
        <v>0</v>
      </c>
      <c r="M83">
        <f>VLOOKUP(E83,Moulins!C:Q,6,FALSE)</f>
        <v>100000</v>
      </c>
    </row>
    <row r="84" spans="1:13" ht="30">
      <c r="A84">
        <f t="shared" si="1"/>
        <v>83</v>
      </c>
      <c r="B84" t="s">
        <v>2169</v>
      </c>
      <c r="C84" t="s">
        <v>1069</v>
      </c>
      <c r="D84">
        <v>80</v>
      </c>
      <c r="E84" t="s">
        <v>2411</v>
      </c>
      <c r="F84" s="430" t="str">
        <f>VLOOKUP(E84,Moulins!C:Q,7,FALSE)</f>
        <v>Packing: 10*10 ALU ALU
Composition: Clonazepam 0.5 mg + Escitalopram 10 mg</v>
      </c>
      <c r="G84">
        <f>VLOOKUP(E84,Moulins!C:Q,5,FALSE)</f>
        <v>70</v>
      </c>
      <c r="H84">
        <f>VLOOKUP(E84,Moulins!C:Q,3,FALSE)</f>
        <v>500</v>
      </c>
      <c r="I84" t="str">
        <f>VLOOKUP(E84,Moulins!C:Q,9,FALSE)</f>
        <v>MEDWOR PHARMA</v>
      </c>
      <c r="J84" t="str">
        <f>VLOOKUP(E84,Moulins!C:Q,13,FALSE)</f>
        <v>Repeat</v>
      </c>
      <c r="K84" s="354">
        <f>VLOOKUP(E84,Moulins!C:Q,14,FALSE)</f>
        <v>46091</v>
      </c>
      <c r="L84">
        <f>VLOOKUP(E84,Moulins!C:Q,15,FALSE)</f>
        <v>0</v>
      </c>
      <c r="M84">
        <f>VLOOKUP(E84,Moulins!C:Q,6,FALSE)</f>
        <v>35000</v>
      </c>
    </row>
    <row r="85" spans="1:13">
      <c r="A85">
        <f t="shared" si="1"/>
        <v>84</v>
      </c>
      <c r="B85" s="181" t="s">
        <v>372</v>
      </c>
      <c r="C85" t="s">
        <v>2372</v>
      </c>
      <c r="D85">
        <v>101</v>
      </c>
      <c r="E85" t="s">
        <v>2412</v>
      </c>
      <c r="F85" s="430" t="str">
        <f>VLOOKUP(E85,Moulins!C:Q,7,FALSE)</f>
        <v>REPEAT</v>
      </c>
      <c r="G85">
        <f>VLOOKUP(E85,Moulins!C:Q,5,FALSE)</f>
        <v>90</v>
      </c>
      <c r="H85">
        <f>VLOOKUP(E85,Moulins!C:Q,3,FALSE)</f>
        <v>500</v>
      </c>
      <c r="I85" t="str">
        <f>VLOOKUP(E85,Moulins!C:Q,9,FALSE)</f>
        <v>AKSHAR MOLECULES</v>
      </c>
      <c r="J85" t="str">
        <f>VLOOKUP(E85,Moulins!C:Q,13,FALSE)</f>
        <v>Mail Done</v>
      </c>
      <c r="K85" s="354">
        <f>VLOOKUP(E85,Moulins!C:Q,14,FALSE)</f>
        <v>46091</v>
      </c>
      <c r="L85">
        <f>VLOOKUP(E85,Moulins!C:Q,15,FALSE)</f>
        <v>0</v>
      </c>
      <c r="M85">
        <f>VLOOKUP(E85,Moulins!C:Q,6,FALSE)</f>
        <v>45000</v>
      </c>
    </row>
    <row r="86" spans="1:13">
      <c r="A86">
        <f t="shared" si="1"/>
        <v>85</v>
      </c>
      <c r="B86" s="449" t="s">
        <v>1815</v>
      </c>
      <c r="E86" t="s">
        <v>2413</v>
      </c>
      <c r="F86" s="430" t="str">
        <f>VLOOKUP(E86,Moulins!C:Q,7,FALSE)</f>
        <v>SUCRALFATE 1GM/10 ML PACKING 200 ML</v>
      </c>
      <c r="G86">
        <f>VLOOKUP(E86,Moulins!C:Q,5,FALSE)</f>
        <v>38</v>
      </c>
      <c r="H86">
        <f>VLOOKUP(E86,Moulins!C:Q,3,FALSE)</f>
        <v>5000</v>
      </c>
      <c r="I86" t="str">
        <f>VLOOKUP(E86,Moulins!C:Q,9,FALSE)</f>
        <v>HAUSTUS BIOTECH PVT LTD</v>
      </c>
      <c r="J86" t="str">
        <f>VLOOKUP(E86,Moulins!C:Q,13,FALSE)</f>
        <v>Cancelled</v>
      </c>
      <c r="K86" s="354">
        <f>VLOOKUP(E86,Moulins!C:Q,14,FALSE)</f>
        <v>46107</v>
      </c>
      <c r="L86">
        <f>VLOOKUP(E86,Moulins!C:Q,15,FALSE)</f>
        <v>0</v>
      </c>
      <c r="M86">
        <f>VLOOKUP(E86,Moulins!C:Q,6,FALSE)</f>
        <v>190000</v>
      </c>
    </row>
    <row r="87" spans="1:13" ht="30">
      <c r="A87">
        <f t="shared" si="1"/>
        <v>86</v>
      </c>
      <c r="B87" s="179" t="s">
        <v>997</v>
      </c>
      <c r="E87" t="s">
        <v>2414</v>
      </c>
      <c r="F87" s="430" t="str">
        <f>VLOOKUP(E87,Moulins!C:Q,7,FALSE)</f>
        <v xml:space="preserve">60 ML GUM Label  (MANGO flavour ONLY) </v>
      </c>
      <c r="G87">
        <f>VLOOKUP(E87,Moulins!C:Q,5,FALSE)</f>
        <v>10</v>
      </c>
      <c r="H87">
        <f>VLOOKUP(E87,Moulins!C:Q,3,FALSE)</f>
        <v>3000</v>
      </c>
      <c r="I87" t="str">
        <f>VLOOKUP(E87,Moulins!C:Q,9,FALSE)</f>
        <v>SHUBHAM HEALTHCARE</v>
      </c>
      <c r="J87" t="str">
        <f>VLOOKUP(E87,Moulins!C:Q,13,FALSE)</f>
        <v>Design OK</v>
      </c>
      <c r="K87" s="354">
        <f>VLOOKUP(E87,Moulins!C:Q,14,FALSE)</f>
        <v>46086</v>
      </c>
      <c r="L87">
        <f>VLOOKUP(E87,Moulins!C:Q,15,FALSE)</f>
        <v>0</v>
      </c>
      <c r="M87">
        <f>VLOOKUP(E87,Moulins!C:Q,6,FALSE)</f>
        <v>30000</v>
      </c>
    </row>
    <row r="88" spans="1:13" ht="30">
      <c r="A88">
        <f t="shared" si="1"/>
        <v>87</v>
      </c>
      <c r="B88" s="181" t="s">
        <v>2163</v>
      </c>
      <c r="E88" t="s">
        <v>2415</v>
      </c>
      <c r="F88" s="430" t="str">
        <f>VLOOKUP(E88,Moulins!C:Q,7,FALSE)</f>
        <v>PACKING: 60ML (WITH CARTON)
COMPOSITION: Mefenamic Acid 100 mg + Paracetamol 250 mg</v>
      </c>
      <c r="G88">
        <f>VLOOKUP(E88,Moulins!C:Q,5,FALSE)</f>
        <v>0</v>
      </c>
      <c r="H88">
        <f>VLOOKUP(E88,Moulins!C:Q,3,FALSE)</f>
        <v>0</v>
      </c>
      <c r="I88">
        <f>VLOOKUP(E88,Moulins!C:Q,9,FALSE)</f>
        <v>0</v>
      </c>
      <c r="J88" t="str">
        <f>VLOOKUP(E88,Moulins!C:Q,13,FALSE)</f>
        <v>Cancelled</v>
      </c>
      <c r="K88" s="354">
        <f>VLOOKUP(E88,Moulins!C:Q,14,FALSE)</f>
        <v>46101</v>
      </c>
      <c r="L88">
        <f>VLOOKUP(E88,Moulins!C:Q,15,FALSE)</f>
        <v>0</v>
      </c>
      <c r="M88">
        <f>VLOOKUP(E88,Moulins!C:Q,6,FALSE)</f>
        <v>0</v>
      </c>
    </row>
    <row r="89" spans="1:13">
      <c r="A89">
        <f t="shared" si="1"/>
        <v>88</v>
      </c>
      <c r="B89" s="181" t="s">
        <v>2416</v>
      </c>
      <c r="C89" t="s">
        <v>1769</v>
      </c>
      <c r="E89" t="s">
        <v>2417</v>
      </c>
      <c r="F89" s="430" t="str">
        <f>VLOOKUP(E89,Moulins!C:Q,7,FALSE)</f>
        <v>10*1*10 BLISTER</v>
      </c>
      <c r="G89">
        <f>VLOOKUP(E89,Moulins!C:Q,5,FALSE)</f>
        <v>390</v>
      </c>
      <c r="H89">
        <f>VLOOKUP(E89,Moulins!C:Q,3,FALSE)</f>
        <v>250</v>
      </c>
      <c r="I89" t="str">
        <f>VLOOKUP(E89,Moulins!C:Q,9,FALSE)</f>
        <v>BIONEXY</v>
      </c>
      <c r="J89" t="str">
        <f>VLOOKUP(E89,Moulins!C:Q,13,FALSE)</f>
        <v>Design OK</v>
      </c>
      <c r="K89" s="354">
        <f>VLOOKUP(E89,Moulins!C:Q,14,FALSE)</f>
        <v>46094</v>
      </c>
      <c r="L89">
        <f>VLOOKUP(E89,Moulins!C:Q,15,FALSE)</f>
        <v>0</v>
      </c>
      <c r="M89">
        <f>VLOOKUP(E89,Moulins!C:Q,6,FALSE)</f>
        <v>97500</v>
      </c>
    </row>
    <row r="90" spans="1:13">
      <c r="A90">
        <f t="shared" si="1"/>
        <v>89</v>
      </c>
      <c r="B90" t="s">
        <v>2202</v>
      </c>
      <c r="C90" t="s">
        <v>1769</v>
      </c>
      <c r="E90" t="s">
        <v>2418</v>
      </c>
      <c r="F90" s="430" t="str">
        <f>VLOOKUP(E90,Moulins!C:Q,7,FALSE)</f>
        <v>10*1*10 Blister</v>
      </c>
      <c r="G90">
        <f>VLOOKUP(E90,Moulins!C:Q,5,FALSE)</f>
        <v>310</v>
      </c>
      <c r="H90">
        <f>VLOOKUP(E90,Moulins!C:Q,3,FALSE)</f>
        <v>300</v>
      </c>
      <c r="I90" t="str">
        <f>VLOOKUP(E90,Moulins!C:Q,9,FALSE)</f>
        <v>BIONEXY</v>
      </c>
      <c r="J90" t="str">
        <f>VLOOKUP(E90,Moulins!C:Q,13,FALSE)</f>
        <v>Design OK</v>
      </c>
      <c r="K90" s="354">
        <f>VLOOKUP(E90,Moulins!C:Q,14,FALSE)</f>
        <v>46094</v>
      </c>
      <c r="L90">
        <f>VLOOKUP(E90,Moulins!C:Q,15,FALSE)</f>
        <v>0</v>
      </c>
      <c r="M90">
        <f>VLOOKUP(E90,Moulins!C:Q,6,FALSE)</f>
        <v>93000</v>
      </c>
    </row>
    <row r="91" spans="1:13">
      <c r="A91">
        <f t="shared" si="1"/>
        <v>90</v>
      </c>
      <c r="B91" t="s">
        <v>1504</v>
      </c>
      <c r="C91" t="s">
        <v>2419</v>
      </c>
      <c r="D91">
        <v>223</v>
      </c>
      <c r="E91" t="s">
        <v>2420</v>
      </c>
      <c r="F91" s="430" t="str">
        <f>VLOOKUP(E91,Moulins!C:Q,7,FALSE)</f>
        <v>10×10 Alu-Alu</v>
      </c>
      <c r="G91">
        <f>VLOOKUP(E91,Moulins!C:Q,5,FALSE)</f>
        <v>195</v>
      </c>
      <c r="H91">
        <f>VLOOKUP(E91,Moulins!C:Q,3,FALSE)</f>
        <v>500</v>
      </c>
      <c r="I91" t="str">
        <f>VLOOKUP(E91,Moulins!C:Q,9,FALSE)</f>
        <v>VRINDAVAN GLOBAL</v>
      </c>
      <c r="J91" t="str">
        <f>VLOOKUP(E91,Moulins!C:Q,13,FALSE)</f>
        <v>Repeat</v>
      </c>
      <c r="K91" s="354">
        <f>VLOOKUP(E91,Moulins!C:Q,14,FALSE)</f>
        <v>46097</v>
      </c>
      <c r="L91">
        <f ca="1">VLOOKUP(E91,Moulins!C:Q,15,FALSE)</f>
        <v>28</v>
      </c>
      <c r="M91">
        <f>VLOOKUP(E91,Moulins!C:Q,6,FALSE)</f>
        <v>97500</v>
      </c>
    </row>
    <row r="92" spans="1:13">
      <c r="A92">
        <f t="shared" si="1"/>
        <v>91</v>
      </c>
      <c r="B92" t="s">
        <v>1231</v>
      </c>
      <c r="C92" t="s">
        <v>2419</v>
      </c>
      <c r="D92">
        <v>1750</v>
      </c>
      <c r="E92" t="s">
        <v>2421</v>
      </c>
      <c r="F92" s="430" t="str">
        <f>VLOOKUP(E92,Moulins!C:Q,7,FALSE)</f>
        <v>10 x 1 x 10 Alu Alu</v>
      </c>
      <c r="G92">
        <f>VLOOKUP(E92,Moulins!C:Q,5,FALSE)</f>
        <v>1550</v>
      </c>
      <c r="H92">
        <f>VLOOKUP(E92,Moulins!C:Q,3,FALSE)</f>
        <v>100</v>
      </c>
      <c r="I92" t="str">
        <f>VLOOKUP(E92,Moulins!C:Q,9,FALSE)</f>
        <v>Alps Communications</v>
      </c>
      <c r="J92" t="str">
        <f>VLOOKUP(E92,Moulins!C:Q,13,FALSE)</f>
        <v>Design OK</v>
      </c>
      <c r="K92" s="354">
        <f>VLOOKUP(E92,Moulins!C:Q,14,FALSE)</f>
        <v>46102</v>
      </c>
      <c r="L92">
        <f>VLOOKUP(E92,Moulins!C:Q,15,FALSE)</f>
        <v>0</v>
      </c>
      <c r="M92">
        <f>VLOOKUP(E92,Moulins!C:Q,6,FALSE)</f>
        <v>155000</v>
      </c>
    </row>
    <row r="93" spans="1:13" ht="30">
      <c r="A93">
        <f t="shared" si="1"/>
        <v>92</v>
      </c>
      <c r="B93" t="s">
        <v>1067</v>
      </c>
      <c r="C93" t="s">
        <v>1069</v>
      </c>
      <c r="E93" t="s">
        <v>2422</v>
      </c>
      <c r="F93" s="430" t="str">
        <f>VLOOKUP(E93,Moulins!C:Q,7,FALSE)</f>
        <v>10*1*10 ALU ALU Composition: "Mecobalamin,ALA, Benfotiamine Pyridoxine  calcium pantothenate Folic acid chromium picolinate  Inositol &amp; Lutein soft gel caps</v>
      </c>
      <c r="G93">
        <f>VLOOKUP(E93,Moulins!C:Q,5,FALSE)</f>
        <v>152</v>
      </c>
      <c r="H93">
        <f>VLOOKUP(E93,Moulins!C:Q,3,FALSE)</f>
        <v>300</v>
      </c>
      <c r="I93" t="str">
        <f>VLOOKUP(E93,Moulins!C:Q,9,FALSE)</f>
        <v>VRINDAVAN BLOBAL</v>
      </c>
      <c r="J93" t="str">
        <f>VLOOKUP(E93,Moulins!C:Q,13,FALSE)</f>
        <v>Repeat</v>
      </c>
      <c r="K93" s="354">
        <f>VLOOKUP(E93,Moulins!C:Q,14,FALSE)</f>
        <v>46101</v>
      </c>
      <c r="L93">
        <f>VLOOKUP(E93,Moulins!C:Q,15,FALSE)</f>
        <v>0</v>
      </c>
      <c r="M93">
        <f>VLOOKUP(E93,Moulins!C:Q,6,FALSE)</f>
        <v>45600</v>
      </c>
    </row>
    <row r="94" spans="1:13" ht="30">
      <c r="A94">
        <f t="shared" si="1"/>
        <v>93</v>
      </c>
      <c r="B94" t="s">
        <v>2212</v>
      </c>
      <c r="C94" t="s">
        <v>2419</v>
      </c>
      <c r="E94" t="s">
        <v>2423</v>
      </c>
      <c r="F94" s="430" t="str">
        <f>VLOOKUP(E94,Moulins!C:Q,7,FALSE)</f>
        <v>20*10 Blister Amber color Composition Nimesulide 100 mg, Phenylephrine HCl 10 mg, Cetirizine Dihydrochloride 5 mg, Caffeine 30 mg</v>
      </c>
      <c r="G94">
        <f>VLOOKUP(E94,Moulins!C:Q,5,FALSE)</f>
        <v>100</v>
      </c>
      <c r="H94">
        <f>VLOOKUP(E94,Moulins!C:Q,3,FALSE)</f>
        <v>500</v>
      </c>
      <c r="I94" t="str">
        <f>VLOOKUP(E94,Moulins!C:Q,9,FALSE)</f>
        <v>VRINDAVAN GLOBAL</v>
      </c>
      <c r="J94" t="str">
        <f>VLOOKUP(E94,Moulins!C:Q,13,FALSE)</f>
        <v>Mail Done</v>
      </c>
      <c r="K94" s="354">
        <f>VLOOKUP(E94,Moulins!C:Q,14,FALSE)</f>
        <v>46101</v>
      </c>
      <c r="L94">
        <f>VLOOKUP(E94,Moulins!C:Q,15,FALSE)</f>
        <v>0</v>
      </c>
      <c r="M94">
        <f>VLOOKUP(E94,Moulins!C:Q,6,FALSE)</f>
        <v>50000</v>
      </c>
    </row>
    <row r="95" spans="1:13">
      <c r="A95">
        <f t="shared" si="1"/>
        <v>94</v>
      </c>
      <c r="B95" t="s">
        <v>1759</v>
      </c>
      <c r="C95" t="s">
        <v>2419</v>
      </c>
      <c r="E95" t="s">
        <v>2424</v>
      </c>
      <c r="F95" s="430" t="str">
        <f>VLOOKUP(E95,Moulins!C:Q,7,FALSE)</f>
        <v>10*10 alu alu Composition aceclofenac 100 mg Paracetamol 325 serratio peptidase 15 mg</v>
      </c>
      <c r="G95">
        <f>VLOOKUP(E95,Moulins!C:Q,5,FALSE)</f>
        <v>93</v>
      </c>
      <c r="H95">
        <f>VLOOKUP(E95,Moulins!C:Q,3,FALSE)</f>
        <v>500</v>
      </c>
      <c r="I95" t="str">
        <f>VLOOKUP(E95,Moulins!C:Q,9,FALSE)</f>
        <v>SHUBHAM HEALTHCARE</v>
      </c>
      <c r="J95" t="str">
        <f>VLOOKUP(E95,Moulins!C:Q,13,FALSE)</f>
        <v>Repeat</v>
      </c>
      <c r="K95" s="354">
        <f>VLOOKUP(E95,Moulins!C:Q,14,FALSE)</f>
        <v>46101</v>
      </c>
      <c r="L95">
        <f>VLOOKUP(E95,Moulins!C:Q,15,FALSE)</f>
        <v>0</v>
      </c>
      <c r="M95">
        <f>VLOOKUP(E95,Moulins!C:Q,6,FALSE)</f>
        <v>46500</v>
      </c>
    </row>
    <row r="96" spans="1:13">
      <c r="A96">
        <f t="shared" si="1"/>
        <v>95</v>
      </c>
      <c r="B96" t="s">
        <v>1766</v>
      </c>
      <c r="C96" t="s">
        <v>2419</v>
      </c>
      <c r="E96" t="s">
        <v>2425</v>
      </c>
      <c r="F96" s="430" t="str">
        <f>VLOOKUP(E96,Moulins!C:Q,7,FALSE)</f>
        <v>10*10 (BLISTER), Composition Ofloxacin 200 mg + Ornidazole 500 mg</v>
      </c>
      <c r="G96">
        <f>VLOOKUP(E96,Moulins!C:Q,5,FALSE)</f>
        <v>150</v>
      </c>
      <c r="H96">
        <f>VLOOKUP(E96,Moulins!C:Q,3,FALSE)</f>
        <v>500</v>
      </c>
      <c r="I96" t="str">
        <f>VLOOKUP(E96,Moulins!C:Q,9,FALSE)</f>
        <v>VRINDAVAN GLOBAL</v>
      </c>
      <c r="J96" t="str">
        <f>VLOOKUP(E96,Moulins!C:Q,13,FALSE)</f>
        <v>Repeat</v>
      </c>
      <c r="K96" s="354">
        <f>VLOOKUP(E96,Moulins!C:Q,14,FALSE)</f>
        <v>46101</v>
      </c>
      <c r="L96">
        <f>VLOOKUP(E96,Moulins!C:Q,15,FALSE)</f>
        <v>0</v>
      </c>
      <c r="M96">
        <f>VLOOKUP(E96,Moulins!C:Q,6,FALSE)</f>
        <v>75000</v>
      </c>
    </row>
    <row r="97" spans="1:13">
      <c r="A97">
        <f t="shared" si="1"/>
        <v>96</v>
      </c>
      <c r="B97" s="430" t="s">
        <v>1815</v>
      </c>
      <c r="C97" t="s">
        <v>2426</v>
      </c>
      <c r="E97" t="s">
        <v>2427</v>
      </c>
      <c r="F97" s="430" t="str">
        <f>VLOOKUP(E97,Moulins!C:Q,7,FALSE)</f>
        <v>SUCRALFATE 1GM/10 ML PACKING 200 ML</v>
      </c>
      <c r="G97">
        <f>VLOOKUP(E97,Moulins!C:Q,5,FALSE)</f>
        <v>48</v>
      </c>
      <c r="H97">
        <f>VLOOKUP(E97,Moulins!C:Q,3,FALSE)</f>
        <v>5000</v>
      </c>
      <c r="I97" t="str">
        <f>VLOOKUP(E97,Moulins!C:Q,9,FALSE)</f>
        <v>HAUSTUS BIOTECH PVT LTD</v>
      </c>
      <c r="J97" t="str">
        <f>VLOOKUP(E97,Moulins!C:Q,13,FALSE)</f>
        <v>Repeat</v>
      </c>
      <c r="K97" s="354">
        <f>VLOOKUP(E97,Moulins!C:Q,14,FALSE)</f>
        <v>46109</v>
      </c>
      <c r="M97">
        <f>VLOOKUP(E97,Moulins!C:Q,6,FALSE)</f>
        <v>240000</v>
      </c>
    </row>
    <row r="98" spans="1:13">
      <c r="A98">
        <f t="shared" si="1"/>
        <v>97</v>
      </c>
      <c r="B98" s="430" t="s">
        <v>2214</v>
      </c>
      <c r="C98" t="s">
        <v>2426</v>
      </c>
      <c r="E98" t="s">
        <v>2428</v>
      </c>
      <c r="F98" s="430" t="str">
        <f>VLOOKUP(E98,Moulins!C:Q,7,FALSE)</f>
        <v>Packing: 10*15 ALUMINIUM STRIP 
Composition: RABIPRAZOLE 20 MG (ENTERIC COATED) ITOPRIDE 150 MG SUSTAINED RELEASE </v>
      </c>
      <c r="G98">
        <f>VLOOKUP(E98,Moulins!C:Q,5,FALSE)</f>
        <v>250</v>
      </c>
      <c r="H98">
        <f>VLOOKUP(E98,Moulins!C:Q,3,FALSE)</f>
        <v>300</v>
      </c>
      <c r="I98" t="str">
        <f>VLOOKUP(E98,Moulins!C:Q,9,FALSE)</f>
        <v>SHUBHAM HEALTHCARE</v>
      </c>
      <c r="J98" t="str">
        <f>VLOOKUP(E98,Moulins!C:Q,13,FALSE)</f>
        <v>Repeat</v>
      </c>
      <c r="K98" s="354">
        <f>VLOOKUP(E98,Moulins!C:Q,14,FALSE)</f>
        <v>46109</v>
      </c>
      <c r="M98">
        <f>VLOOKUP(E98,Moulins!C:Q,6,FALSE)</f>
        <v>75000</v>
      </c>
    </row>
    <row r="99" spans="1:13">
      <c r="A99">
        <f t="shared" si="1"/>
        <v>98</v>
      </c>
      <c r="B99" s="430" t="s">
        <v>2214</v>
      </c>
      <c r="C99" t="s">
        <v>2426</v>
      </c>
      <c r="E99" t="s">
        <v>2429</v>
      </c>
      <c r="F99" s="430" t="str">
        <f>VLOOKUP(E99,Moulins!C:Q,7,FALSE)</f>
        <v>Packing: 10*15 ALUMINIUM STRIP 
Composition: RABIPRAZOLE 20 MG (ENTERIC COATED) ITOPRIDE 150 MG SUSTAINED RELEASE </v>
      </c>
      <c r="G99">
        <f>VLOOKUP(E99,Moulins!C:Q,5,FALSE)</f>
        <v>250</v>
      </c>
      <c r="H99">
        <f>VLOOKUP(E99,Moulins!C:Q,3,FALSE)</f>
        <v>300</v>
      </c>
      <c r="I99" t="str">
        <f>VLOOKUP(E99,Moulins!C:Q,9,FALSE)</f>
        <v>SHUBHAM HEALTHCARE</v>
      </c>
      <c r="J99" t="str">
        <f>VLOOKUP(E99,Moulins!C:Q,13,FALSE)</f>
        <v>Repeat</v>
      </c>
      <c r="K99" s="354">
        <f>VLOOKUP(E99,Moulins!C:Q,14,FALSE)</f>
        <v>46109</v>
      </c>
      <c r="M99">
        <f>VLOOKUP(E99,Moulins!C:Q,6,FALSE)</f>
        <v>75000</v>
      </c>
    </row>
    <row r="100" spans="1:13">
      <c r="A100">
        <f t="shared" si="1"/>
        <v>99</v>
      </c>
      <c r="B100" s="430" t="s">
        <v>2218</v>
      </c>
      <c r="C100" t="s">
        <v>2426</v>
      </c>
      <c r="E100" t="s">
        <v>2430</v>
      </c>
      <c r="F100" s="430" t="str">
        <f>VLOOKUP(E100,Moulins!C:Q,7,FALSE)</f>
        <v>Packing: 10*15 ALUMINIUM STRIP 
Composition: ESOMEPRAZOLE 40 MG (ENTERIC COATED) ITOPRIDE 150 MG SUSTAINED RELEASE </v>
      </c>
      <c r="G100">
        <f>VLOOKUP(E100,Moulins!C:Q,5,FALSE)</f>
        <v>268</v>
      </c>
      <c r="H100">
        <f>VLOOKUP(E100,Moulins!C:Q,3,FALSE)</f>
        <v>300</v>
      </c>
      <c r="I100" t="str">
        <f>VLOOKUP(E100,Moulins!C:Q,9,FALSE)</f>
        <v>SHUBHAM HEALTHCARE</v>
      </c>
      <c r="J100" t="str">
        <f>VLOOKUP(E100,Moulins!C:Q,13,FALSE)</f>
        <v>Repeat</v>
      </c>
      <c r="K100" s="354">
        <f>VLOOKUP(E100,Moulins!C:Q,14,FALSE)</f>
        <v>46109</v>
      </c>
      <c r="M100">
        <f>VLOOKUP(E100,Moulins!C:Q,6,FALSE)</f>
        <v>80400</v>
      </c>
    </row>
    <row r="101" spans="1:13">
      <c r="A101">
        <f t="shared" si="1"/>
        <v>100</v>
      </c>
      <c r="B101" s="430" t="s">
        <v>2218</v>
      </c>
      <c r="C101" t="s">
        <v>2426</v>
      </c>
      <c r="E101" t="s">
        <v>2431</v>
      </c>
      <c r="F101" s="430" t="str">
        <f>VLOOKUP(E101,Moulins!C:Q,7,FALSE)</f>
        <v>Packing: 10*15 ALUMINIUM STRIP 
Composition: ESOMEPRAZOLE 40 MG (ENTERIC COATED) ITOPRIDE 150 MG SUSTAINED RELEASE </v>
      </c>
      <c r="G101">
        <f>VLOOKUP(E101,Moulins!C:Q,5,FALSE)</f>
        <v>268</v>
      </c>
      <c r="H101">
        <f>VLOOKUP(E101,Moulins!C:Q,3,FALSE)</f>
        <v>300</v>
      </c>
      <c r="I101" t="str">
        <f>VLOOKUP(E101,Moulins!C:Q,9,FALSE)</f>
        <v>SHUBHAM HEALTHCARE</v>
      </c>
      <c r="J101" t="str">
        <f>VLOOKUP(E101,Moulins!C:Q,13,FALSE)</f>
        <v>Repeat</v>
      </c>
      <c r="K101" s="354">
        <f>VLOOKUP(E101,Moulins!C:Q,14,FALSE)</f>
        <v>46109</v>
      </c>
      <c r="M101">
        <f>VLOOKUP(E101,Moulins!C:Q,6,FALSE)</f>
        <v>80400</v>
      </c>
    </row>
    <row r="102" spans="1:13">
      <c r="A102">
        <f t="shared" si="1"/>
        <v>101</v>
      </c>
      <c r="B102" s="430" t="s">
        <v>2220</v>
      </c>
      <c r="E102" t="s">
        <v>2432</v>
      </c>
      <c r="F102" s="430" t="str">
        <f>VLOOKUP(E102,Moulins!C:Q,7,FALSE)</f>
        <v>Composition: Pantoprazole 40 mg
PACKING: 1’S WITH WATER</v>
      </c>
      <c r="G102">
        <f>VLOOKUP(E102,Moulins!C:Q,5,FALSE)</f>
        <v>6</v>
      </c>
      <c r="H102">
        <f>VLOOKUP(E102,Moulins!C:Q,3,FALSE)</f>
        <v>10000</v>
      </c>
      <c r="I102" t="str">
        <f>VLOOKUP(E102,Moulins!C:Q,9,FALSE)</f>
        <v>JAMKAS</v>
      </c>
      <c r="J102" t="str">
        <f>VLOOKUP(E102,Moulins!C:Q,13,FALSE)</f>
        <v>Rate OK</v>
      </c>
      <c r="K102" s="354">
        <f>VLOOKUP(E102,Moulins!C:Q,14,FALSE)</f>
        <v>46109</v>
      </c>
      <c r="M102">
        <f>VLOOKUP(E102,Moulins!C:Q,6,FALSE)</f>
        <v>60000</v>
      </c>
    </row>
    <row r="103" spans="1:13">
      <c r="A103">
        <f t="shared" si="1"/>
        <v>102</v>
      </c>
      <c r="B103" s="430" t="s">
        <v>2226</v>
      </c>
      <c r="E103" t="s">
        <v>2433</v>
      </c>
      <c r="F103" s="430" t="str">
        <f>VLOOKUP(E103,Moulins!C:Q,7,FALSE)</f>
        <v>Packing: 10*1*10 BLISTER
Composition: Natural Micronized Progesterone 200 mg (Sustained Release)</v>
      </c>
      <c r="G103">
        <f>VLOOKUP(E103,Moulins!C:Q,5,FALSE)</f>
        <v>320</v>
      </c>
      <c r="H103">
        <f>VLOOKUP(E103,Moulins!C:Q,3,FALSE)</f>
        <v>200</v>
      </c>
      <c r="I103" t="str">
        <f>VLOOKUP(E103,Moulins!C:Q,9,FALSE)</f>
        <v>BIONEXY</v>
      </c>
      <c r="J103" t="str">
        <f>VLOOKUP(E103,Moulins!C:Q,13,FALSE)</f>
        <v>Design OK</v>
      </c>
      <c r="K103" s="354">
        <f>VLOOKUP(E103,Moulins!C:Q,14,FALSE)</f>
        <v>46113</v>
      </c>
      <c r="M103">
        <f>VLOOKUP(E103,Moulins!C:Q,6,FALSE)</f>
        <v>64000</v>
      </c>
    </row>
    <row r="104" spans="1:13">
      <c r="A104">
        <f t="shared" si="1"/>
        <v>103</v>
      </c>
      <c r="B104" s="430" t="s">
        <v>2229</v>
      </c>
      <c r="C104" t="s">
        <v>2434</v>
      </c>
      <c r="E104" t="s">
        <v>2435</v>
      </c>
      <c r="F104" s="430" t="str">
        <f>VLOOKUP(E104,Moulins!C:Q,7,FALSE)</f>
        <v>PACKING	10*1*15 (Some confusion here)</v>
      </c>
      <c r="G104">
        <f>VLOOKUP(E104,Moulins!C:Q,5,FALSE)</f>
        <v>130</v>
      </c>
      <c r="H104">
        <f>VLOOKUP(E104,Moulins!C:Q,3,FALSE)</f>
        <v>300</v>
      </c>
      <c r="I104" t="str">
        <f>VLOOKUP(E104,Moulins!C:Q,9,FALSE)</f>
        <v>AKSHAR MOLECULES</v>
      </c>
      <c r="J104" t="str">
        <f>VLOOKUP(E104,Moulins!C:Q,13,FALSE)</f>
        <v>Mail Done</v>
      </c>
      <c r="K104" s="354">
        <f>VLOOKUP(E104,Moulins!C:Q,14,FALSE)</f>
        <v>0</v>
      </c>
      <c r="M104">
        <f>VLOOKUP(E104,Moulins!C:Q,6,FALSE)</f>
        <v>39000</v>
      </c>
    </row>
    <row r="105" spans="1:13">
      <c r="A105">
        <f t="shared" si="1"/>
        <v>104</v>
      </c>
      <c r="B105" s="430" t="s">
        <v>2236</v>
      </c>
      <c r="E105" t="s">
        <v>2436</v>
      </c>
      <c r="F105" s="430" t="str">
        <f>VLOOKUP(E105,Moulins!C:Q,7,FALSE)</f>
        <v>COMPOSITION: Flupentixol 0.5 mg + Melitracen 10 mg
PACKING: 10*15 (ALU-ALU)</v>
      </c>
      <c r="G105">
        <f>VLOOKUP(E105,Moulins!C:Q,5,FALSE)</f>
        <v>105</v>
      </c>
      <c r="H105">
        <f>VLOOKUP(E105,Moulins!C:Q,3,FALSE)</f>
        <v>500</v>
      </c>
      <c r="I105" t="str">
        <f>VLOOKUP(E105,Moulins!C:Q,9,FALSE)</f>
        <v>ALPEX PHARMACEUTICALS</v>
      </c>
      <c r="J105" t="str">
        <f>VLOOKUP(E105,Moulins!C:Q,13,FALSE)</f>
        <v>Design OK</v>
      </c>
      <c r="K105" s="354">
        <f>VLOOKUP(E105,Moulins!C:Q,14,FALSE)</f>
        <v>46111</v>
      </c>
      <c r="M105">
        <f>VLOOKUP(E105,Moulins!C:Q,6,FALSE)</f>
        <v>52500</v>
      </c>
    </row>
    <row r="106" spans="1:13">
      <c r="A106">
        <f t="shared" si="1"/>
        <v>105</v>
      </c>
      <c r="B106" s="430" t="s">
        <v>1204</v>
      </c>
      <c r="C106" t="s">
        <v>2437</v>
      </c>
      <c r="E106" t="s">
        <v>2438</v>
      </c>
      <c r="F106" s="430" t="str">
        <f>VLOOKUP(E106,Moulins!C:Q,7,FALSE)</f>
        <v>30 mL Pack with Carton and Sterile Water, Glass Bottle</v>
      </c>
      <c r="G106">
        <f>VLOOKUP(E106,Moulins!C:Q,5,FALSE)</f>
        <v>43</v>
      </c>
      <c r="H106">
        <f>VLOOKUP(E106,Moulins!C:Q,3,FALSE)</f>
        <v>2000</v>
      </c>
      <c r="I106" t="str">
        <f>VLOOKUP(E106,Moulins!C:Q,9,FALSE)</f>
        <v>Alps Communications</v>
      </c>
      <c r="J106" t="str">
        <f>VLOOKUP(E106,Moulins!C:Q,13,FALSE)</f>
        <v>Repeat</v>
      </c>
      <c r="K106" s="354">
        <f>VLOOKUP(E106,Moulins!C:Q,14,FALSE)</f>
        <v>46114</v>
      </c>
      <c r="M106">
        <f>VLOOKUP(E106,Moulins!C:Q,6,FALSE)</f>
        <v>86000</v>
      </c>
    </row>
    <row r="107" spans="1:13">
      <c r="A107">
        <f t="shared" si="1"/>
        <v>106</v>
      </c>
      <c r="B107" s="430" t="s">
        <v>1455</v>
      </c>
      <c r="C107" t="s">
        <v>2437</v>
      </c>
      <c r="E107" t="s">
        <v>2439</v>
      </c>
      <c r="F107" s="430" t="str">
        <f>VLOOKUP(E107,Moulins!C:Q,7,FALSE)</f>
        <v>10×1×10 ALU ALU</v>
      </c>
      <c r="G107">
        <f>VLOOKUP(E107,Moulins!C:Q,5,FALSE)</f>
        <v>160</v>
      </c>
      <c r="H107">
        <f>VLOOKUP(E107,Moulins!C:Q,3,FALSE)</f>
        <v>500</v>
      </c>
      <c r="I107" t="str">
        <f>VLOOKUP(E107,Moulins!C:Q,9,FALSE)</f>
        <v>Sigma Softgel</v>
      </c>
      <c r="J107" t="str">
        <f>VLOOKUP(E107,Moulins!C:Q,13,FALSE)</f>
        <v>Repeat</v>
      </c>
      <c r="K107" s="354">
        <f>VLOOKUP(E107,Moulins!C:Q,14,FALSE)</f>
        <v>46114</v>
      </c>
      <c r="M107">
        <f>VLOOKUP(E107,Moulins!C:Q,6,FALSE)</f>
        <v>80000</v>
      </c>
    </row>
    <row r="108" spans="1:13">
      <c r="A108">
        <f t="shared" si="1"/>
        <v>107</v>
      </c>
      <c r="B108" s="430" t="s">
        <v>1274</v>
      </c>
      <c r="C108" t="s">
        <v>2437</v>
      </c>
      <c r="E108" t="s">
        <v>2440</v>
      </c>
      <c r="F108" s="430" t="str">
        <f>VLOOKUP(E108,Moulins!C:Q,7,FALSE)</f>
        <v>10×6 Blister</v>
      </c>
      <c r="G108">
        <f>VLOOKUP(E108,Moulins!C:Q,5,FALSE)</f>
        <v>250</v>
      </c>
      <c r="H108">
        <f>VLOOKUP(E108,Moulins!C:Q,3,FALSE)</f>
        <v>500</v>
      </c>
      <c r="I108" t="str">
        <f>VLOOKUP(E108,Moulins!C:Q,9,FALSE)</f>
        <v>ALPEX PHARMACEUTICALS</v>
      </c>
      <c r="J108" t="str">
        <f>VLOOKUP(E108,Moulins!C:Q,13,FALSE)</f>
        <v>Rate OK</v>
      </c>
      <c r="K108" s="354">
        <f>VLOOKUP(E108,Moulins!C:Q,14,FALSE)</f>
        <v>46118</v>
      </c>
      <c r="M108">
        <f>VLOOKUP(E108,Moulins!C:Q,6,FALSE)</f>
        <v>125000</v>
      </c>
    </row>
    <row r="109" spans="1:13">
      <c r="A109">
        <f t="shared" si="1"/>
        <v>108</v>
      </c>
      <c r="B109" s="430" t="s">
        <v>2441</v>
      </c>
      <c r="C109" t="s">
        <v>2437</v>
      </c>
      <c r="E109" t="s">
        <v>2442</v>
      </c>
      <c r="F109" s="430" t="str">
        <f>VLOOKUP(E109,Moulins!C:Q,7,FALSE)</f>
        <v>10 x 1 x 10 Alu Alu</v>
      </c>
      <c r="G109">
        <f>VLOOKUP(E109,Moulins!C:Q,5,FALSE)</f>
        <v>2350</v>
      </c>
      <c r="H109">
        <f>VLOOKUP(E109,Moulins!C:Q,3,FALSE)</f>
        <v>100</v>
      </c>
      <c r="I109" t="str">
        <f>VLOOKUP(E109,Moulins!C:Q,9,FALSE)</f>
        <v>Alps Communications</v>
      </c>
      <c r="J109" t="str">
        <f>VLOOKUP(E109,Moulins!C:Q,13,FALSE)</f>
        <v>Design OK</v>
      </c>
      <c r="K109" s="354">
        <f>VLOOKUP(E109,Moulins!C:Q,14,FALSE)</f>
        <v>46118</v>
      </c>
      <c r="M109">
        <f>VLOOKUP(E109,Moulins!C:Q,6,FALSE)</f>
        <v>235000</v>
      </c>
    </row>
    <row r="110" spans="1:13">
      <c r="A110">
        <f t="shared" si="1"/>
        <v>109</v>
      </c>
      <c r="B110" s="430" t="s">
        <v>2242</v>
      </c>
      <c r="C110" t="s">
        <v>2437</v>
      </c>
      <c r="E110" t="s">
        <v>2443</v>
      </c>
      <c r="F110" s="430" t="str">
        <f>VLOOKUP(E110,Moulins!C:Q,7,FALSE)</f>
        <v>10*10 ALU ALU</v>
      </c>
      <c r="G110">
        <f>VLOOKUP(E110,Moulins!C:Q,5,FALSE)</f>
        <v>320</v>
      </c>
      <c r="H110">
        <f>VLOOKUP(E110,Moulins!C:Q,3,FALSE)</f>
        <v>300</v>
      </c>
      <c r="I110" t="str">
        <f>VLOOKUP(E110,Moulins!C:Q,9,FALSE)</f>
        <v>ALPEX PHARMACEUTICALS</v>
      </c>
      <c r="J110" t="str">
        <f>VLOOKUP(E110,Moulins!C:Q,13,FALSE)</f>
        <v>Rate OK</v>
      </c>
      <c r="K110" s="354">
        <f>VLOOKUP(E110,Moulins!C:Q,14,FALSE)</f>
        <v>46114</v>
      </c>
      <c r="M110">
        <f>VLOOKUP(E110,Moulins!C:Q,6,FALSE)</f>
        <v>96000</v>
      </c>
    </row>
    <row r="111" spans="1:13">
      <c r="A111">
        <f t="shared" si="1"/>
        <v>110</v>
      </c>
      <c r="B111" s="430" t="str">
        <f>VLOOKUP(E111,Moulins!C:Q,2,FALSE)</f>
        <v>Pegzoy</v>
      </c>
      <c r="E111" t="s">
        <v>2444</v>
      </c>
      <c r="F111" s="430" t="str">
        <f>VLOOKUP(E111,Moulins!C:Q,7,FALSE)</f>
        <v>119 gm with tray</v>
      </c>
      <c r="G111">
        <f>VLOOKUP(E111,Moulins!C:Q,5,FALSE)</f>
        <v>72</v>
      </c>
      <c r="H111">
        <f>VLOOKUP(E111,Moulins!C:Q,3,FALSE)</f>
        <v>1500</v>
      </c>
      <c r="I111" t="str">
        <f>VLOOKUP(E111,Moulins!C:Q,9,FALSE)</f>
        <v>Smayan</v>
      </c>
      <c r="J111" t="str">
        <f>VLOOKUP(E111,Moulins!C:Q,13,FALSE)</f>
        <v>Mail Done</v>
      </c>
      <c r="K111" s="354">
        <f>VLOOKUP(E111,Moulins!C:Q,14,FALSE)</f>
        <v>46119</v>
      </c>
    </row>
    <row r="112" spans="1:13">
      <c r="A112">
        <f t="shared" si="1"/>
        <v>111</v>
      </c>
      <c r="B112" s="430" t="str">
        <f>VLOOKUP(E112,Moulins!C:Q,2,FALSE)</f>
        <v>Griseokay 500</v>
      </c>
      <c r="C112" t="s">
        <v>2437</v>
      </c>
      <c r="D112">
        <v>565</v>
      </c>
      <c r="E112" t="s">
        <v>2445</v>
      </c>
      <c r="F112" s="430" t="str">
        <f>VLOOKUP(E112,Moulins!C:Q,7,FALSE)</f>
        <v>10x10 Blister Composition: Griseofulvin 500</v>
      </c>
      <c r="G112">
        <f>VLOOKUP(E112,Moulins!C:Q,5,FALSE)</f>
        <v>525</v>
      </c>
      <c r="H112">
        <f>VLOOKUP(E112,Moulins!C:Q,3,FALSE)</f>
        <v>200</v>
      </c>
      <c r="I112" t="str">
        <f>VLOOKUP(E112,Moulins!C:Q,9,FALSE)</f>
        <v>VRINDAVAN GLOBAL</v>
      </c>
      <c r="J112" t="str">
        <f>VLOOKUP(E112,Moulins!C:Q,13,FALSE)</f>
        <v>Design OK</v>
      </c>
      <c r="K112" s="354">
        <f>VLOOKUP(E112,Moulins!C:Q,14,FALSE)</f>
        <v>46121</v>
      </c>
    </row>
    <row r="113" spans="1:11">
      <c r="A113">
        <f t="shared" si="1"/>
        <v>112</v>
      </c>
      <c r="B113" s="430" t="e">
        <f>VLOOKUP(E113,Moulins!C:Q,2,FALSE)</f>
        <v>#N/A</v>
      </c>
      <c r="F113" s="430" t="e">
        <f>VLOOKUP(E113,Moulins!C:Q,7,FALSE)</f>
        <v>#N/A</v>
      </c>
      <c r="G113" t="e">
        <f>VLOOKUP(E113,Moulins!C:Q,5,FALSE)</f>
        <v>#N/A</v>
      </c>
      <c r="H113" t="e">
        <f>VLOOKUP(E113,Moulins!C:Q,3,FALSE)</f>
        <v>#N/A</v>
      </c>
      <c r="I113" t="e">
        <f>VLOOKUP(E113,Moulins!C:Q,9,FALSE)</f>
        <v>#N/A</v>
      </c>
      <c r="J113" t="e">
        <f>VLOOKUP(E113,Moulins!C:Q,13,FALSE)</f>
        <v>#N/A</v>
      </c>
      <c r="K113" s="354" t="e">
        <f>VLOOKUP(E113,Moulins!C:Q,14,FALSE)</f>
        <v>#N/A</v>
      </c>
    </row>
    <row r="114" spans="1:11">
      <c r="A114">
        <f t="shared" si="1"/>
        <v>113</v>
      </c>
      <c r="B114" s="430" t="e">
        <f>VLOOKUP(E114,Moulins!C:Q,2,FALSE)</f>
        <v>#N/A</v>
      </c>
      <c r="F114" s="430" t="e">
        <f>VLOOKUP(E114,Moulins!C:Q,7,FALSE)</f>
        <v>#N/A</v>
      </c>
      <c r="G114" t="e">
        <f>VLOOKUP(E114,Moulins!C:Q,5,FALSE)</f>
        <v>#N/A</v>
      </c>
      <c r="H114" t="e">
        <f>VLOOKUP(E114,Moulins!C:Q,3,FALSE)</f>
        <v>#N/A</v>
      </c>
      <c r="I114" t="e">
        <f>VLOOKUP(E114,Moulins!C:Q,9,FALSE)</f>
        <v>#N/A</v>
      </c>
      <c r="J114" t="e">
        <f>VLOOKUP(E114,Moulins!C:Q,13,FALSE)</f>
        <v>#N/A</v>
      </c>
      <c r="K114" s="354" t="e">
        <f>VLOOKUP(E114,Moulins!C:Q,14,FALSE)</f>
        <v>#N/A</v>
      </c>
    </row>
    <row r="115" spans="1:11">
      <c r="A115">
        <f t="shared" si="1"/>
        <v>114</v>
      </c>
      <c r="B115" s="430" t="e">
        <f>VLOOKUP(E115,Moulins!C:Q,2,FALSE)</f>
        <v>#N/A</v>
      </c>
      <c r="F115" s="430" t="e">
        <f>VLOOKUP(E115,Moulins!C:Q,7,FALSE)</f>
        <v>#N/A</v>
      </c>
      <c r="G115" t="e">
        <f>VLOOKUP(E115,Moulins!C:Q,5,FALSE)</f>
        <v>#N/A</v>
      </c>
      <c r="H115" t="e">
        <f>VLOOKUP(E115,Moulins!C:Q,3,FALSE)</f>
        <v>#N/A</v>
      </c>
      <c r="I115" t="e">
        <f>VLOOKUP(E115,Moulins!C:Q,9,FALSE)</f>
        <v>#N/A</v>
      </c>
      <c r="J115" t="e">
        <f>VLOOKUP(E115,Moulins!C:Q,13,FALSE)</f>
        <v>#N/A</v>
      </c>
      <c r="K115" s="354" t="e">
        <f>VLOOKUP(E115,Moulins!C:Q,14,FALSE)</f>
        <v>#N/A</v>
      </c>
    </row>
    <row r="116" spans="1:11">
      <c r="A116">
        <f t="shared" si="1"/>
        <v>115</v>
      </c>
      <c r="B116" s="430" t="e">
        <f>VLOOKUP(E116,Moulins!C:Q,2,FALSE)</f>
        <v>#N/A</v>
      </c>
      <c r="F116" s="430" t="e">
        <f>VLOOKUP(E116,Moulins!C:Q,7,FALSE)</f>
        <v>#N/A</v>
      </c>
      <c r="G116" t="e">
        <f>VLOOKUP(E116,Moulins!C:Q,5,FALSE)</f>
        <v>#N/A</v>
      </c>
      <c r="H116" t="e">
        <f>VLOOKUP(E116,Moulins!C:Q,3,FALSE)</f>
        <v>#N/A</v>
      </c>
      <c r="I116" t="e">
        <f>VLOOKUP(E116,Moulins!C:Q,9,FALSE)</f>
        <v>#N/A</v>
      </c>
      <c r="J116" t="e">
        <f>VLOOKUP(E116,Moulins!C:Q,13,FALSE)</f>
        <v>#N/A</v>
      </c>
      <c r="K116" s="354" t="e">
        <f>VLOOKUP(E116,Moulins!C:Q,14,FALSE)</f>
        <v>#N/A</v>
      </c>
    </row>
    <row r="117" spans="1:11">
      <c r="A117">
        <f t="shared" si="1"/>
        <v>116</v>
      </c>
      <c r="B117" s="430" t="e">
        <f>VLOOKUP(E117,Moulins!C:Q,2,FALSE)</f>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9B64F-5573-4A0B-A5DD-387E5FE0AF79}">
  <sheetPr codeName="Sheet2"/>
  <dimension ref="A1:D62"/>
  <sheetViews>
    <sheetView topLeftCell="C31" workbookViewId="0">
      <selection activeCell="D62" sqref="D62"/>
    </sheetView>
  </sheetViews>
  <sheetFormatPr defaultRowHeight="15"/>
  <cols>
    <col min="4" max="4" width="30.85546875" bestFit="1" customWidth="1"/>
  </cols>
  <sheetData>
    <row r="1" spans="1:4">
      <c r="A1" t="s">
        <v>566</v>
      </c>
      <c r="D1" t="s">
        <v>2446</v>
      </c>
    </row>
    <row r="2" spans="1:4">
      <c r="A2" t="s">
        <v>570</v>
      </c>
      <c r="D2" s="10" t="s">
        <v>1</v>
      </c>
    </row>
    <row r="3" spans="1:4">
      <c r="A3" t="s">
        <v>2447</v>
      </c>
      <c r="D3" s="10" t="s">
        <v>2</v>
      </c>
    </row>
    <row r="4" spans="1:4">
      <c r="A4" t="s">
        <v>135</v>
      </c>
      <c r="D4" s="10" t="s">
        <v>4</v>
      </c>
    </row>
    <row r="5" spans="1:4">
      <c r="A5" t="s">
        <v>55</v>
      </c>
      <c r="D5" s="10" t="s">
        <v>5</v>
      </c>
    </row>
    <row r="6" spans="1:4">
      <c r="A6" t="s">
        <v>212</v>
      </c>
      <c r="D6" t="s">
        <v>635</v>
      </c>
    </row>
    <row r="7" spans="1:4">
      <c r="A7" t="s">
        <v>370</v>
      </c>
      <c r="D7" s="10" t="s">
        <v>7</v>
      </c>
    </row>
    <row r="8" spans="1:4">
      <c r="A8" t="s">
        <v>695</v>
      </c>
      <c r="D8" s="10" t="s">
        <v>8</v>
      </c>
    </row>
    <row r="9" spans="1:4">
      <c r="D9" s="10" t="s">
        <v>9</v>
      </c>
    </row>
    <row r="10" spans="1:4">
      <c r="D10" t="s">
        <v>674</v>
      </c>
    </row>
    <row r="11" spans="1:4">
      <c r="D11" s="10" t="s">
        <v>10</v>
      </c>
    </row>
    <row r="12" spans="1:4">
      <c r="D12" t="s">
        <v>678</v>
      </c>
    </row>
    <row r="13" spans="1:4">
      <c r="D13" s="10" t="s">
        <v>12</v>
      </c>
    </row>
    <row r="14" spans="1:4">
      <c r="D14" t="s">
        <v>683</v>
      </c>
    </row>
    <row r="15" spans="1:4">
      <c r="D15" s="10" t="s">
        <v>13</v>
      </c>
    </row>
    <row r="16" spans="1:4">
      <c r="D16" s="10" t="s">
        <v>14</v>
      </c>
    </row>
    <row r="17" spans="4:4">
      <c r="D17" s="10" t="s">
        <v>15</v>
      </c>
    </row>
    <row r="18" spans="4:4">
      <c r="D18" s="10" t="s">
        <v>16</v>
      </c>
    </row>
    <row r="19" spans="4:4">
      <c r="D19" s="10" t="s">
        <v>17</v>
      </c>
    </row>
    <row r="20" spans="4:4">
      <c r="D20" s="10" t="s">
        <v>18</v>
      </c>
    </row>
    <row r="21" spans="4:4">
      <c r="D21" s="10" t="s">
        <v>19</v>
      </c>
    </row>
    <row r="22" spans="4:4">
      <c r="D22" s="10" t="s">
        <v>20</v>
      </c>
    </row>
    <row r="23" spans="4:4">
      <c r="D23" s="10" t="s">
        <v>21</v>
      </c>
    </row>
    <row r="24" spans="4:4">
      <c r="D24" s="10" t="s">
        <v>22</v>
      </c>
    </row>
    <row r="25" spans="4:4">
      <c r="D25" s="10" t="s">
        <v>23</v>
      </c>
    </row>
    <row r="26" spans="4:4">
      <c r="D26" s="10" t="s">
        <v>24</v>
      </c>
    </row>
    <row r="27" spans="4:4">
      <c r="D27" s="10" t="s">
        <v>25</v>
      </c>
    </row>
    <row r="28" spans="4:4">
      <c r="D28" s="10" t="s">
        <v>1442</v>
      </c>
    </row>
    <row r="29" spans="4:4">
      <c r="D29" s="10" t="s">
        <v>27</v>
      </c>
    </row>
    <row r="30" spans="4:4">
      <c r="D30" t="s">
        <v>697</v>
      </c>
    </row>
    <row r="31" spans="4:4">
      <c r="D31" t="s">
        <v>918</v>
      </c>
    </row>
    <row r="32" spans="4:4">
      <c r="D32" t="s">
        <v>968</v>
      </c>
    </row>
    <row r="33" spans="4:4">
      <c r="D33" t="s">
        <v>978</v>
      </c>
    </row>
    <row r="34" spans="4:4">
      <c r="D34" t="s">
        <v>1026</v>
      </c>
    </row>
    <row r="35" spans="4:4">
      <c r="D35" t="s">
        <v>1031</v>
      </c>
    </row>
    <row r="36" spans="4:4">
      <c r="D36" t="s">
        <v>1037</v>
      </c>
    </row>
    <row r="37" spans="4:4">
      <c r="D37" t="s">
        <v>1042</v>
      </c>
    </row>
    <row r="38" spans="4:4">
      <c r="D38" t="s">
        <v>1134</v>
      </c>
    </row>
    <row r="39" spans="4:4">
      <c r="D39" t="s">
        <v>1103</v>
      </c>
    </row>
    <row r="40" spans="4:4">
      <c r="D40" t="s">
        <v>1122</v>
      </c>
    </row>
    <row r="41" spans="4:4">
      <c r="D41" t="s">
        <v>2448</v>
      </c>
    </row>
    <row r="42" spans="4:4" ht="15.75">
      <c r="D42" s="322" t="s">
        <v>1171</v>
      </c>
    </row>
    <row r="43" spans="4:4">
      <c r="D43" t="s">
        <v>1187</v>
      </c>
    </row>
    <row r="44" spans="4:4">
      <c r="D44" t="s">
        <v>1201</v>
      </c>
    </row>
    <row r="45" spans="4:4">
      <c r="D45" t="s">
        <v>1261</v>
      </c>
    </row>
    <row r="46" spans="4:4">
      <c r="D46" t="s">
        <v>1289</v>
      </c>
    </row>
    <row r="47" spans="4:4">
      <c r="D47" t="s">
        <v>1156</v>
      </c>
    </row>
    <row r="48" spans="4:4">
      <c r="D48" t="s">
        <v>1215</v>
      </c>
    </row>
    <row r="49" spans="4:4">
      <c r="D49" t="s">
        <v>1322</v>
      </c>
    </row>
    <row r="50" spans="4:4">
      <c r="D50" t="s">
        <v>1031</v>
      </c>
    </row>
    <row r="51" spans="4:4">
      <c r="D51" t="s">
        <v>1517</v>
      </c>
    </row>
    <row r="52" spans="4:4">
      <c r="D52" t="s">
        <v>1399</v>
      </c>
    </row>
    <row r="53" spans="4:4">
      <c r="D53" t="s">
        <v>1525</v>
      </c>
    </row>
    <row r="54" spans="4:4">
      <c r="D54" t="s">
        <v>1554</v>
      </c>
    </row>
    <row r="55" spans="4:4">
      <c r="D55" t="s">
        <v>1459</v>
      </c>
    </row>
    <row r="56" spans="4:4">
      <c r="D56" t="s">
        <v>1589</v>
      </c>
    </row>
    <row r="57" spans="4:4">
      <c r="D57" t="s">
        <v>2449</v>
      </c>
    </row>
    <row r="58" spans="4:4">
      <c r="D58" t="s">
        <v>1973</v>
      </c>
    </row>
    <row r="59" spans="4:4">
      <c r="D59" t="s">
        <v>1959</v>
      </c>
    </row>
    <row r="60" spans="4:4">
      <c r="D60" t="s">
        <v>2032</v>
      </c>
    </row>
    <row r="61" spans="4:4">
      <c r="D61" t="s">
        <v>2172</v>
      </c>
    </row>
    <row r="62" spans="4:4">
      <c r="D62" t="s">
        <v>2209</v>
      </c>
    </row>
  </sheetData>
  <sortState xmlns:xlrd2="http://schemas.microsoft.com/office/spreadsheetml/2017/richdata2" ref="D2:D29">
    <sortCondition ref="D2:D2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2026-04-13T07:11:35Z</dcterms:modified>
  <cp:category/>
  <cp:contentStatus/>
</cp:coreProperties>
</file>